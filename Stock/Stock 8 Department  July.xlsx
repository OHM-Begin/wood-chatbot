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 444\Desktop\Production\05_Stock\Inventory\"/>
    </mc:Choice>
  </mc:AlternateContent>
  <xr:revisionPtr revIDLastSave="0" documentId="13_ncr:1_{F9385D90-5D7F-4BB4-9349-3C610BE8C8A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-CHINA" sheetId="16" r:id="rId1"/>
    <sheet name="LB-Board" sheetId="21" r:id="rId2"/>
    <sheet name="MAT-INDO" sheetId="17" r:id="rId3"/>
    <sheet name="TAIWAN" sheetId="18" r:id="rId4"/>
    <sheet name="TAIWAN (Rev)" sheetId="19" r:id="rId5"/>
    <sheet name="VIETNAM" sheetId="20" r:id="rId6"/>
    <sheet name="CT1" sheetId="2" r:id="rId7"/>
    <sheet name="S4S" sheetId="3" r:id="rId8"/>
    <sheet name="FJ" sheetId="4" r:id="rId9"/>
    <sheet name="HFC" sheetId="5" r:id="rId10"/>
    <sheet name="RS-RUN" sheetId="6" r:id="rId11"/>
    <sheet name="SD" sheetId="7" r:id="rId12"/>
    <sheet name="MD" sheetId="8" r:id="rId13"/>
    <sheet name="DB" sheetId="9" r:id="rId14"/>
    <sheet name="UV" sheetId="10" r:id="rId15"/>
    <sheet name="PK1" sheetId="22" r:id="rId16"/>
    <sheet name="PK2" sheetId="23" r:id="rId17"/>
    <sheet name="PK-Accessary " sheetId="15" r:id="rId18"/>
    <sheet name="Summary Inventory " sheetId="13" r:id="rId19"/>
    <sheet name="สื้นเปลือง" sheetId="14" r:id="rId20"/>
  </sheets>
  <definedNames>
    <definedName name="_xlnm._FilterDatabase" localSheetId="0" hidden="1">'MAT-CHINA'!$A$1:$AQ$426</definedName>
    <definedName name="_xlnm._FilterDatabase" localSheetId="2" hidden="1">'MAT-INDO'!$A$1:$AP$49</definedName>
    <definedName name="_xlnm._FilterDatabase" localSheetId="17" hidden="1">'PK-Accessary '!$A$1:$Q$677</definedName>
    <definedName name="_xlnm._FilterDatabase" localSheetId="3" hidden="1">TAIWAN!$A$1:$AQ$464</definedName>
    <definedName name="_xlnm._FilterDatabase" localSheetId="4" hidden="1">'TAIWAN (Rev)'!$A$1:$AP$223</definedName>
    <definedName name="_xlnm._FilterDatabase" localSheetId="5" hidden="1">VIETNAM!$A$1:$AQ$215</definedName>
    <definedName name="_xlnm.Print_Area" localSheetId="17">'PK-Accessary '!$A$1:$Q$70</definedName>
    <definedName name="_xlnm.Print_Titles" localSheetId="17">'PK-Accessary '!$1:$3</definedName>
  </definedNames>
  <calcPr calcId="191029"/>
  <extLst>
    <ext uri="GoogleSheetsCustomDataVersion2">
      <go:sheetsCustomData xmlns:go="http://customooxmlschemas.google.com/" r:id="rId22" roundtripDataChecksum="cSi/g4rukgA+bNKj6B+l5rG4d1NEqwJeIHMsBSNrN9k="/>
    </ext>
  </extLst>
</workbook>
</file>

<file path=xl/calcChain.xml><?xml version="1.0" encoding="utf-8"?>
<calcChain xmlns="http://schemas.openxmlformats.org/spreadsheetml/2006/main">
  <c r="C13" i="13" l="1"/>
  <c r="E13" i="13"/>
  <c r="E12" i="13"/>
  <c r="E11" i="13"/>
  <c r="G26" i="9"/>
  <c r="I15" i="9"/>
  <c r="L15" i="9" s="1"/>
  <c r="I14" i="9"/>
  <c r="J14" i="9" s="1"/>
  <c r="I13" i="9"/>
  <c r="L13" i="9" s="1"/>
  <c r="AO15" i="20"/>
  <c r="AO14" i="20"/>
  <c r="AO13" i="20"/>
  <c r="AO12" i="20"/>
  <c r="AO11" i="20"/>
  <c r="AO10" i="20"/>
  <c r="AO9" i="20"/>
  <c r="AO8" i="20"/>
  <c r="AO7" i="20"/>
  <c r="AO6" i="20"/>
  <c r="AO5" i="20"/>
  <c r="AO4" i="20"/>
  <c r="AO3" i="20"/>
  <c r="M10" i="21"/>
  <c r="E14" i="13" s="1"/>
  <c r="H10" i="21"/>
  <c r="F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" i="23"/>
  <c r="G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H2" i="22"/>
  <c r="G37" i="10"/>
  <c r="I36" i="10"/>
  <c r="L36" i="10" s="1"/>
  <c r="I35" i="10"/>
  <c r="I34" i="10"/>
  <c r="L34" i="10" s="1"/>
  <c r="I33" i="10"/>
  <c r="J33" i="10" s="1"/>
  <c r="I32" i="10"/>
  <c r="L32" i="10" s="1"/>
  <c r="I31" i="10"/>
  <c r="J31" i="10" s="1"/>
  <c r="I30" i="10"/>
  <c r="L30" i="10" s="1"/>
  <c r="I29" i="10"/>
  <c r="L29" i="10" s="1"/>
  <c r="I28" i="10"/>
  <c r="J28" i="10" s="1"/>
  <c r="I27" i="10"/>
  <c r="I26" i="10"/>
  <c r="L26" i="10" s="1"/>
  <c r="I25" i="10"/>
  <c r="J25" i="10" s="1"/>
  <c r="I24" i="10"/>
  <c r="L24" i="10" s="1"/>
  <c r="I23" i="10"/>
  <c r="J23" i="10" s="1"/>
  <c r="I22" i="10"/>
  <c r="L22" i="10" s="1"/>
  <c r="I21" i="10"/>
  <c r="I20" i="10"/>
  <c r="L20" i="10" s="1"/>
  <c r="I19" i="10"/>
  <c r="I18" i="10"/>
  <c r="L18" i="10" s="1"/>
  <c r="I17" i="10"/>
  <c r="J17" i="10" s="1"/>
  <c r="I16" i="10"/>
  <c r="L16" i="10" s="1"/>
  <c r="I15" i="10"/>
  <c r="L15" i="10" s="1"/>
  <c r="I14" i="10"/>
  <c r="L14" i="10" s="1"/>
  <c r="I13" i="10"/>
  <c r="L13" i="10" s="1"/>
  <c r="I12" i="10"/>
  <c r="L12" i="10" s="1"/>
  <c r="I11" i="10"/>
  <c r="I10" i="10"/>
  <c r="L10" i="10" s="1"/>
  <c r="I9" i="10"/>
  <c r="J9" i="10" s="1"/>
  <c r="I8" i="10"/>
  <c r="L8" i="10" s="1"/>
  <c r="I7" i="10"/>
  <c r="L7" i="10" s="1"/>
  <c r="I6" i="10"/>
  <c r="L6" i="10" s="1"/>
  <c r="I5" i="10"/>
  <c r="L5" i="10" s="1"/>
  <c r="I4" i="10"/>
  <c r="L4" i="10" s="1"/>
  <c r="I25" i="9"/>
  <c r="L25" i="9" s="1"/>
  <c r="I24" i="9"/>
  <c r="L24" i="9" s="1"/>
  <c r="I23" i="9"/>
  <c r="L22" i="9"/>
  <c r="I22" i="9"/>
  <c r="J22" i="9" s="1"/>
  <c r="I21" i="9"/>
  <c r="I20" i="9"/>
  <c r="J20" i="9" s="1"/>
  <c r="I19" i="9"/>
  <c r="J19" i="9" s="1"/>
  <c r="I18" i="9"/>
  <c r="L18" i="9" s="1"/>
  <c r="I17" i="9"/>
  <c r="L17" i="9" s="1"/>
  <c r="I16" i="9"/>
  <c r="L16" i="9" s="1"/>
  <c r="I12" i="9"/>
  <c r="L12" i="9" s="1"/>
  <c r="I11" i="9"/>
  <c r="J11" i="9" s="1"/>
  <c r="I10" i="9"/>
  <c r="L10" i="9" s="1"/>
  <c r="I9" i="9"/>
  <c r="L9" i="9" s="1"/>
  <c r="I8" i="9"/>
  <c r="L8" i="9" s="1"/>
  <c r="I7" i="9"/>
  <c r="L7" i="9" s="1"/>
  <c r="I6" i="9"/>
  <c r="L6" i="9" s="1"/>
  <c r="I5" i="9"/>
  <c r="I4" i="9"/>
  <c r="L4" i="9" s="1"/>
  <c r="G36" i="8"/>
  <c r="I35" i="8"/>
  <c r="L35" i="8" s="1"/>
  <c r="I34" i="8"/>
  <c r="L34" i="8" s="1"/>
  <c r="I33" i="8"/>
  <c r="I32" i="8"/>
  <c r="J32" i="8" s="1"/>
  <c r="I31" i="8"/>
  <c r="L31" i="8" s="1"/>
  <c r="I30" i="8"/>
  <c r="L30" i="8" s="1"/>
  <c r="I29" i="8"/>
  <c r="L29" i="8" s="1"/>
  <c r="I28" i="8"/>
  <c r="L28" i="8" s="1"/>
  <c r="I27" i="8"/>
  <c r="I26" i="8"/>
  <c r="L26" i="8" s="1"/>
  <c r="I25" i="8"/>
  <c r="I24" i="8"/>
  <c r="J24" i="8" s="1"/>
  <c r="I23" i="8"/>
  <c r="L23" i="8" s="1"/>
  <c r="I22" i="8"/>
  <c r="L22" i="8" s="1"/>
  <c r="I21" i="8"/>
  <c r="L21" i="8" s="1"/>
  <c r="I20" i="8"/>
  <c r="L20" i="8" s="1"/>
  <c r="I19" i="8"/>
  <c r="J19" i="8" s="1"/>
  <c r="I18" i="8"/>
  <c r="L18" i="8" s="1"/>
  <c r="I17" i="8"/>
  <c r="I16" i="8"/>
  <c r="L16" i="8" s="1"/>
  <c r="I15" i="8"/>
  <c r="L15" i="8" s="1"/>
  <c r="I14" i="8"/>
  <c r="L14" i="8" s="1"/>
  <c r="I13" i="8"/>
  <c r="L13" i="8" s="1"/>
  <c r="I12" i="8"/>
  <c r="L12" i="8" s="1"/>
  <c r="J11" i="8"/>
  <c r="I11" i="8"/>
  <c r="L11" i="8" s="1"/>
  <c r="I10" i="8"/>
  <c r="L10" i="8" s="1"/>
  <c r="I9" i="8"/>
  <c r="I8" i="8"/>
  <c r="J8" i="8" s="1"/>
  <c r="I7" i="8"/>
  <c r="L7" i="8" s="1"/>
  <c r="I6" i="8"/>
  <c r="L6" i="8" s="1"/>
  <c r="I5" i="8"/>
  <c r="L5" i="8" s="1"/>
  <c r="I4" i="8"/>
  <c r="L4" i="8" s="1"/>
  <c r="G34" i="7"/>
  <c r="I33" i="7"/>
  <c r="L33" i="7" s="1"/>
  <c r="I32" i="7"/>
  <c r="L32" i="7" s="1"/>
  <c r="I31" i="7"/>
  <c r="J31" i="7" s="1"/>
  <c r="I30" i="7"/>
  <c r="L30" i="7" s="1"/>
  <c r="I29" i="7"/>
  <c r="L29" i="7" s="1"/>
  <c r="I28" i="7"/>
  <c r="L28" i="7" s="1"/>
  <c r="I27" i="7"/>
  <c r="I26" i="7"/>
  <c r="J26" i="7" s="1"/>
  <c r="I25" i="7"/>
  <c r="L25" i="7" s="1"/>
  <c r="I24" i="7"/>
  <c r="I23" i="7"/>
  <c r="L23" i="7" s="1"/>
  <c r="I22" i="7"/>
  <c r="L22" i="7" s="1"/>
  <c r="I21" i="7"/>
  <c r="I20" i="7"/>
  <c r="J20" i="7" s="1"/>
  <c r="I19" i="7"/>
  <c r="I18" i="7"/>
  <c r="L18" i="7" s="1"/>
  <c r="I17" i="7"/>
  <c r="L17" i="7" s="1"/>
  <c r="I16" i="7"/>
  <c r="L16" i="7" s="1"/>
  <c r="I15" i="7"/>
  <c r="L15" i="7" s="1"/>
  <c r="I14" i="7"/>
  <c r="L14" i="7" s="1"/>
  <c r="I13" i="7"/>
  <c r="L13" i="7" s="1"/>
  <c r="I12" i="7"/>
  <c r="L12" i="7" s="1"/>
  <c r="I11" i="7"/>
  <c r="I10" i="7"/>
  <c r="L10" i="7" s="1"/>
  <c r="I9" i="7"/>
  <c r="L9" i="7" s="1"/>
  <c r="I8" i="7"/>
  <c r="L8" i="7" s="1"/>
  <c r="I7" i="7"/>
  <c r="L7" i="7" s="1"/>
  <c r="I6" i="7"/>
  <c r="L6" i="7" s="1"/>
  <c r="I5" i="7"/>
  <c r="L5" i="7" s="1"/>
  <c r="I4" i="7"/>
  <c r="L4" i="7" s="1"/>
  <c r="G40" i="6"/>
  <c r="I30" i="6"/>
  <c r="J30" i="6" s="1"/>
  <c r="I29" i="6"/>
  <c r="L29" i="6" s="1"/>
  <c r="G24" i="6"/>
  <c r="I23" i="6"/>
  <c r="L23" i="6" s="1"/>
  <c r="I22" i="6"/>
  <c r="L22" i="6" s="1"/>
  <c r="I21" i="6"/>
  <c r="J21" i="6" s="1"/>
  <c r="I20" i="6"/>
  <c r="L20" i="6" s="1"/>
  <c r="I19" i="6"/>
  <c r="L19" i="6" s="1"/>
  <c r="I18" i="6"/>
  <c r="L18" i="6" s="1"/>
  <c r="I17" i="6"/>
  <c r="I16" i="6"/>
  <c r="L16" i="6" s="1"/>
  <c r="I15" i="6"/>
  <c r="L15" i="6" s="1"/>
  <c r="I14" i="6"/>
  <c r="L14" i="6" s="1"/>
  <c r="L13" i="6"/>
  <c r="I13" i="6"/>
  <c r="J13" i="6" s="1"/>
  <c r="J12" i="6"/>
  <c r="I12" i="6"/>
  <c r="L12" i="6" s="1"/>
  <c r="I11" i="6"/>
  <c r="L11" i="6" s="1"/>
  <c r="I10" i="6"/>
  <c r="L10" i="6" s="1"/>
  <c r="I9" i="6"/>
  <c r="I8" i="6"/>
  <c r="L8" i="6" s="1"/>
  <c r="I7" i="6"/>
  <c r="L7" i="6" s="1"/>
  <c r="I6" i="6"/>
  <c r="L6" i="6" s="1"/>
  <c r="I5" i="6"/>
  <c r="L5" i="6" s="1"/>
  <c r="I4" i="6"/>
  <c r="L4" i="6" s="1"/>
  <c r="G70" i="4"/>
  <c r="I69" i="4"/>
  <c r="L69" i="4" s="1"/>
  <c r="I68" i="4"/>
  <c r="L68" i="4" s="1"/>
  <c r="I67" i="4"/>
  <c r="J67" i="4" s="1"/>
  <c r="I66" i="4"/>
  <c r="L66" i="4" s="1"/>
  <c r="I65" i="4"/>
  <c r="L65" i="4" s="1"/>
  <c r="I64" i="4"/>
  <c r="J64" i="4" s="1"/>
  <c r="I63" i="4"/>
  <c r="I62" i="4"/>
  <c r="L62" i="4" s="1"/>
  <c r="I61" i="4"/>
  <c r="L61" i="4" s="1"/>
  <c r="I60" i="4"/>
  <c r="L60" i="4" s="1"/>
  <c r="I59" i="4"/>
  <c r="J59" i="4" s="1"/>
  <c r="I58" i="4"/>
  <c r="L58" i="4" s="1"/>
  <c r="I57" i="4"/>
  <c r="L57" i="4" s="1"/>
  <c r="I56" i="4"/>
  <c r="J56" i="4" s="1"/>
  <c r="I55" i="4"/>
  <c r="I54" i="4"/>
  <c r="L54" i="4" s="1"/>
  <c r="I53" i="4"/>
  <c r="L53" i="4" s="1"/>
  <c r="I52" i="4"/>
  <c r="L52" i="4" s="1"/>
  <c r="I51" i="4"/>
  <c r="J51" i="4" s="1"/>
  <c r="I50" i="4"/>
  <c r="L50" i="4" s="1"/>
  <c r="I49" i="4"/>
  <c r="I48" i="4"/>
  <c r="L48" i="4" s="1"/>
  <c r="I47" i="4"/>
  <c r="I46" i="4"/>
  <c r="L46" i="4" s="1"/>
  <c r="I45" i="4"/>
  <c r="J45" i="4" s="1"/>
  <c r="I44" i="4"/>
  <c r="L44" i="4" s="1"/>
  <c r="I43" i="4"/>
  <c r="J43" i="4" s="1"/>
  <c r="I42" i="4"/>
  <c r="L42" i="4" s="1"/>
  <c r="I41" i="4"/>
  <c r="J41" i="4" s="1"/>
  <c r="I40" i="4"/>
  <c r="L40" i="4" s="1"/>
  <c r="I39" i="4"/>
  <c r="I38" i="4"/>
  <c r="L38" i="4" s="1"/>
  <c r="I37" i="4"/>
  <c r="J37" i="4" s="1"/>
  <c r="I36" i="4"/>
  <c r="L36" i="4" s="1"/>
  <c r="I35" i="4"/>
  <c r="J35" i="4" s="1"/>
  <c r="I34" i="4"/>
  <c r="L34" i="4" s="1"/>
  <c r="I33" i="4"/>
  <c r="J33" i="4" s="1"/>
  <c r="I32" i="4"/>
  <c r="L32" i="4" s="1"/>
  <c r="I31" i="4"/>
  <c r="I30" i="4"/>
  <c r="L30" i="4" s="1"/>
  <c r="I29" i="4"/>
  <c r="J29" i="4" s="1"/>
  <c r="I28" i="4"/>
  <c r="L28" i="4" s="1"/>
  <c r="I27" i="4"/>
  <c r="J27" i="4" s="1"/>
  <c r="I26" i="4"/>
  <c r="L26" i="4" s="1"/>
  <c r="I25" i="4"/>
  <c r="L25" i="4" s="1"/>
  <c r="I24" i="4"/>
  <c r="L24" i="4" s="1"/>
  <c r="I23" i="4"/>
  <c r="I22" i="4"/>
  <c r="L22" i="4" s="1"/>
  <c r="I21" i="4"/>
  <c r="J21" i="4" s="1"/>
  <c r="I20" i="4"/>
  <c r="L20" i="4" s="1"/>
  <c r="I19" i="4"/>
  <c r="J19" i="4" s="1"/>
  <c r="I18" i="4"/>
  <c r="L18" i="4" s="1"/>
  <c r="I17" i="4"/>
  <c r="I16" i="4"/>
  <c r="L16" i="4" s="1"/>
  <c r="I15" i="4"/>
  <c r="I14" i="4"/>
  <c r="J14" i="4" s="1"/>
  <c r="I13" i="4"/>
  <c r="J13" i="4" s="1"/>
  <c r="I12" i="4"/>
  <c r="L12" i="4" s="1"/>
  <c r="I11" i="4"/>
  <c r="J11" i="4" s="1"/>
  <c r="I10" i="4"/>
  <c r="L10" i="4" s="1"/>
  <c r="I9" i="4"/>
  <c r="J9" i="4" s="1"/>
  <c r="I8" i="4"/>
  <c r="L8" i="4" s="1"/>
  <c r="I7" i="4"/>
  <c r="I6" i="4"/>
  <c r="L6" i="4" s="1"/>
  <c r="I5" i="4"/>
  <c r="J5" i="4" s="1"/>
  <c r="I4" i="4"/>
  <c r="L4" i="4" s="1"/>
  <c r="G31" i="5"/>
  <c r="I30" i="5"/>
  <c r="I29" i="5"/>
  <c r="L29" i="5" s="1"/>
  <c r="I28" i="5"/>
  <c r="J28" i="5" s="1"/>
  <c r="I27" i="5"/>
  <c r="I26" i="5"/>
  <c r="J26" i="5" s="1"/>
  <c r="I25" i="5"/>
  <c r="L25" i="5" s="1"/>
  <c r="I24" i="5"/>
  <c r="L24" i="5" s="1"/>
  <c r="I23" i="5"/>
  <c r="L23" i="5" s="1"/>
  <c r="I22" i="5"/>
  <c r="I21" i="5"/>
  <c r="J21" i="5" s="1"/>
  <c r="I20" i="5"/>
  <c r="J20" i="5" s="1"/>
  <c r="I19" i="5"/>
  <c r="L19" i="5" s="1"/>
  <c r="I18" i="5"/>
  <c r="J18" i="5" s="1"/>
  <c r="I17" i="5"/>
  <c r="L17" i="5" s="1"/>
  <c r="I16" i="5"/>
  <c r="L16" i="5" s="1"/>
  <c r="I15" i="5"/>
  <c r="J15" i="5" s="1"/>
  <c r="I14" i="5"/>
  <c r="J14" i="5" s="1"/>
  <c r="I13" i="5"/>
  <c r="J13" i="5" s="1"/>
  <c r="I12" i="5"/>
  <c r="J12" i="5" s="1"/>
  <c r="I11" i="5"/>
  <c r="L11" i="5" s="1"/>
  <c r="I10" i="5"/>
  <c r="J10" i="5" s="1"/>
  <c r="I9" i="5"/>
  <c r="L9" i="5" s="1"/>
  <c r="I8" i="5"/>
  <c r="J8" i="5" s="1"/>
  <c r="I7" i="5"/>
  <c r="J7" i="5" s="1"/>
  <c r="I6" i="5"/>
  <c r="J6" i="5" s="1"/>
  <c r="I5" i="5"/>
  <c r="L5" i="5" s="1"/>
  <c r="I4" i="5"/>
  <c r="J4" i="5" s="1"/>
  <c r="G62" i="3"/>
  <c r="I61" i="3"/>
  <c r="L61" i="3" s="1"/>
  <c r="I60" i="3"/>
  <c r="J60" i="3" s="1"/>
  <c r="I59" i="3"/>
  <c r="L59" i="3" s="1"/>
  <c r="I58" i="3"/>
  <c r="J58" i="3" s="1"/>
  <c r="I57" i="3"/>
  <c r="L57" i="3" s="1"/>
  <c r="I56" i="3"/>
  <c r="J56" i="3" s="1"/>
  <c r="I55" i="3"/>
  <c r="L55" i="3" s="1"/>
  <c r="I54" i="3"/>
  <c r="J54" i="3" s="1"/>
  <c r="I53" i="3"/>
  <c r="L53" i="3" s="1"/>
  <c r="I52" i="3"/>
  <c r="J52" i="3" s="1"/>
  <c r="I51" i="3"/>
  <c r="L51" i="3" s="1"/>
  <c r="I50" i="3"/>
  <c r="J50" i="3" s="1"/>
  <c r="I49" i="3"/>
  <c r="J49" i="3" s="1"/>
  <c r="I48" i="3"/>
  <c r="L48" i="3" s="1"/>
  <c r="I47" i="3"/>
  <c r="L47" i="3" s="1"/>
  <c r="I46" i="3"/>
  <c r="J46" i="3" s="1"/>
  <c r="I45" i="3"/>
  <c r="L45" i="3" s="1"/>
  <c r="I44" i="3"/>
  <c r="I43" i="3"/>
  <c r="L43" i="3" s="1"/>
  <c r="I42" i="3"/>
  <c r="J42" i="3" s="1"/>
  <c r="I41" i="3"/>
  <c r="I40" i="3"/>
  <c r="J40" i="3" s="1"/>
  <c r="I39" i="3"/>
  <c r="L39" i="3" s="1"/>
  <c r="I38" i="3"/>
  <c r="I37" i="3"/>
  <c r="L37" i="3" s="1"/>
  <c r="I36" i="3"/>
  <c r="L36" i="3" s="1"/>
  <c r="I35" i="3"/>
  <c r="L35" i="3" s="1"/>
  <c r="I34" i="3"/>
  <c r="J34" i="3" s="1"/>
  <c r="I33" i="3"/>
  <c r="L33" i="3" s="1"/>
  <c r="I32" i="3"/>
  <c r="J32" i="3" s="1"/>
  <c r="I31" i="3"/>
  <c r="L31" i="3" s="1"/>
  <c r="I30" i="3"/>
  <c r="L30" i="3" s="1"/>
  <c r="I29" i="3"/>
  <c r="L29" i="3" s="1"/>
  <c r="I28" i="3"/>
  <c r="J28" i="3" s="1"/>
  <c r="I27" i="3"/>
  <c r="I26" i="3"/>
  <c r="J26" i="3" s="1"/>
  <c r="I25" i="3"/>
  <c r="J25" i="3" s="1"/>
  <c r="I24" i="3"/>
  <c r="I23" i="3"/>
  <c r="L23" i="3" s="1"/>
  <c r="I22" i="3"/>
  <c r="J22" i="3" s="1"/>
  <c r="I21" i="3"/>
  <c r="L21" i="3" s="1"/>
  <c r="I20" i="3"/>
  <c r="J20" i="3" s="1"/>
  <c r="I19" i="3"/>
  <c r="L19" i="3" s="1"/>
  <c r="I18" i="3"/>
  <c r="I17" i="3"/>
  <c r="J17" i="3" s="1"/>
  <c r="I16" i="3"/>
  <c r="L16" i="3" s="1"/>
  <c r="I15" i="3"/>
  <c r="I14" i="3"/>
  <c r="J14" i="3" s="1"/>
  <c r="I13" i="3"/>
  <c r="L13" i="3" s="1"/>
  <c r="I12" i="3"/>
  <c r="L12" i="3" s="1"/>
  <c r="I11" i="3"/>
  <c r="J11" i="3" s="1"/>
  <c r="I10" i="3"/>
  <c r="J10" i="3" s="1"/>
  <c r="I9" i="3"/>
  <c r="L9" i="3" s="1"/>
  <c r="I8" i="3"/>
  <c r="J8" i="3" s="1"/>
  <c r="I7" i="3"/>
  <c r="L7" i="3" s="1"/>
  <c r="I6" i="3"/>
  <c r="L6" i="3" s="1"/>
  <c r="I5" i="3"/>
  <c r="L5" i="3" s="1"/>
  <c r="I4" i="3"/>
  <c r="L4" i="3" s="1"/>
  <c r="G40" i="2"/>
  <c r="L9" i="21"/>
  <c r="N9" i="21" s="1"/>
  <c r="I9" i="21"/>
  <c r="J9" i="21" s="1"/>
  <c r="L8" i="21"/>
  <c r="N8" i="21" s="1"/>
  <c r="I8" i="21"/>
  <c r="J8" i="21" s="1"/>
  <c r="L7" i="21"/>
  <c r="N7" i="21" s="1"/>
  <c r="I7" i="21"/>
  <c r="J7" i="21" s="1"/>
  <c r="L6" i="21"/>
  <c r="N6" i="21" s="1"/>
  <c r="I6" i="21"/>
  <c r="J6" i="21" s="1"/>
  <c r="L5" i="21"/>
  <c r="N5" i="21" s="1"/>
  <c r="I5" i="21"/>
  <c r="J5" i="21" s="1"/>
  <c r="L4" i="21"/>
  <c r="N4" i="21" s="1"/>
  <c r="I4" i="21"/>
  <c r="L51" i="4" l="1"/>
  <c r="J26" i="10"/>
  <c r="L43" i="4"/>
  <c r="J8" i="6"/>
  <c r="L8" i="3"/>
  <c r="J7" i="10"/>
  <c r="J18" i="4"/>
  <c r="L20" i="3"/>
  <c r="J26" i="4"/>
  <c r="L11" i="4"/>
  <c r="L64" i="4"/>
  <c r="J20" i="6"/>
  <c r="J13" i="7"/>
  <c r="J28" i="7"/>
  <c r="L14" i="9"/>
  <c r="J17" i="5"/>
  <c r="J50" i="4"/>
  <c r="J16" i="8"/>
  <c r="J18" i="10"/>
  <c r="L31" i="10"/>
  <c r="J57" i="3"/>
  <c r="L19" i="4"/>
  <c r="L20" i="7"/>
  <c r="J22" i="8"/>
  <c r="J15" i="9"/>
  <c r="J13" i="9"/>
  <c r="I26" i="9"/>
  <c r="C9" i="13" s="1"/>
  <c r="J53" i="3"/>
  <c r="L59" i="4"/>
  <c r="J4" i="6"/>
  <c r="J15" i="10"/>
  <c r="L32" i="3"/>
  <c r="L27" i="4"/>
  <c r="J16" i="7"/>
  <c r="J22" i="4"/>
  <c r="J42" i="4"/>
  <c r="J5" i="6"/>
  <c r="L21" i="6"/>
  <c r="J4" i="7"/>
  <c r="L19" i="8"/>
  <c r="L32" i="8"/>
  <c r="J61" i="3"/>
  <c r="L67" i="4"/>
  <c r="L8" i="8"/>
  <c r="L23" i="10"/>
  <c r="J46" i="4"/>
  <c r="L6" i="5"/>
  <c r="J34" i="4"/>
  <c r="L40" i="3"/>
  <c r="J12" i="3"/>
  <c r="J29" i="3"/>
  <c r="J37" i="3"/>
  <c r="L49" i="3"/>
  <c r="J8" i="4"/>
  <c r="J32" i="4"/>
  <c r="J40" i="4"/>
  <c r="J18" i="6"/>
  <c r="J10" i="7"/>
  <c r="J4" i="9"/>
  <c r="J12" i="9"/>
  <c r="L19" i="9"/>
  <c r="J4" i="10"/>
  <c r="J8" i="10"/>
  <c r="J36" i="10"/>
  <c r="J21" i="3"/>
  <c r="L25" i="3"/>
  <c r="J16" i="4"/>
  <c r="J48" i="4"/>
  <c r="J52" i="4"/>
  <c r="L56" i="4"/>
  <c r="J10" i="6"/>
  <c r="L30" i="6"/>
  <c r="L40" i="6" s="1"/>
  <c r="J6" i="7"/>
  <c r="J5" i="8"/>
  <c r="J13" i="8"/>
  <c r="L24" i="8"/>
  <c r="J9" i="9"/>
  <c r="J20" i="10"/>
  <c r="J13" i="3"/>
  <c r="L17" i="3"/>
  <c r="L34" i="3"/>
  <c r="L54" i="3"/>
  <c r="L29" i="4"/>
  <c r="L26" i="3"/>
  <c r="L46" i="3"/>
  <c r="J51" i="3"/>
  <c r="J59" i="3"/>
  <c r="L11" i="3"/>
  <c r="J23" i="3"/>
  <c r="L28" i="3"/>
  <c r="J48" i="3"/>
  <c r="J9" i="5"/>
  <c r="L13" i="5"/>
  <c r="L21" i="5"/>
  <c r="L14" i="4"/>
  <c r="J29" i="6"/>
  <c r="J40" i="6" s="1"/>
  <c r="L11" i="9"/>
  <c r="J18" i="9"/>
  <c r="G107" i="23"/>
  <c r="C12" i="13" s="1"/>
  <c r="L42" i="3"/>
  <c r="L7" i="5"/>
  <c r="L15" i="5"/>
  <c r="L5" i="4"/>
  <c r="L37" i="4"/>
  <c r="J65" i="4"/>
  <c r="J6" i="6"/>
  <c r="J18" i="7"/>
  <c r="L26" i="7"/>
  <c r="J10" i="8"/>
  <c r="J21" i="8"/>
  <c r="L9" i="10"/>
  <c r="L28" i="10"/>
  <c r="L33" i="10"/>
  <c r="L12" i="5"/>
  <c r="L20" i="5"/>
  <c r="J29" i="5"/>
  <c r="L9" i="4"/>
  <c r="L13" i="4"/>
  <c r="L21" i="4"/>
  <c r="L33" i="4"/>
  <c r="L41" i="4"/>
  <c r="L45" i="4"/>
  <c r="J62" i="4"/>
  <c r="J19" i="6"/>
  <c r="I40" i="6"/>
  <c r="J7" i="7"/>
  <c r="L31" i="7"/>
  <c r="J18" i="8"/>
  <c r="J34" i="8"/>
  <c r="J17" i="9"/>
  <c r="L20" i="9"/>
  <c r="J25" i="9"/>
  <c r="J13" i="10"/>
  <c r="L17" i="10"/>
  <c r="L25" i="10"/>
  <c r="L22" i="3"/>
  <c r="J31" i="3"/>
  <c r="J35" i="3"/>
  <c r="J39" i="3"/>
  <c r="J43" i="3"/>
  <c r="J55" i="3"/>
  <c r="J5" i="5"/>
  <c r="L8" i="5"/>
  <c r="J16" i="5"/>
  <c r="J6" i="4"/>
  <c r="J30" i="4"/>
  <c r="J38" i="4"/>
  <c r="J54" i="4"/>
  <c r="J58" i="4"/>
  <c r="J66" i="4"/>
  <c r="J16" i="6"/>
  <c r="J12" i="7"/>
  <c r="J15" i="7"/>
  <c r="J23" i="7"/>
  <c r="J14" i="8"/>
  <c r="J26" i="8"/>
  <c r="J30" i="8"/>
  <c r="J6" i="9"/>
  <c r="J10" i="9"/>
  <c r="J10" i="10"/>
  <c r="J34" i="10"/>
  <c r="J16" i="3"/>
  <c r="J45" i="3"/>
  <c r="J4" i="4"/>
  <c r="J36" i="4"/>
  <c r="J12" i="10"/>
  <c r="J5" i="3"/>
  <c r="L58" i="3"/>
  <c r="J11" i="5"/>
  <c r="J23" i="5"/>
  <c r="L28" i="5"/>
  <c r="J12" i="4"/>
  <c r="J20" i="4"/>
  <c r="J24" i="4"/>
  <c r="J44" i="4"/>
  <c r="J68" i="4"/>
  <c r="J29" i="8"/>
  <c r="J24" i="10"/>
  <c r="J22" i="6"/>
  <c r="J14" i="7"/>
  <c r="J22" i="7"/>
  <c r="L10" i="3"/>
  <c r="M11" i="21"/>
  <c r="J7" i="3"/>
  <c r="L14" i="3"/>
  <c r="J19" i="3"/>
  <c r="L52" i="3"/>
  <c r="J25" i="5"/>
  <c r="J10" i="4"/>
  <c r="H60" i="22"/>
  <c r="C11" i="13" s="1"/>
  <c r="J41" i="3"/>
  <c r="L41" i="3"/>
  <c r="L35" i="10"/>
  <c r="J35" i="10"/>
  <c r="J6" i="3"/>
  <c r="I62" i="3"/>
  <c r="C3" i="13" s="1"/>
  <c r="J18" i="3"/>
  <c r="L18" i="3"/>
  <c r="J21" i="7"/>
  <c r="L21" i="7"/>
  <c r="L23" i="9"/>
  <c r="J23" i="9"/>
  <c r="J9" i="3"/>
  <c r="L38" i="3"/>
  <c r="J38" i="3"/>
  <c r="L27" i="3"/>
  <c r="J27" i="3"/>
  <c r="L17" i="4"/>
  <c r="J17" i="4"/>
  <c r="L49" i="4"/>
  <c r="J49" i="4"/>
  <c r="L5" i="9"/>
  <c r="J5" i="9"/>
  <c r="L44" i="3"/>
  <c r="J44" i="3"/>
  <c r="J21" i="10"/>
  <c r="L21" i="10"/>
  <c r="L24" i="7"/>
  <c r="J24" i="7"/>
  <c r="L27" i="8"/>
  <c r="J27" i="8"/>
  <c r="L15" i="3"/>
  <c r="J15" i="3"/>
  <c r="L24" i="3"/>
  <c r="J24" i="3"/>
  <c r="L31" i="4"/>
  <c r="J31" i="4"/>
  <c r="L27" i="5"/>
  <c r="J27" i="5"/>
  <c r="J47" i="3"/>
  <c r="L56" i="3"/>
  <c r="J24" i="5"/>
  <c r="L7" i="4"/>
  <c r="J7" i="4"/>
  <c r="J28" i="4"/>
  <c r="L35" i="4"/>
  <c r="L39" i="4"/>
  <c r="J39" i="4"/>
  <c r="J57" i="4"/>
  <c r="J60" i="4"/>
  <c r="J11" i="6"/>
  <c r="J14" i="6"/>
  <c r="L11" i="7"/>
  <c r="J11" i="7"/>
  <c r="J32" i="7"/>
  <c r="L9" i="8"/>
  <c r="J9" i="8"/>
  <c r="J35" i="8"/>
  <c r="L11" i="10"/>
  <c r="J11" i="10"/>
  <c r="J32" i="10"/>
  <c r="J4" i="3"/>
  <c r="J30" i="3"/>
  <c r="J33" i="3"/>
  <c r="J36" i="3"/>
  <c r="L60" i="3"/>
  <c r="L4" i="5"/>
  <c r="L14" i="5"/>
  <c r="J25" i="4"/>
  <c r="J29" i="7"/>
  <c r="L17" i="8"/>
  <c r="J17" i="8"/>
  <c r="J29" i="10"/>
  <c r="L50" i="3"/>
  <c r="L10" i="5"/>
  <c r="L15" i="4"/>
  <c r="J15" i="4"/>
  <c r="L47" i="4"/>
  <c r="J47" i="4"/>
  <c r="L19" i="7"/>
  <c r="J19" i="7"/>
  <c r="L25" i="8"/>
  <c r="J25" i="8"/>
  <c r="L21" i="9"/>
  <c r="J21" i="9"/>
  <c r="L19" i="10"/>
  <c r="J19" i="10"/>
  <c r="J4" i="21"/>
  <c r="I10" i="21"/>
  <c r="D14" i="13" s="1"/>
  <c r="L18" i="5"/>
  <c r="L22" i="5"/>
  <c r="J22" i="5"/>
  <c r="L55" i="4"/>
  <c r="J55" i="4"/>
  <c r="L9" i="6"/>
  <c r="J9" i="6"/>
  <c r="J5" i="7"/>
  <c r="J8" i="7"/>
  <c r="I34" i="7"/>
  <c r="C7" i="13" s="1"/>
  <c r="J6" i="8"/>
  <c r="L33" i="8"/>
  <c r="J33" i="8"/>
  <c r="J7" i="9"/>
  <c r="J5" i="10"/>
  <c r="I37" i="10"/>
  <c r="C10" i="13" s="1"/>
  <c r="I31" i="5"/>
  <c r="C4" i="13" s="1"/>
  <c r="N10" i="21"/>
  <c r="L23" i="4"/>
  <c r="J23" i="4"/>
  <c r="L27" i="7"/>
  <c r="J27" i="7"/>
  <c r="J16" i="10"/>
  <c r="L27" i="10"/>
  <c r="J27" i="10"/>
  <c r="J19" i="5"/>
  <c r="L26" i="5"/>
  <c r="L30" i="5"/>
  <c r="J30" i="5"/>
  <c r="L63" i="4"/>
  <c r="J63" i="4"/>
  <c r="I70" i="4"/>
  <c r="C5" i="13" s="1"/>
  <c r="L17" i="6"/>
  <c r="J17" i="6"/>
  <c r="I24" i="6"/>
  <c r="J30" i="7"/>
  <c r="J4" i="8"/>
  <c r="J12" i="8"/>
  <c r="J20" i="8"/>
  <c r="J28" i="8"/>
  <c r="I36" i="8"/>
  <c r="C8" i="13" s="1"/>
  <c r="J8" i="9"/>
  <c r="J16" i="9"/>
  <c r="J24" i="9"/>
  <c r="J6" i="10"/>
  <c r="J14" i="10"/>
  <c r="J22" i="10"/>
  <c r="J30" i="10"/>
  <c r="J53" i="4"/>
  <c r="J61" i="4"/>
  <c r="J69" i="4"/>
  <c r="J7" i="6"/>
  <c r="J15" i="6"/>
  <c r="J23" i="6"/>
  <c r="J9" i="7"/>
  <c r="J17" i="7"/>
  <c r="J25" i="7"/>
  <c r="J33" i="7"/>
  <c r="J7" i="8"/>
  <c r="J15" i="8"/>
  <c r="J23" i="8"/>
  <c r="J31" i="8"/>
  <c r="L26" i="9" l="1"/>
  <c r="L37" i="10"/>
  <c r="E10" i="13" s="1"/>
  <c r="L34" i="7"/>
  <c r="E7" i="13" s="1"/>
  <c r="J31" i="5"/>
  <c r="J26" i="9"/>
  <c r="J24" i="6"/>
  <c r="C6" i="13"/>
  <c r="E9" i="13"/>
  <c r="J70" i="4"/>
  <c r="J62" i="3"/>
  <c r="L36" i="8"/>
  <c r="E8" i="13" s="1"/>
  <c r="L62" i="3"/>
  <c r="E3" i="13" s="1"/>
  <c r="L24" i="6"/>
  <c r="E6" i="13" s="1"/>
  <c r="L70" i="4"/>
  <c r="E5" i="13" s="1"/>
  <c r="C14" i="13"/>
  <c r="I11" i="21"/>
  <c r="N11" i="21" s="1"/>
  <c r="J37" i="10"/>
  <c r="L31" i="5"/>
  <c r="E4" i="13" s="1"/>
  <c r="J36" i="8"/>
  <c r="J34" i="7"/>
  <c r="AM16" i="20"/>
  <c r="AQ16" i="20" s="1"/>
  <c r="AM15" i="20"/>
  <c r="AQ15" i="20" s="1"/>
  <c r="AM14" i="20"/>
  <c r="AM13" i="20"/>
  <c r="AM12" i="20"/>
  <c r="AM11" i="20"/>
  <c r="AM10" i="20"/>
  <c r="AM9" i="20"/>
  <c r="AM8" i="20"/>
  <c r="AM7" i="20"/>
  <c r="AQ7" i="20" s="1"/>
  <c r="AM6" i="20"/>
  <c r="AM5" i="20"/>
  <c r="AQ5" i="20" s="1"/>
  <c r="AM4" i="20"/>
  <c r="AM3" i="20"/>
  <c r="AL223" i="19"/>
  <c r="AM223" i="19" s="1"/>
  <c r="AL222" i="19"/>
  <c r="AM222" i="19" s="1"/>
  <c r="AL221" i="19"/>
  <c r="AM221" i="19" s="1"/>
  <c r="AL220" i="19"/>
  <c r="AM220" i="19" s="1"/>
  <c r="AL219" i="19"/>
  <c r="AM219" i="19" s="1"/>
  <c r="AL218" i="19"/>
  <c r="AM218" i="19" s="1"/>
  <c r="AL217" i="19"/>
  <c r="AM217" i="19" s="1"/>
  <c r="AL216" i="19"/>
  <c r="AM216" i="19" s="1"/>
  <c r="AL215" i="19"/>
  <c r="AM215" i="19" s="1"/>
  <c r="AL214" i="19"/>
  <c r="AM214" i="19" s="1"/>
  <c r="AL213" i="19"/>
  <c r="AM213" i="19" s="1"/>
  <c r="AL212" i="19"/>
  <c r="AM212" i="19" s="1"/>
  <c r="AL211" i="19"/>
  <c r="AM211" i="19" s="1"/>
  <c r="AL210" i="19"/>
  <c r="AM210" i="19" s="1"/>
  <c r="AL209" i="19"/>
  <c r="AM209" i="19" s="1"/>
  <c r="AL208" i="19"/>
  <c r="AM208" i="19" s="1"/>
  <c r="AL207" i="19"/>
  <c r="AM207" i="19" s="1"/>
  <c r="AL206" i="19"/>
  <c r="AM206" i="19" s="1"/>
  <c r="AL205" i="19"/>
  <c r="AM205" i="19" s="1"/>
  <c r="AL204" i="19"/>
  <c r="AM204" i="19" s="1"/>
  <c r="AL203" i="19"/>
  <c r="AM203" i="19" s="1"/>
  <c r="AL202" i="19"/>
  <c r="AM202" i="19" s="1"/>
  <c r="AL201" i="19"/>
  <c r="AM201" i="19" s="1"/>
  <c r="AL200" i="19"/>
  <c r="AM200" i="19" s="1"/>
  <c r="AL199" i="19"/>
  <c r="AM199" i="19" s="1"/>
  <c r="AL198" i="19"/>
  <c r="AM198" i="19" s="1"/>
  <c r="AL197" i="19"/>
  <c r="AM197" i="19" s="1"/>
  <c r="AL196" i="19"/>
  <c r="AM196" i="19" s="1"/>
  <c r="AL195" i="19"/>
  <c r="AM195" i="19" s="1"/>
  <c r="AL194" i="19"/>
  <c r="AM194" i="19" s="1"/>
  <c r="AL193" i="19"/>
  <c r="AM193" i="19" s="1"/>
  <c r="AL192" i="19"/>
  <c r="AM192" i="19" s="1"/>
  <c r="AL191" i="19"/>
  <c r="AM191" i="19" s="1"/>
  <c r="AL190" i="19"/>
  <c r="AM190" i="19" s="1"/>
  <c r="AL189" i="19"/>
  <c r="AM189" i="19" s="1"/>
  <c r="AL188" i="19"/>
  <c r="AM188" i="19" s="1"/>
  <c r="AL187" i="19"/>
  <c r="AM187" i="19" s="1"/>
  <c r="AL186" i="19"/>
  <c r="AM186" i="19" s="1"/>
  <c r="AL185" i="19"/>
  <c r="AM185" i="19" s="1"/>
  <c r="AL184" i="19"/>
  <c r="AM184" i="19" s="1"/>
  <c r="AL183" i="19"/>
  <c r="AL182" i="19"/>
  <c r="AM182" i="19" s="1"/>
  <c r="AL181" i="19"/>
  <c r="AM181" i="19" s="1"/>
  <c r="AL180" i="19"/>
  <c r="AM180" i="19" s="1"/>
  <c r="AL179" i="19"/>
  <c r="AM179" i="19" s="1"/>
  <c r="AL178" i="19"/>
  <c r="AM178" i="19" s="1"/>
  <c r="AL177" i="19"/>
  <c r="AM177" i="19" s="1"/>
  <c r="AL176" i="19"/>
  <c r="AM176" i="19" s="1"/>
  <c r="AL175" i="19"/>
  <c r="AM175" i="19" s="1"/>
  <c r="AL174" i="19"/>
  <c r="AM174" i="19" s="1"/>
  <c r="AL173" i="19"/>
  <c r="AM173" i="19" s="1"/>
  <c r="AL172" i="19"/>
  <c r="AM172" i="19" s="1"/>
  <c r="AL171" i="19"/>
  <c r="AM171" i="19" s="1"/>
  <c r="AL170" i="19"/>
  <c r="AM170" i="19" s="1"/>
  <c r="AL169" i="19"/>
  <c r="AM169" i="19" s="1"/>
  <c r="AL168" i="19"/>
  <c r="AM168" i="19" s="1"/>
  <c r="AL167" i="19"/>
  <c r="AM167" i="19" s="1"/>
  <c r="AL166" i="19"/>
  <c r="AM166" i="19" s="1"/>
  <c r="AL165" i="19"/>
  <c r="AM165" i="19" s="1"/>
  <c r="AL164" i="19"/>
  <c r="AM164" i="19" s="1"/>
  <c r="AL163" i="19"/>
  <c r="AM163" i="19" s="1"/>
  <c r="AL162" i="19"/>
  <c r="AM162" i="19" s="1"/>
  <c r="AL161" i="19"/>
  <c r="AM161" i="19" s="1"/>
  <c r="AL160" i="19"/>
  <c r="AM160" i="19" s="1"/>
  <c r="AL159" i="19"/>
  <c r="AM159" i="19" s="1"/>
  <c r="AL158" i="19"/>
  <c r="AM158" i="19" s="1"/>
  <c r="AL157" i="19"/>
  <c r="AM157" i="19" s="1"/>
  <c r="AL156" i="19"/>
  <c r="AM156" i="19" s="1"/>
  <c r="AL155" i="19"/>
  <c r="AM155" i="19" s="1"/>
  <c r="AL154" i="19"/>
  <c r="AM154" i="19" s="1"/>
  <c r="AL153" i="19"/>
  <c r="AM153" i="19" s="1"/>
  <c r="AL152" i="19"/>
  <c r="AM152" i="19" s="1"/>
  <c r="AL151" i="19"/>
  <c r="AM151" i="19" s="1"/>
  <c r="AL150" i="19"/>
  <c r="AM150" i="19" s="1"/>
  <c r="AL149" i="19"/>
  <c r="AM149" i="19" s="1"/>
  <c r="AL148" i="19"/>
  <c r="AM148" i="19" s="1"/>
  <c r="AL147" i="19"/>
  <c r="AM147" i="19" s="1"/>
  <c r="AL146" i="19"/>
  <c r="AM146" i="19" s="1"/>
  <c r="AL145" i="19"/>
  <c r="AM145" i="19" s="1"/>
  <c r="AL144" i="19"/>
  <c r="AM144" i="19" s="1"/>
  <c r="AL143" i="19"/>
  <c r="AM143" i="19" s="1"/>
  <c r="AL142" i="19"/>
  <c r="AM142" i="19" s="1"/>
  <c r="AL141" i="19"/>
  <c r="AM141" i="19" s="1"/>
  <c r="AL140" i="19"/>
  <c r="AM140" i="19" s="1"/>
  <c r="AL139" i="19"/>
  <c r="AM139" i="19" s="1"/>
  <c r="AL138" i="19"/>
  <c r="AM138" i="19" s="1"/>
  <c r="AL137" i="19"/>
  <c r="AM137" i="19" s="1"/>
  <c r="AL136" i="19"/>
  <c r="AM136" i="19" s="1"/>
  <c r="AL135" i="19"/>
  <c r="AM135" i="19" s="1"/>
  <c r="AL134" i="19"/>
  <c r="AM134" i="19" s="1"/>
  <c r="AL133" i="19"/>
  <c r="AM133" i="19" s="1"/>
  <c r="AL132" i="19"/>
  <c r="AM132" i="19" s="1"/>
  <c r="AL131" i="19"/>
  <c r="AM131" i="19" s="1"/>
  <c r="AL130" i="19"/>
  <c r="AM130" i="19" s="1"/>
  <c r="AL129" i="19"/>
  <c r="AM129" i="19" s="1"/>
  <c r="AL128" i="19"/>
  <c r="AM128" i="19" s="1"/>
  <c r="AL127" i="19"/>
  <c r="AM127" i="19" s="1"/>
  <c r="AL126" i="19"/>
  <c r="AM126" i="19" s="1"/>
  <c r="AL125" i="19"/>
  <c r="AM125" i="19" s="1"/>
  <c r="AL124" i="19"/>
  <c r="AM124" i="19" s="1"/>
  <c r="AL123" i="19"/>
  <c r="AM123" i="19" s="1"/>
  <c r="AL122" i="19"/>
  <c r="AM122" i="19" s="1"/>
  <c r="AL121" i="19"/>
  <c r="AM121" i="19" s="1"/>
  <c r="AL120" i="19"/>
  <c r="AM120" i="19" s="1"/>
  <c r="AL119" i="19"/>
  <c r="AM119" i="19" s="1"/>
  <c r="AL118" i="19"/>
  <c r="AM118" i="19" s="1"/>
  <c r="AL117" i="19"/>
  <c r="AM117" i="19" s="1"/>
  <c r="AL116" i="19"/>
  <c r="AM116" i="19" s="1"/>
  <c r="AL115" i="19"/>
  <c r="AM115" i="19" s="1"/>
  <c r="AL114" i="19"/>
  <c r="AM114" i="19" s="1"/>
  <c r="AL113" i="19"/>
  <c r="AM113" i="19" s="1"/>
  <c r="AL112" i="19"/>
  <c r="AM112" i="19" s="1"/>
  <c r="AL111" i="19"/>
  <c r="AM111" i="19" s="1"/>
  <c r="AL110" i="19"/>
  <c r="AM110" i="19" s="1"/>
  <c r="AL109" i="19"/>
  <c r="AM109" i="19" s="1"/>
  <c r="AL108" i="19"/>
  <c r="AM108" i="19" s="1"/>
  <c r="AL107" i="19"/>
  <c r="AM107" i="19" s="1"/>
  <c r="AL106" i="19"/>
  <c r="AM106" i="19" s="1"/>
  <c r="AL105" i="19"/>
  <c r="AM105" i="19" s="1"/>
  <c r="AL104" i="19"/>
  <c r="AM104" i="19" s="1"/>
  <c r="AL103" i="19"/>
  <c r="AM103" i="19" s="1"/>
  <c r="AL102" i="19"/>
  <c r="AM102" i="19" s="1"/>
  <c r="AL101" i="19"/>
  <c r="AM101" i="19" s="1"/>
  <c r="AL100" i="19"/>
  <c r="AM100" i="19" s="1"/>
  <c r="AL99" i="19"/>
  <c r="AM99" i="19" s="1"/>
  <c r="AL98" i="19"/>
  <c r="AM98" i="19" s="1"/>
  <c r="AL97" i="19"/>
  <c r="AM97" i="19" s="1"/>
  <c r="AL96" i="19"/>
  <c r="AM96" i="19" s="1"/>
  <c r="AL95" i="19"/>
  <c r="AM95" i="19" s="1"/>
  <c r="AL94" i="19"/>
  <c r="AM94" i="19" s="1"/>
  <c r="AL93" i="19"/>
  <c r="AM93" i="19" s="1"/>
  <c r="AL92" i="19"/>
  <c r="AM92" i="19" s="1"/>
  <c r="AL91" i="19"/>
  <c r="AM91" i="19" s="1"/>
  <c r="AL90" i="19"/>
  <c r="AM90" i="19" s="1"/>
  <c r="AL89" i="19"/>
  <c r="AM89" i="19" s="1"/>
  <c r="AL88" i="19"/>
  <c r="AM88" i="19" s="1"/>
  <c r="AL87" i="19"/>
  <c r="AM87" i="19" s="1"/>
  <c r="AL86" i="19"/>
  <c r="AM86" i="19" s="1"/>
  <c r="AL85" i="19"/>
  <c r="AM85" i="19" s="1"/>
  <c r="AL84" i="19"/>
  <c r="AM84" i="19" s="1"/>
  <c r="AL83" i="19"/>
  <c r="AM83" i="19" s="1"/>
  <c r="AL82" i="19"/>
  <c r="AM82" i="19" s="1"/>
  <c r="AL81" i="19"/>
  <c r="AM81" i="19" s="1"/>
  <c r="AL80" i="19"/>
  <c r="AM80" i="19" s="1"/>
  <c r="AL79" i="19"/>
  <c r="AM79" i="19" s="1"/>
  <c r="AL78" i="19"/>
  <c r="AM78" i="19" s="1"/>
  <c r="AL77" i="19"/>
  <c r="AM77" i="19" s="1"/>
  <c r="AL76" i="19"/>
  <c r="AM76" i="19" s="1"/>
  <c r="AL75" i="19"/>
  <c r="AM75" i="19" s="1"/>
  <c r="AL74" i="19"/>
  <c r="AM74" i="19" s="1"/>
  <c r="AL73" i="19"/>
  <c r="AM73" i="19" s="1"/>
  <c r="AL72" i="19"/>
  <c r="AM72" i="19" s="1"/>
  <c r="AL71" i="19"/>
  <c r="AM71" i="19" s="1"/>
  <c r="AL70" i="19"/>
  <c r="AM70" i="19" s="1"/>
  <c r="AL69" i="19"/>
  <c r="AM69" i="19" s="1"/>
  <c r="AL68" i="19"/>
  <c r="AM68" i="19" s="1"/>
  <c r="AL67" i="19"/>
  <c r="AM67" i="19" s="1"/>
  <c r="AL66" i="19"/>
  <c r="AM66" i="19" s="1"/>
  <c r="AL65" i="19"/>
  <c r="AM65" i="19" s="1"/>
  <c r="AL64" i="19"/>
  <c r="AM64" i="19" s="1"/>
  <c r="AL63" i="19"/>
  <c r="AM63" i="19" s="1"/>
  <c r="AL62" i="19"/>
  <c r="AM62" i="19" s="1"/>
  <c r="AL61" i="19"/>
  <c r="AM61" i="19" s="1"/>
  <c r="AL60" i="19"/>
  <c r="AM60" i="19" s="1"/>
  <c r="AL59" i="19"/>
  <c r="AM59" i="19" s="1"/>
  <c r="AL58" i="19"/>
  <c r="AM58" i="19" s="1"/>
  <c r="AL57" i="19"/>
  <c r="AM57" i="19" s="1"/>
  <c r="AL56" i="19"/>
  <c r="AM56" i="19" s="1"/>
  <c r="AL55" i="19"/>
  <c r="AM55" i="19" s="1"/>
  <c r="AL54" i="19"/>
  <c r="AM54" i="19" s="1"/>
  <c r="AL53" i="19"/>
  <c r="AM53" i="19" s="1"/>
  <c r="AL52" i="19"/>
  <c r="AM52" i="19" s="1"/>
  <c r="AL51" i="19"/>
  <c r="AM51" i="19" s="1"/>
  <c r="AL50" i="19"/>
  <c r="AM50" i="19" s="1"/>
  <c r="AL49" i="19"/>
  <c r="AM49" i="19" s="1"/>
  <c r="AL48" i="19"/>
  <c r="AM48" i="19" s="1"/>
  <c r="AL47" i="19"/>
  <c r="AM47" i="19" s="1"/>
  <c r="AL46" i="19"/>
  <c r="AM46" i="19" s="1"/>
  <c r="AL45" i="19"/>
  <c r="AM45" i="19" s="1"/>
  <c r="AL44" i="19"/>
  <c r="AM44" i="19" s="1"/>
  <c r="AL43" i="19"/>
  <c r="AM43" i="19" s="1"/>
  <c r="AL42" i="19"/>
  <c r="AM42" i="19" s="1"/>
  <c r="AL41" i="19"/>
  <c r="AM41" i="19" s="1"/>
  <c r="AL40" i="19"/>
  <c r="AM40" i="19" s="1"/>
  <c r="AL39" i="19"/>
  <c r="AM39" i="19" s="1"/>
  <c r="AL38" i="19"/>
  <c r="AM38" i="19" s="1"/>
  <c r="AL37" i="19"/>
  <c r="AM37" i="19" s="1"/>
  <c r="AL36" i="19"/>
  <c r="AM36" i="19" s="1"/>
  <c r="AL35" i="19"/>
  <c r="AM35" i="19" s="1"/>
  <c r="AL34" i="19"/>
  <c r="AM34" i="19" s="1"/>
  <c r="AL33" i="19"/>
  <c r="AM33" i="19" s="1"/>
  <c r="AL32" i="19"/>
  <c r="AM32" i="19" s="1"/>
  <c r="AL31" i="19"/>
  <c r="AM31" i="19" s="1"/>
  <c r="AL30" i="19"/>
  <c r="AM30" i="19" s="1"/>
  <c r="AL29" i="19"/>
  <c r="AM29" i="19" s="1"/>
  <c r="AL28" i="19"/>
  <c r="AM28" i="19" s="1"/>
  <c r="AL27" i="19"/>
  <c r="AM27" i="19" s="1"/>
  <c r="AL26" i="19"/>
  <c r="AM26" i="19" s="1"/>
  <c r="AL25" i="19"/>
  <c r="AM25" i="19" s="1"/>
  <c r="AL24" i="19"/>
  <c r="AM24" i="19" s="1"/>
  <c r="AL23" i="19"/>
  <c r="AM23" i="19" s="1"/>
  <c r="AL22" i="19"/>
  <c r="AM22" i="19" s="1"/>
  <c r="AL21" i="19"/>
  <c r="AM21" i="19" s="1"/>
  <c r="AL20" i="19"/>
  <c r="AM20" i="19" s="1"/>
  <c r="AL19" i="19"/>
  <c r="AM19" i="19" s="1"/>
  <c r="AL18" i="19"/>
  <c r="AM18" i="19" s="1"/>
  <c r="AL17" i="19"/>
  <c r="AM17" i="19" s="1"/>
  <c r="AL16" i="19"/>
  <c r="AM16" i="19" s="1"/>
  <c r="AL15" i="19"/>
  <c r="AM15" i="19" s="1"/>
  <c r="AL14" i="19"/>
  <c r="AM14" i="19" s="1"/>
  <c r="AL13" i="19"/>
  <c r="AM13" i="19" s="1"/>
  <c r="AL12" i="19"/>
  <c r="AM12" i="19" s="1"/>
  <c r="AL11" i="19"/>
  <c r="AM11" i="19" s="1"/>
  <c r="AL10" i="19"/>
  <c r="AM10" i="19" s="1"/>
  <c r="AL9" i="19"/>
  <c r="AM9" i="19" s="1"/>
  <c r="AL8" i="19"/>
  <c r="AM8" i="19" s="1"/>
  <c r="AL7" i="19"/>
  <c r="AM7" i="19" s="1"/>
  <c r="AL6" i="19"/>
  <c r="AM6" i="19" s="1"/>
  <c r="AL5" i="19"/>
  <c r="AM5" i="19" s="1"/>
  <c r="AL4" i="19"/>
  <c r="AM4" i="19" s="1"/>
  <c r="AL3" i="19"/>
  <c r="AM3" i="19" s="1"/>
  <c r="AR464" i="18"/>
  <c r="AN464" i="18"/>
  <c r="AM463" i="18"/>
  <c r="AN463" i="18" s="1"/>
  <c r="AM462" i="18"/>
  <c r="AN462" i="18" s="1"/>
  <c r="AM461" i="18"/>
  <c r="AN461" i="18" s="1"/>
  <c r="AN460" i="18"/>
  <c r="AM459" i="18"/>
  <c r="AN459" i="18" s="1"/>
  <c r="AN458" i="18"/>
  <c r="AM457" i="18"/>
  <c r="AN457" i="18" s="1"/>
  <c r="AN456" i="18"/>
  <c r="AM455" i="18"/>
  <c r="AN455" i="18" s="1"/>
  <c r="AM454" i="18"/>
  <c r="AN454" i="18" s="1"/>
  <c r="AM453" i="18"/>
  <c r="AN453" i="18" s="1"/>
  <c r="AM452" i="18"/>
  <c r="AN452" i="18" s="1"/>
  <c r="AN451" i="18"/>
  <c r="AN450" i="18"/>
  <c r="AM449" i="18"/>
  <c r="AN449" i="18" s="1"/>
  <c r="AN448" i="18"/>
  <c r="AM447" i="18"/>
  <c r="AN447" i="18" s="1"/>
  <c r="AM445" i="18"/>
  <c r="AN445" i="18" s="1"/>
  <c r="AM444" i="18"/>
  <c r="AN444" i="18" s="1"/>
  <c r="AM443" i="18"/>
  <c r="AN443" i="18" s="1"/>
  <c r="AM442" i="18"/>
  <c r="AN442" i="18" s="1"/>
  <c r="AM441" i="18"/>
  <c r="AN441" i="18" s="1"/>
  <c r="AM440" i="18"/>
  <c r="AN440" i="18" s="1"/>
  <c r="AM439" i="18"/>
  <c r="AN439" i="18" s="1"/>
  <c r="AM438" i="18"/>
  <c r="AN438" i="18" s="1"/>
  <c r="AM437" i="18"/>
  <c r="AN437" i="18" s="1"/>
  <c r="AM436" i="18"/>
  <c r="AN436" i="18" s="1"/>
  <c r="AM435" i="18"/>
  <c r="AN435" i="18" s="1"/>
  <c r="AM434" i="18"/>
  <c r="AN434" i="18" s="1"/>
  <c r="AM433" i="18"/>
  <c r="AN433" i="18" s="1"/>
  <c r="AM432" i="18"/>
  <c r="AN432" i="18" s="1"/>
  <c r="AM431" i="18"/>
  <c r="AN431" i="18" s="1"/>
  <c r="AM430" i="18"/>
  <c r="AN430" i="18" s="1"/>
  <c r="AM429" i="18"/>
  <c r="AN429" i="18" s="1"/>
  <c r="AM428" i="18"/>
  <c r="AN428" i="18" s="1"/>
  <c r="AM427" i="18"/>
  <c r="AN427" i="18" s="1"/>
  <c r="AM426" i="18"/>
  <c r="AN426" i="18" s="1"/>
  <c r="AM425" i="18"/>
  <c r="AN425" i="18" s="1"/>
  <c r="AM424" i="18"/>
  <c r="AN424" i="18" s="1"/>
  <c r="AM423" i="18"/>
  <c r="AN423" i="18" s="1"/>
  <c r="AM422" i="18"/>
  <c r="AN422" i="18" s="1"/>
  <c r="AM421" i="18"/>
  <c r="AN421" i="18" s="1"/>
  <c r="AM420" i="18"/>
  <c r="AN420" i="18" s="1"/>
  <c r="AM419" i="18"/>
  <c r="AN419" i="18" s="1"/>
  <c r="AM418" i="18"/>
  <c r="AN418" i="18" s="1"/>
  <c r="AM417" i="18"/>
  <c r="AN417" i="18" s="1"/>
  <c r="AM416" i="18"/>
  <c r="AN416" i="18" s="1"/>
  <c r="AM415" i="18"/>
  <c r="AN415" i="18" s="1"/>
  <c r="AM414" i="18"/>
  <c r="AN414" i="18" s="1"/>
  <c r="AM413" i="18"/>
  <c r="AN413" i="18" s="1"/>
  <c r="AM412" i="18"/>
  <c r="AN412" i="18" s="1"/>
  <c r="AM411" i="18"/>
  <c r="AN411" i="18" s="1"/>
  <c r="AM410" i="18"/>
  <c r="AN410" i="18" s="1"/>
  <c r="AM409" i="18"/>
  <c r="AN409" i="18" s="1"/>
  <c r="AM408" i="18"/>
  <c r="AN408" i="18" s="1"/>
  <c r="AM407" i="18"/>
  <c r="AN407" i="18" s="1"/>
  <c r="AM406" i="18"/>
  <c r="AN406" i="18" s="1"/>
  <c r="AM405" i="18"/>
  <c r="AN405" i="18" s="1"/>
  <c r="AM404" i="18"/>
  <c r="AN404" i="18" s="1"/>
  <c r="AM403" i="18"/>
  <c r="AN403" i="18" s="1"/>
  <c r="AM402" i="18"/>
  <c r="AN402" i="18" s="1"/>
  <c r="AM401" i="18"/>
  <c r="AN401" i="18" s="1"/>
  <c r="AM400" i="18"/>
  <c r="AN400" i="18" s="1"/>
  <c r="AM399" i="18"/>
  <c r="AN399" i="18" s="1"/>
  <c r="AM398" i="18"/>
  <c r="AN398" i="18" s="1"/>
  <c r="AM397" i="18"/>
  <c r="AN397" i="18" s="1"/>
  <c r="AM396" i="18"/>
  <c r="AN396" i="18" s="1"/>
  <c r="AM395" i="18"/>
  <c r="AN395" i="18" s="1"/>
  <c r="AM394" i="18"/>
  <c r="AN394" i="18" s="1"/>
  <c r="AM393" i="18"/>
  <c r="AN393" i="18" s="1"/>
  <c r="AM392" i="18"/>
  <c r="AN392" i="18" s="1"/>
  <c r="AM391" i="18"/>
  <c r="AN391" i="18" s="1"/>
  <c r="AM390" i="18"/>
  <c r="AN390" i="18" s="1"/>
  <c r="AM389" i="18"/>
  <c r="AN389" i="18" s="1"/>
  <c r="AM388" i="18"/>
  <c r="AN388" i="18" s="1"/>
  <c r="AM387" i="18"/>
  <c r="AN387" i="18" s="1"/>
  <c r="AM386" i="18"/>
  <c r="AN386" i="18" s="1"/>
  <c r="AM385" i="18"/>
  <c r="AN385" i="18" s="1"/>
  <c r="AM384" i="18"/>
  <c r="AN384" i="18" s="1"/>
  <c r="AM383" i="18"/>
  <c r="AN383" i="18" s="1"/>
  <c r="AM382" i="18"/>
  <c r="AN382" i="18" s="1"/>
  <c r="AM381" i="18"/>
  <c r="AN381" i="18" s="1"/>
  <c r="AM380" i="18"/>
  <c r="AN380" i="18" s="1"/>
  <c r="AM379" i="18"/>
  <c r="AN379" i="18" s="1"/>
  <c r="AM378" i="18"/>
  <c r="AN378" i="18" s="1"/>
  <c r="AM377" i="18"/>
  <c r="AN377" i="18" s="1"/>
  <c r="AM376" i="18"/>
  <c r="AN376" i="18" s="1"/>
  <c r="AM375" i="18"/>
  <c r="AN375" i="18" s="1"/>
  <c r="AM374" i="18"/>
  <c r="AN374" i="18" s="1"/>
  <c r="AM373" i="18"/>
  <c r="AN373" i="18" s="1"/>
  <c r="AM372" i="18"/>
  <c r="AN372" i="18" s="1"/>
  <c r="AM371" i="18"/>
  <c r="AN371" i="18" s="1"/>
  <c r="AM370" i="18"/>
  <c r="AN370" i="18" s="1"/>
  <c r="AM369" i="18"/>
  <c r="AN369" i="18" s="1"/>
  <c r="AM368" i="18"/>
  <c r="AN368" i="18" s="1"/>
  <c r="AM367" i="18"/>
  <c r="AN367" i="18" s="1"/>
  <c r="AM366" i="18"/>
  <c r="AN366" i="18" s="1"/>
  <c r="AM365" i="18"/>
  <c r="AN365" i="18" s="1"/>
  <c r="AM364" i="18"/>
  <c r="AN364" i="18" s="1"/>
  <c r="AM363" i="18"/>
  <c r="AN363" i="18" s="1"/>
  <c r="AM362" i="18"/>
  <c r="AN362" i="18" s="1"/>
  <c r="AM361" i="18"/>
  <c r="AN361" i="18" s="1"/>
  <c r="AM360" i="18"/>
  <c r="AN360" i="18" s="1"/>
  <c r="AM359" i="18"/>
  <c r="AN359" i="18" s="1"/>
  <c r="AM358" i="18"/>
  <c r="AN358" i="18" s="1"/>
  <c r="AM357" i="18"/>
  <c r="AN357" i="18" s="1"/>
  <c r="AM356" i="18"/>
  <c r="AN356" i="18" s="1"/>
  <c r="AM355" i="18"/>
  <c r="AN355" i="18" s="1"/>
  <c r="AM354" i="18"/>
  <c r="AN354" i="18" s="1"/>
  <c r="AM353" i="18"/>
  <c r="AN353" i="18" s="1"/>
  <c r="AM352" i="18"/>
  <c r="AN352" i="18" s="1"/>
  <c r="AM351" i="18"/>
  <c r="AN351" i="18" s="1"/>
  <c r="AM350" i="18"/>
  <c r="AN350" i="18" s="1"/>
  <c r="AM349" i="18"/>
  <c r="AN349" i="18" s="1"/>
  <c r="AM348" i="18"/>
  <c r="AN348" i="18" s="1"/>
  <c r="AM347" i="18"/>
  <c r="AN347" i="18" s="1"/>
  <c r="AM346" i="18"/>
  <c r="AN346" i="18" s="1"/>
  <c r="AM345" i="18"/>
  <c r="AN345" i="18" s="1"/>
  <c r="AM344" i="18"/>
  <c r="AN344" i="18" s="1"/>
  <c r="AM343" i="18"/>
  <c r="AN343" i="18" s="1"/>
  <c r="AM342" i="18"/>
  <c r="AN342" i="18" s="1"/>
  <c r="AM341" i="18"/>
  <c r="AN341" i="18" s="1"/>
  <c r="AM340" i="18"/>
  <c r="AN340" i="18" s="1"/>
  <c r="AM339" i="18"/>
  <c r="AN339" i="18" s="1"/>
  <c r="AM338" i="18"/>
  <c r="AN338" i="18" s="1"/>
  <c r="AM337" i="18"/>
  <c r="AN337" i="18" s="1"/>
  <c r="AM336" i="18"/>
  <c r="AN336" i="18" s="1"/>
  <c r="AM335" i="18"/>
  <c r="AN335" i="18" s="1"/>
  <c r="AM334" i="18"/>
  <c r="AN334" i="18" s="1"/>
  <c r="AM333" i="18"/>
  <c r="AN333" i="18" s="1"/>
  <c r="AM332" i="18"/>
  <c r="AN332" i="18" s="1"/>
  <c r="AM331" i="18"/>
  <c r="AN331" i="18" s="1"/>
  <c r="AM330" i="18"/>
  <c r="AN330" i="18" s="1"/>
  <c r="AM329" i="18"/>
  <c r="AN329" i="18" s="1"/>
  <c r="AM328" i="18"/>
  <c r="AN328" i="18" s="1"/>
  <c r="AM327" i="18"/>
  <c r="AN327" i="18" s="1"/>
  <c r="AM326" i="18"/>
  <c r="AN326" i="18" s="1"/>
  <c r="AM325" i="18"/>
  <c r="AN325" i="18" s="1"/>
  <c r="AM324" i="18"/>
  <c r="AN324" i="18" s="1"/>
  <c r="AM323" i="18"/>
  <c r="AN323" i="18" s="1"/>
  <c r="AM322" i="18"/>
  <c r="AN322" i="18" s="1"/>
  <c r="AM321" i="18"/>
  <c r="AN321" i="18" s="1"/>
  <c r="AM320" i="18"/>
  <c r="AN320" i="18" s="1"/>
  <c r="AM319" i="18"/>
  <c r="AN319" i="18" s="1"/>
  <c r="AM318" i="18"/>
  <c r="AN318" i="18" s="1"/>
  <c r="AM317" i="18"/>
  <c r="AN317" i="18" s="1"/>
  <c r="AM316" i="18"/>
  <c r="AN316" i="18" s="1"/>
  <c r="AM315" i="18"/>
  <c r="AN315" i="18" s="1"/>
  <c r="AM314" i="18"/>
  <c r="AN314" i="18" s="1"/>
  <c r="AM313" i="18"/>
  <c r="AN313" i="18" s="1"/>
  <c r="AN312" i="18"/>
  <c r="AM312" i="18"/>
  <c r="AM311" i="18"/>
  <c r="AN311" i="18" s="1"/>
  <c r="AM310" i="18"/>
  <c r="AN310" i="18" s="1"/>
  <c r="AM309" i="18"/>
  <c r="AN309" i="18" s="1"/>
  <c r="AM308" i="18"/>
  <c r="AN308" i="18" s="1"/>
  <c r="AM307" i="18"/>
  <c r="AN307" i="18" s="1"/>
  <c r="AM306" i="18"/>
  <c r="AN306" i="18" s="1"/>
  <c r="AM305" i="18"/>
  <c r="AN305" i="18" s="1"/>
  <c r="AM304" i="18"/>
  <c r="AN304" i="18" s="1"/>
  <c r="AM303" i="18"/>
  <c r="AN303" i="18" s="1"/>
  <c r="AM302" i="18"/>
  <c r="AN302" i="18" s="1"/>
  <c r="AM301" i="18"/>
  <c r="AN301" i="18" s="1"/>
  <c r="AM300" i="18"/>
  <c r="AN300" i="18" s="1"/>
  <c r="AM299" i="18"/>
  <c r="AN299" i="18" s="1"/>
  <c r="AM298" i="18"/>
  <c r="AN298" i="18" s="1"/>
  <c r="AM297" i="18"/>
  <c r="AN297" i="18" s="1"/>
  <c r="AM296" i="18"/>
  <c r="AN296" i="18" s="1"/>
  <c r="AM295" i="18"/>
  <c r="AN295" i="18" s="1"/>
  <c r="AM294" i="18"/>
  <c r="AN294" i="18" s="1"/>
  <c r="AM293" i="18"/>
  <c r="AN293" i="18" s="1"/>
  <c r="AM292" i="18"/>
  <c r="AN292" i="18" s="1"/>
  <c r="AM291" i="18"/>
  <c r="AN291" i="18" s="1"/>
  <c r="AM290" i="18"/>
  <c r="AN290" i="18" s="1"/>
  <c r="AM289" i="18"/>
  <c r="AN289" i="18" s="1"/>
  <c r="AM288" i="18"/>
  <c r="AN288" i="18" s="1"/>
  <c r="AM287" i="18"/>
  <c r="AN287" i="18" s="1"/>
  <c r="AM286" i="18"/>
  <c r="AN286" i="18" s="1"/>
  <c r="AM285" i="18"/>
  <c r="AN285" i="18" s="1"/>
  <c r="AM284" i="18"/>
  <c r="AN284" i="18" s="1"/>
  <c r="AM283" i="18"/>
  <c r="AN283" i="18" s="1"/>
  <c r="AM282" i="18"/>
  <c r="AN282" i="18" s="1"/>
  <c r="AM281" i="18"/>
  <c r="AN281" i="18" s="1"/>
  <c r="AM280" i="18"/>
  <c r="AN280" i="18" s="1"/>
  <c r="AM279" i="18"/>
  <c r="AN279" i="18" s="1"/>
  <c r="AM278" i="18"/>
  <c r="AN278" i="18" s="1"/>
  <c r="AM277" i="18"/>
  <c r="AN277" i="18" s="1"/>
  <c r="AM276" i="18"/>
  <c r="AN276" i="18" s="1"/>
  <c r="AM275" i="18"/>
  <c r="AN275" i="18" s="1"/>
  <c r="AM274" i="18"/>
  <c r="AN274" i="18" s="1"/>
  <c r="AM273" i="18"/>
  <c r="AN273" i="18" s="1"/>
  <c r="AM272" i="18"/>
  <c r="AN272" i="18" s="1"/>
  <c r="AM271" i="18"/>
  <c r="AN271" i="18" s="1"/>
  <c r="AM270" i="18"/>
  <c r="AN270" i="18" s="1"/>
  <c r="AM269" i="18"/>
  <c r="AN269" i="18" s="1"/>
  <c r="AM268" i="18"/>
  <c r="AN268" i="18" s="1"/>
  <c r="AM267" i="18"/>
  <c r="AN267" i="18" s="1"/>
  <c r="AM266" i="18"/>
  <c r="AN266" i="18" s="1"/>
  <c r="AM265" i="18"/>
  <c r="AN265" i="18" s="1"/>
  <c r="AM264" i="18"/>
  <c r="AN264" i="18" s="1"/>
  <c r="AM263" i="18"/>
  <c r="AN263" i="18" s="1"/>
  <c r="AM262" i="18"/>
  <c r="AN262" i="18" s="1"/>
  <c r="AM261" i="18"/>
  <c r="AN261" i="18" s="1"/>
  <c r="AM260" i="18"/>
  <c r="AN260" i="18" s="1"/>
  <c r="AM259" i="18"/>
  <c r="AN259" i="18" s="1"/>
  <c r="AM258" i="18"/>
  <c r="AN258" i="18" s="1"/>
  <c r="AM257" i="18"/>
  <c r="AN257" i="18" s="1"/>
  <c r="AM256" i="18"/>
  <c r="AN256" i="18" s="1"/>
  <c r="AM255" i="18"/>
  <c r="AN255" i="18" s="1"/>
  <c r="AM254" i="18"/>
  <c r="AN254" i="18" s="1"/>
  <c r="AM253" i="18"/>
  <c r="AN253" i="18" s="1"/>
  <c r="AM252" i="18"/>
  <c r="AN252" i="18" s="1"/>
  <c r="AM251" i="18"/>
  <c r="AN251" i="18" s="1"/>
  <c r="AM250" i="18"/>
  <c r="AN250" i="18" s="1"/>
  <c r="AM249" i="18"/>
  <c r="AN249" i="18" s="1"/>
  <c r="AM248" i="18"/>
  <c r="AN248" i="18" s="1"/>
  <c r="AM247" i="18"/>
  <c r="AN247" i="18" s="1"/>
  <c r="AM246" i="18"/>
  <c r="AN246" i="18" s="1"/>
  <c r="AM245" i="18"/>
  <c r="AN245" i="18" s="1"/>
  <c r="AM244" i="18"/>
  <c r="AN244" i="18" s="1"/>
  <c r="AM243" i="18"/>
  <c r="AN243" i="18" s="1"/>
  <c r="AM242" i="18"/>
  <c r="AN242" i="18" s="1"/>
  <c r="AM241" i="18"/>
  <c r="AN241" i="18" s="1"/>
  <c r="AM240" i="18"/>
  <c r="AN240" i="18" s="1"/>
  <c r="AM239" i="18"/>
  <c r="AN239" i="18" s="1"/>
  <c r="AM238" i="18"/>
  <c r="AN238" i="18" s="1"/>
  <c r="AM237" i="18"/>
  <c r="AN237" i="18" s="1"/>
  <c r="AM236" i="18"/>
  <c r="AN236" i="18" s="1"/>
  <c r="AM235" i="18"/>
  <c r="AN235" i="18" s="1"/>
  <c r="AM234" i="18"/>
  <c r="AN234" i="18" s="1"/>
  <c r="AM233" i="18"/>
  <c r="AN233" i="18" s="1"/>
  <c r="AM232" i="18"/>
  <c r="AN232" i="18" s="1"/>
  <c r="AM231" i="18"/>
  <c r="AN231" i="18" s="1"/>
  <c r="AM230" i="18"/>
  <c r="AN230" i="18" s="1"/>
  <c r="AM229" i="18"/>
  <c r="AN229" i="18" s="1"/>
  <c r="AM228" i="18"/>
  <c r="AN228" i="18" s="1"/>
  <c r="AM227" i="18"/>
  <c r="AQ227" i="18" s="1"/>
  <c r="AM226" i="18"/>
  <c r="AN226" i="18" s="1"/>
  <c r="AM225" i="18"/>
  <c r="AQ225" i="18" s="1"/>
  <c r="AM224" i="18"/>
  <c r="AM223" i="18"/>
  <c r="AQ223" i="18" s="1"/>
  <c r="AM222" i="18"/>
  <c r="AN222" i="18" s="1"/>
  <c r="AM221" i="18"/>
  <c r="AQ221" i="18" s="1"/>
  <c r="AM220" i="18"/>
  <c r="AQ220" i="18" s="1"/>
  <c r="AM219" i="18"/>
  <c r="AQ219" i="18" s="1"/>
  <c r="AM218" i="18"/>
  <c r="AN218" i="18" s="1"/>
  <c r="AM217" i="18"/>
  <c r="AN217" i="18" s="1"/>
  <c r="AM216" i="18"/>
  <c r="AN216" i="18" s="1"/>
  <c r="AM215" i="18"/>
  <c r="AN215" i="18" s="1"/>
  <c r="AM214" i="18"/>
  <c r="AN214" i="18" s="1"/>
  <c r="AM213" i="18"/>
  <c r="AN213" i="18" s="1"/>
  <c r="AM212" i="18"/>
  <c r="AN212" i="18" s="1"/>
  <c r="AM211" i="18"/>
  <c r="AN211" i="18" s="1"/>
  <c r="AM210" i="18"/>
  <c r="AN210" i="18" s="1"/>
  <c r="AN209" i="18"/>
  <c r="AM209" i="18"/>
  <c r="AM208" i="18"/>
  <c r="AN208" i="18" s="1"/>
  <c r="AM207" i="18"/>
  <c r="AN207" i="18" s="1"/>
  <c r="AM206" i="18"/>
  <c r="AN206" i="18" s="1"/>
  <c r="AM205" i="18"/>
  <c r="AN205" i="18" s="1"/>
  <c r="AM204" i="18"/>
  <c r="AN204" i="18" s="1"/>
  <c r="AM203" i="18"/>
  <c r="AN203" i="18" s="1"/>
  <c r="AM202" i="18"/>
  <c r="AN202" i="18" s="1"/>
  <c r="AM201" i="18"/>
  <c r="AN201" i="18" s="1"/>
  <c r="AM200" i="18"/>
  <c r="AN200" i="18" s="1"/>
  <c r="AM199" i="18"/>
  <c r="AN199" i="18" s="1"/>
  <c r="AM198" i="18"/>
  <c r="AN198" i="18" s="1"/>
  <c r="AM197" i="18"/>
  <c r="AN197" i="18" s="1"/>
  <c r="AM196" i="18"/>
  <c r="AN196" i="18" s="1"/>
  <c r="AM195" i="18"/>
  <c r="AN195" i="18" s="1"/>
  <c r="AM194" i="18"/>
  <c r="AN194" i="18" s="1"/>
  <c r="AM193" i="18"/>
  <c r="AN193" i="18" s="1"/>
  <c r="AM192" i="18"/>
  <c r="AN192" i="18" s="1"/>
  <c r="AM191" i="18"/>
  <c r="AN191" i="18" s="1"/>
  <c r="AM190" i="18"/>
  <c r="AN190" i="18" s="1"/>
  <c r="AM189" i="18"/>
  <c r="AN189" i="18" s="1"/>
  <c r="AM188" i="18"/>
  <c r="AN188" i="18" s="1"/>
  <c r="AM187" i="18"/>
  <c r="AN187" i="18" s="1"/>
  <c r="AM186" i="18"/>
  <c r="AN186" i="18" s="1"/>
  <c r="AM185" i="18"/>
  <c r="AN185" i="18" s="1"/>
  <c r="AM184" i="18"/>
  <c r="AN184" i="18" s="1"/>
  <c r="AM183" i="18"/>
  <c r="AN183" i="18" s="1"/>
  <c r="AM182" i="18"/>
  <c r="AN182" i="18" s="1"/>
  <c r="AM181" i="18"/>
  <c r="AN181" i="18" s="1"/>
  <c r="AM180" i="18"/>
  <c r="AN180" i="18" s="1"/>
  <c r="AM179" i="18"/>
  <c r="AN179" i="18" s="1"/>
  <c r="AM178" i="18"/>
  <c r="AN178" i="18" s="1"/>
  <c r="AM177" i="18"/>
  <c r="AN177" i="18" s="1"/>
  <c r="AM176" i="18"/>
  <c r="AN176" i="18" s="1"/>
  <c r="AM175" i="18"/>
  <c r="AN175" i="18" s="1"/>
  <c r="AM174" i="18"/>
  <c r="AN174" i="18" s="1"/>
  <c r="AM173" i="18"/>
  <c r="AN173" i="18" s="1"/>
  <c r="AM172" i="18"/>
  <c r="AN172" i="18" s="1"/>
  <c r="AM171" i="18"/>
  <c r="AN171" i="18" s="1"/>
  <c r="AM170" i="18"/>
  <c r="AN170" i="18" s="1"/>
  <c r="AM169" i="18"/>
  <c r="AN169" i="18" s="1"/>
  <c r="AM168" i="18"/>
  <c r="AN168" i="18" s="1"/>
  <c r="AM167" i="18"/>
  <c r="AN167" i="18" s="1"/>
  <c r="AM166" i="18"/>
  <c r="AN166" i="18" s="1"/>
  <c r="AM165" i="18"/>
  <c r="AN165" i="18" s="1"/>
  <c r="AM164" i="18"/>
  <c r="AN164" i="18" s="1"/>
  <c r="AM163" i="18"/>
  <c r="AN163" i="18" s="1"/>
  <c r="AM162" i="18"/>
  <c r="AN162" i="18" s="1"/>
  <c r="AM161" i="18"/>
  <c r="AQ161" i="18" s="1"/>
  <c r="AM160" i="18"/>
  <c r="AN160" i="18" s="1"/>
  <c r="AM159" i="18"/>
  <c r="AQ159" i="18" s="1"/>
  <c r="AM158" i="18"/>
  <c r="AM157" i="18"/>
  <c r="AQ157" i="18" s="1"/>
  <c r="AM156" i="18"/>
  <c r="AN156" i="18" s="1"/>
  <c r="AM155" i="18"/>
  <c r="AQ155" i="18" s="1"/>
  <c r="AM154" i="18"/>
  <c r="AM153" i="18"/>
  <c r="AQ153" i="18" s="1"/>
  <c r="AM152" i="18"/>
  <c r="AM151" i="18"/>
  <c r="AN151" i="18" s="1"/>
  <c r="AM150" i="18"/>
  <c r="AN150" i="18" s="1"/>
  <c r="AM149" i="18"/>
  <c r="AN149" i="18" s="1"/>
  <c r="AM148" i="18"/>
  <c r="AN148" i="18" s="1"/>
  <c r="AM147" i="18"/>
  <c r="AN147" i="18" s="1"/>
  <c r="AM146" i="18"/>
  <c r="AN146" i="18" s="1"/>
  <c r="AM145" i="18"/>
  <c r="AN145" i="18" s="1"/>
  <c r="AM144" i="18"/>
  <c r="AN144" i="18" s="1"/>
  <c r="AM143" i="18"/>
  <c r="AN143" i="18" s="1"/>
  <c r="AM142" i="18"/>
  <c r="AN142" i="18" s="1"/>
  <c r="AM141" i="18"/>
  <c r="AN141" i="18" s="1"/>
  <c r="AM140" i="18"/>
  <c r="AN140" i="18" s="1"/>
  <c r="AM139" i="18"/>
  <c r="AN139" i="18" s="1"/>
  <c r="AM138" i="18"/>
  <c r="AN138" i="18" s="1"/>
  <c r="AM137" i="18"/>
  <c r="AN137" i="18" s="1"/>
  <c r="AM136" i="18"/>
  <c r="AN136" i="18" s="1"/>
  <c r="AM135" i="18"/>
  <c r="AN135" i="18" s="1"/>
  <c r="AM134" i="18"/>
  <c r="AN134" i="18" s="1"/>
  <c r="AM133" i="18"/>
  <c r="AN133" i="18" s="1"/>
  <c r="AM132" i="18"/>
  <c r="AN132" i="18" s="1"/>
  <c r="AM131" i="18"/>
  <c r="AN131" i="18" s="1"/>
  <c r="AM130" i="18"/>
  <c r="AN130" i="18" s="1"/>
  <c r="AM129" i="18"/>
  <c r="AN129" i="18" s="1"/>
  <c r="AM128" i="18"/>
  <c r="AN128" i="18" s="1"/>
  <c r="AM127" i="18"/>
  <c r="AN127" i="18" s="1"/>
  <c r="AM126" i="18"/>
  <c r="AN126" i="18" s="1"/>
  <c r="AM125" i="18"/>
  <c r="AN125" i="18" s="1"/>
  <c r="AM124" i="18"/>
  <c r="AN124" i="18" s="1"/>
  <c r="AM123" i="18"/>
  <c r="AN123" i="18" s="1"/>
  <c r="AM122" i="18"/>
  <c r="AN122" i="18" s="1"/>
  <c r="AM121" i="18"/>
  <c r="AN121" i="18" s="1"/>
  <c r="AM120" i="18"/>
  <c r="AN120" i="18" s="1"/>
  <c r="AM119" i="18"/>
  <c r="AN119" i="18" s="1"/>
  <c r="AM118" i="18"/>
  <c r="AN118" i="18" s="1"/>
  <c r="AM117" i="18"/>
  <c r="AN117" i="18" s="1"/>
  <c r="AM116" i="18"/>
  <c r="AN116" i="18" s="1"/>
  <c r="AM115" i="18"/>
  <c r="AN115" i="18" s="1"/>
  <c r="AM114" i="18"/>
  <c r="AN114" i="18" s="1"/>
  <c r="AM113" i="18"/>
  <c r="AN113" i="18" s="1"/>
  <c r="AM112" i="18"/>
  <c r="AN112" i="18" s="1"/>
  <c r="AM111" i="18"/>
  <c r="AN111" i="18" s="1"/>
  <c r="AM110" i="18"/>
  <c r="AN110" i="18" s="1"/>
  <c r="AM109" i="18"/>
  <c r="AN109" i="18" s="1"/>
  <c r="AM108" i="18"/>
  <c r="AN108" i="18" s="1"/>
  <c r="AM107" i="18"/>
  <c r="AN107" i="18" s="1"/>
  <c r="AM106" i="18"/>
  <c r="AN106" i="18" s="1"/>
  <c r="AM105" i="18"/>
  <c r="AN105" i="18" s="1"/>
  <c r="AM104" i="18"/>
  <c r="AN104" i="18" s="1"/>
  <c r="AM103" i="18"/>
  <c r="AN103" i="18" s="1"/>
  <c r="AM102" i="18"/>
  <c r="AN102" i="18" s="1"/>
  <c r="AM101" i="18"/>
  <c r="AN101" i="18" s="1"/>
  <c r="AM100" i="18"/>
  <c r="AN100" i="18" s="1"/>
  <c r="AM99" i="18"/>
  <c r="AN99" i="18" s="1"/>
  <c r="AM98" i="18"/>
  <c r="AN98" i="18" s="1"/>
  <c r="AM97" i="18"/>
  <c r="AN97" i="18" s="1"/>
  <c r="AM96" i="18"/>
  <c r="AN96" i="18" s="1"/>
  <c r="AM95" i="18"/>
  <c r="AN95" i="18" s="1"/>
  <c r="AM94" i="18"/>
  <c r="AN94" i="18" s="1"/>
  <c r="AM93" i="18"/>
  <c r="AN93" i="18" s="1"/>
  <c r="AM92" i="18"/>
  <c r="AN92" i="18" s="1"/>
  <c r="AM91" i="18"/>
  <c r="AN91" i="18" s="1"/>
  <c r="AM90" i="18"/>
  <c r="AN90" i="18" s="1"/>
  <c r="AM89" i="18"/>
  <c r="AN89" i="18" s="1"/>
  <c r="AM88" i="18"/>
  <c r="AN88" i="18" s="1"/>
  <c r="AM87" i="18"/>
  <c r="AN87" i="18" s="1"/>
  <c r="AM86" i="18"/>
  <c r="AN86" i="18" s="1"/>
  <c r="AM85" i="18"/>
  <c r="AN85" i="18" s="1"/>
  <c r="AM84" i="18"/>
  <c r="AN84" i="18" s="1"/>
  <c r="AM83" i="18"/>
  <c r="AN83" i="18" s="1"/>
  <c r="AM82" i="18"/>
  <c r="AN82" i="18" s="1"/>
  <c r="AM81" i="18"/>
  <c r="AN81" i="18" s="1"/>
  <c r="AM80" i="18"/>
  <c r="AN80" i="18" s="1"/>
  <c r="AM79" i="18"/>
  <c r="AN79" i="18" s="1"/>
  <c r="AM78" i="18"/>
  <c r="AN78" i="18" s="1"/>
  <c r="AM77" i="18"/>
  <c r="AN77" i="18" s="1"/>
  <c r="AM76" i="18"/>
  <c r="AN76" i="18" s="1"/>
  <c r="AM75" i="18"/>
  <c r="AN75" i="18" s="1"/>
  <c r="AM74" i="18"/>
  <c r="AN74" i="18" s="1"/>
  <c r="AM73" i="18"/>
  <c r="AN73" i="18" s="1"/>
  <c r="AM72" i="18"/>
  <c r="AN72" i="18" s="1"/>
  <c r="AM71" i="18"/>
  <c r="AN71" i="18" s="1"/>
  <c r="AM70" i="18"/>
  <c r="AN70" i="18" s="1"/>
  <c r="AM69" i="18"/>
  <c r="AN69" i="18" s="1"/>
  <c r="AM68" i="18"/>
  <c r="AN68" i="18" s="1"/>
  <c r="AM67" i="18"/>
  <c r="AN67" i="18" s="1"/>
  <c r="AM66" i="18"/>
  <c r="AN66" i="18" s="1"/>
  <c r="AM65" i="18"/>
  <c r="AN65" i="18" s="1"/>
  <c r="AM64" i="18"/>
  <c r="AN64" i="18" s="1"/>
  <c r="AM63" i="18"/>
  <c r="AN63" i="18" s="1"/>
  <c r="AM62" i="18"/>
  <c r="AN62" i="18" s="1"/>
  <c r="AN61" i="18"/>
  <c r="AM61" i="18"/>
  <c r="AM60" i="18"/>
  <c r="AN60" i="18" s="1"/>
  <c r="AM59" i="18"/>
  <c r="AN59" i="18" s="1"/>
  <c r="AM58" i="18"/>
  <c r="AN58" i="18" s="1"/>
  <c r="AM57" i="18"/>
  <c r="AN57" i="18" s="1"/>
  <c r="AM56" i="18"/>
  <c r="AN56" i="18" s="1"/>
  <c r="AM55" i="18"/>
  <c r="AN55" i="18" s="1"/>
  <c r="AM54" i="18"/>
  <c r="AN54" i="18" s="1"/>
  <c r="AQ53" i="18"/>
  <c r="AN53" i="18"/>
  <c r="AM52" i="18"/>
  <c r="AN52" i="18" s="1"/>
  <c r="AM51" i="18"/>
  <c r="AN51" i="18" s="1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N44" i="18" s="1"/>
  <c r="AM43" i="18"/>
  <c r="AN43" i="18" s="1"/>
  <c r="AM42" i="18"/>
  <c r="AQ42" i="18" s="1"/>
  <c r="AM41" i="18"/>
  <c r="AM40" i="18"/>
  <c r="AN40" i="18" s="1"/>
  <c r="AM39" i="18"/>
  <c r="AN39" i="18" s="1"/>
  <c r="AM38" i="18"/>
  <c r="AQ38" i="18" s="1"/>
  <c r="AM37" i="18"/>
  <c r="AM36" i="18"/>
  <c r="AN36" i="18" s="1"/>
  <c r="AM35" i="18"/>
  <c r="AQ35" i="18" s="1"/>
  <c r="AM34" i="18"/>
  <c r="AM33" i="18"/>
  <c r="AM32" i="18"/>
  <c r="AQ32" i="18" s="1"/>
  <c r="AM31" i="18"/>
  <c r="AQ31" i="18" s="1"/>
  <c r="AM30" i="18"/>
  <c r="AM29" i="18"/>
  <c r="AM28" i="18"/>
  <c r="AQ28" i="18" s="1"/>
  <c r="AM27" i="18"/>
  <c r="AQ27" i="18" s="1"/>
  <c r="AM26" i="18"/>
  <c r="AQ26" i="18" s="1"/>
  <c r="AM25" i="18"/>
  <c r="AM24" i="18"/>
  <c r="AQ24" i="18" s="1"/>
  <c r="AM23" i="18"/>
  <c r="AM22" i="18"/>
  <c r="AQ22" i="18" s="1"/>
  <c r="AM21" i="18"/>
  <c r="AM20" i="18"/>
  <c r="AQ20" i="18" s="1"/>
  <c r="AM19" i="18"/>
  <c r="AM18" i="18"/>
  <c r="AQ18" i="18" s="1"/>
  <c r="AM17" i="18"/>
  <c r="AM16" i="18"/>
  <c r="AN16" i="18" s="1"/>
  <c r="AM15" i="18"/>
  <c r="AN15" i="18" s="1"/>
  <c r="AM14" i="18"/>
  <c r="AM13" i="18"/>
  <c r="AM12" i="18"/>
  <c r="AQ12" i="18" s="1"/>
  <c r="AM11" i="18"/>
  <c r="AN11" i="18" s="1"/>
  <c r="AM10" i="18"/>
  <c r="AQ10" i="18" s="1"/>
  <c r="AM9" i="18"/>
  <c r="AM8" i="18"/>
  <c r="AQ8" i="18" s="1"/>
  <c r="AQ7" i="18"/>
  <c r="AM7" i="18"/>
  <c r="AN7" i="18" s="1"/>
  <c r="AM6" i="18"/>
  <c r="AQ6" i="18" s="1"/>
  <c r="AM5" i="18"/>
  <c r="AM4" i="18"/>
  <c r="AQ4" i="18" s="1"/>
  <c r="AM3" i="18"/>
  <c r="AQ3" i="18" s="1"/>
  <c r="AM49" i="17"/>
  <c r="AN49" i="17" s="1"/>
  <c r="AP49" i="17" s="1"/>
  <c r="AM48" i="17"/>
  <c r="AN48" i="17" s="1"/>
  <c r="AP48" i="17" s="1"/>
  <c r="AM47" i="17"/>
  <c r="AN47" i="17" s="1"/>
  <c r="AP47" i="17" s="1"/>
  <c r="AM46" i="17"/>
  <c r="AN46" i="17" s="1"/>
  <c r="AP46" i="17" s="1"/>
  <c r="AM45" i="17"/>
  <c r="AN45" i="17" s="1"/>
  <c r="AP45" i="17" s="1"/>
  <c r="AM44" i="17"/>
  <c r="AN44" i="17" s="1"/>
  <c r="AP44" i="17" s="1"/>
  <c r="AM43" i="17"/>
  <c r="AN43" i="17" s="1"/>
  <c r="AP43" i="17" s="1"/>
  <c r="AM42" i="17"/>
  <c r="AN42" i="17" s="1"/>
  <c r="AP42" i="17" s="1"/>
  <c r="AM41" i="17"/>
  <c r="AN41" i="17" s="1"/>
  <c r="AP41" i="17" s="1"/>
  <c r="AM40" i="17"/>
  <c r="AN40" i="17" s="1"/>
  <c r="AP40" i="17" s="1"/>
  <c r="AM39" i="17"/>
  <c r="AN39" i="17" s="1"/>
  <c r="AP39" i="17" s="1"/>
  <c r="AM38" i="17"/>
  <c r="AN38" i="17" s="1"/>
  <c r="AP38" i="17" s="1"/>
  <c r="AM37" i="17"/>
  <c r="AN37" i="17" s="1"/>
  <c r="AP37" i="17" s="1"/>
  <c r="AM36" i="17"/>
  <c r="AN36" i="17" s="1"/>
  <c r="AP36" i="17" s="1"/>
  <c r="AM35" i="17"/>
  <c r="AN35" i="17" s="1"/>
  <c r="AP35" i="17" s="1"/>
  <c r="AM34" i="17"/>
  <c r="AN34" i="17" s="1"/>
  <c r="AP34" i="17" s="1"/>
  <c r="AM33" i="17"/>
  <c r="AN33" i="17" s="1"/>
  <c r="AP33" i="17" s="1"/>
  <c r="AM32" i="17"/>
  <c r="AN32" i="17" s="1"/>
  <c r="AP32" i="17" s="1"/>
  <c r="AM31" i="17"/>
  <c r="AN31" i="17" s="1"/>
  <c r="AP31" i="17" s="1"/>
  <c r="AM30" i="17"/>
  <c r="AN30" i="17" s="1"/>
  <c r="AP30" i="17" s="1"/>
  <c r="AM29" i="17"/>
  <c r="AN29" i="17" s="1"/>
  <c r="AP29" i="17" s="1"/>
  <c r="AM28" i="17"/>
  <c r="AN28" i="17" s="1"/>
  <c r="AP28" i="17" s="1"/>
  <c r="AM27" i="17"/>
  <c r="AN27" i="17" s="1"/>
  <c r="AP27" i="17" s="1"/>
  <c r="AM26" i="17"/>
  <c r="AN26" i="17" s="1"/>
  <c r="AP26" i="17" s="1"/>
  <c r="AM25" i="17"/>
  <c r="AN25" i="17" s="1"/>
  <c r="AP25" i="17" s="1"/>
  <c r="AM24" i="17"/>
  <c r="AN24" i="17" s="1"/>
  <c r="AP24" i="17" s="1"/>
  <c r="AM23" i="17"/>
  <c r="AN23" i="17" s="1"/>
  <c r="AP23" i="17" s="1"/>
  <c r="AM22" i="17"/>
  <c r="AN22" i="17" s="1"/>
  <c r="AP22" i="17" s="1"/>
  <c r="AM21" i="17"/>
  <c r="AN21" i="17" s="1"/>
  <c r="AP21" i="17" s="1"/>
  <c r="AM20" i="17"/>
  <c r="AN20" i="17" s="1"/>
  <c r="AP20" i="17" s="1"/>
  <c r="AM19" i="17"/>
  <c r="AN19" i="17" s="1"/>
  <c r="AP19" i="17" s="1"/>
  <c r="AM18" i="17"/>
  <c r="AN18" i="17" s="1"/>
  <c r="AP18" i="17" s="1"/>
  <c r="AM17" i="17"/>
  <c r="AN17" i="17" s="1"/>
  <c r="AP17" i="17" s="1"/>
  <c r="AM16" i="17"/>
  <c r="AN16" i="17" s="1"/>
  <c r="AP16" i="17" s="1"/>
  <c r="AM15" i="17"/>
  <c r="AN15" i="17" s="1"/>
  <c r="AP15" i="17" s="1"/>
  <c r="AM14" i="17"/>
  <c r="AN14" i="17" s="1"/>
  <c r="AP14" i="17" s="1"/>
  <c r="AM13" i="17"/>
  <c r="AN13" i="17" s="1"/>
  <c r="AP13" i="17" s="1"/>
  <c r="AM12" i="17"/>
  <c r="AN12" i="17" s="1"/>
  <c r="AP12" i="17" s="1"/>
  <c r="AM11" i="17"/>
  <c r="AN11" i="17" s="1"/>
  <c r="AP11" i="17" s="1"/>
  <c r="AM10" i="17"/>
  <c r="AN10" i="17" s="1"/>
  <c r="AP10" i="17" s="1"/>
  <c r="AM9" i="17"/>
  <c r="AN9" i="17" s="1"/>
  <c r="AP9" i="17" s="1"/>
  <c r="AM8" i="17"/>
  <c r="AN8" i="17" s="1"/>
  <c r="AP8" i="17" s="1"/>
  <c r="AM7" i="17"/>
  <c r="AN7" i="17" s="1"/>
  <c r="AP7" i="17" s="1"/>
  <c r="AM6" i="17"/>
  <c r="AN6" i="17" s="1"/>
  <c r="AP6" i="17" s="1"/>
  <c r="AM5" i="17"/>
  <c r="AN5" i="17" s="1"/>
  <c r="AP5" i="17" s="1"/>
  <c r="AM4" i="17"/>
  <c r="AN4" i="17" s="1"/>
  <c r="AP4" i="17" s="1"/>
  <c r="AM3" i="17"/>
  <c r="AN3" i="17" s="1"/>
  <c r="AM426" i="16"/>
  <c r="AN426" i="16" s="1"/>
  <c r="AQ426" i="16" s="1"/>
  <c r="AM425" i="16"/>
  <c r="AN425" i="16" s="1"/>
  <c r="AQ425" i="16" s="1"/>
  <c r="AM424" i="16"/>
  <c r="AN424" i="16" s="1"/>
  <c r="AQ424" i="16" s="1"/>
  <c r="AM423" i="16"/>
  <c r="AN423" i="16" s="1"/>
  <c r="AQ423" i="16" s="1"/>
  <c r="AM422" i="16"/>
  <c r="AN422" i="16" s="1"/>
  <c r="AQ422" i="16" s="1"/>
  <c r="AM421" i="16"/>
  <c r="AN421" i="16" s="1"/>
  <c r="AQ421" i="16" s="1"/>
  <c r="AM420" i="16"/>
  <c r="AN420" i="16" s="1"/>
  <c r="AQ420" i="16" s="1"/>
  <c r="AM419" i="16"/>
  <c r="AN419" i="16" s="1"/>
  <c r="AQ419" i="16" s="1"/>
  <c r="AM418" i="16"/>
  <c r="AN418" i="16" s="1"/>
  <c r="AQ418" i="16" s="1"/>
  <c r="AM417" i="16"/>
  <c r="AN417" i="16" s="1"/>
  <c r="AQ417" i="16" s="1"/>
  <c r="AM416" i="16"/>
  <c r="AN416" i="16" s="1"/>
  <c r="AQ416" i="16" s="1"/>
  <c r="AM415" i="16"/>
  <c r="AN415" i="16" s="1"/>
  <c r="AQ415" i="16" s="1"/>
  <c r="AM414" i="16"/>
  <c r="AN414" i="16" s="1"/>
  <c r="AQ414" i="16" s="1"/>
  <c r="AM413" i="16"/>
  <c r="AN413" i="16" s="1"/>
  <c r="AQ413" i="16" s="1"/>
  <c r="AM412" i="16"/>
  <c r="AN412" i="16" s="1"/>
  <c r="AQ412" i="16" s="1"/>
  <c r="AM411" i="16"/>
  <c r="AN411" i="16" s="1"/>
  <c r="AQ411" i="16" s="1"/>
  <c r="AM410" i="16"/>
  <c r="AN410" i="16" s="1"/>
  <c r="AQ410" i="16" s="1"/>
  <c r="AM409" i="16"/>
  <c r="AN409" i="16" s="1"/>
  <c r="AQ409" i="16" s="1"/>
  <c r="AM408" i="16"/>
  <c r="AN408" i="16" s="1"/>
  <c r="AQ408" i="16" s="1"/>
  <c r="AM407" i="16"/>
  <c r="AN407" i="16" s="1"/>
  <c r="AQ407" i="16" s="1"/>
  <c r="AM406" i="16"/>
  <c r="AN406" i="16" s="1"/>
  <c r="AQ406" i="16" s="1"/>
  <c r="AM405" i="16"/>
  <c r="AN405" i="16" s="1"/>
  <c r="AQ405" i="16" s="1"/>
  <c r="AM404" i="16"/>
  <c r="AN404" i="16" s="1"/>
  <c r="AQ404" i="16" s="1"/>
  <c r="AM403" i="16"/>
  <c r="AN403" i="16" s="1"/>
  <c r="AQ403" i="16" s="1"/>
  <c r="AM402" i="16"/>
  <c r="AN402" i="16" s="1"/>
  <c r="AQ402" i="16" s="1"/>
  <c r="AM401" i="16"/>
  <c r="AN401" i="16" s="1"/>
  <c r="AQ401" i="16" s="1"/>
  <c r="AM400" i="16"/>
  <c r="AN400" i="16" s="1"/>
  <c r="AQ400" i="16" s="1"/>
  <c r="AM399" i="16"/>
  <c r="AN399" i="16" s="1"/>
  <c r="AQ399" i="16" s="1"/>
  <c r="AM398" i="16"/>
  <c r="AN398" i="16" s="1"/>
  <c r="AQ398" i="16" s="1"/>
  <c r="AM397" i="16"/>
  <c r="AN397" i="16" s="1"/>
  <c r="AQ397" i="16" s="1"/>
  <c r="AM396" i="16"/>
  <c r="AN396" i="16" s="1"/>
  <c r="AQ396" i="16" s="1"/>
  <c r="AM395" i="16"/>
  <c r="AN395" i="16" s="1"/>
  <c r="AQ395" i="16" s="1"/>
  <c r="AN394" i="16"/>
  <c r="AQ394" i="16" s="1"/>
  <c r="AM394" i="16"/>
  <c r="AM393" i="16"/>
  <c r="AN393" i="16" s="1"/>
  <c r="AQ393" i="16" s="1"/>
  <c r="AM392" i="16"/>
  <c r="AN392" i="16" s="1"/>
  <c r="AQ392" i="16" s="1"/>
  <c r="AM391" i="16"/>
  <c r="AN391" i="16" s="1"/>
  <c r="AQ391" i="16" s="1"/>
  <c r="AM390" i="16"/>
  <c r="AN390" i="16" s="1"/>
  <c r="AQ390" i="16" s="1"/>
  <c r="AM389" i="16"/>
  <c r="AN389" i="16" s="1"/>
  <c r="AQ389" i="16" s="1"/>
  <c r="AM388" i="16"/>
  <c r="AN388" i="16" s="1"/>
  <c r="AQ388" i="16" s="1"/>
  <c r="AM387" i="16"/>
  <c r="AN387" i="16" s="1"/>
  <c r="AQ387" i="16" s="1"/>
  <c r="AM386" i="16"/>
  <c r="AN386" i="16" s="1"/>
  <c r="AQ386" i="16" s="1"/>
  <c r="AM385" i="16"/>
  <c r="AN385" i="16" s="1"/>
  <c r="AQ385" i="16" s="1"/>
  <c r="AM384" i="16"/>
  <c r="AN384" i="16" s="1"/>
  <c r="AQ384" i="16" s="1"/>
  <c r="AM383" i="16"/>
  <c r="AN383" i="16" s="1"/>
  <c r="AQ383" i="16" s="1"/>
  <c r="AM382" i="16"/>
  <c r="AN382" i="16" s="1"/>
  <c r="AQ382" i="16" s="1"/>
  <c r="AM381" i="16"/>
  <c r="AN381" i="16" s="1"/>
  <c r="AQ381" i="16" s="1"/>
  <c r="AM380" i="16"/>
  <c r="AN380" i="16" s="1"/>
  <c r="AQ380" i="16" s="1"/>
  <c r="AM379" i="16"/>
  <c r="AN379" i="16" s="1"/>
  <c r="AQ379" i="16" s="1"/>
  <c r="AM378" i="16"/>
  <c r="AN378" i="16" s="1"/>
  <c r="AQ378" i="16" s="1"/>
  <c r="AM377" i="16"/>
  <c r="AN377" i="16" s="1"/>
  <c r="AQ377" i="16" s="1"/>
  <c r="AM376" i="16"/>
  <c r="AN376" i="16" s="1"/>
  <c r="AQ376" i="16" s="1"/>
  <c r="AM375" i="16"/>
  <c r="AN375" i="16" s="1"/>
  <c r="AQ375" i="16" s="1"/>
  <c r="AM374" i="16"/>
  <c r="AN374" i="16" s="1"/>
  <c r="AQ374" i="16" s="1"/>
  <c r="AM373" i="16"/>
  <c r="AN373" i="16" s="1"/>
  <c r="AQ373" i="16" s="1"/>
  <c r="AM372" i="16"/>
  <c r="AN372" i="16" s="1"/>
  <c r="AQ372" i="16" s="1"/>
  <c r="AM371" i="16"/>
  <c r="AN371" i="16" s="1"/>
  <c r="AQ371" i="16" s="1"/>
  <c r="AM370" i="16"/>
  <c r="AN370" i="16" s="1"/>
  <c r="AQ370" i="16" s="1"/>
  <c r="AM369" i="16"/>
  <c r="AN369" i="16" s="1"/>
  <c r="AQ369" i="16" s="1"/>
  <c r="AM368" i="16"/>
  <c r="AN368" i="16" s="1"/>
  <c r="AQ368" i="16" s="1"/>
  <c r="AM367" i="16"/>
  <c r="AN367" i="16" s="1"/>
  <c r="AQ367" i="16" s="1"/>
  <c r="AM366" i="16"/>
  <c r="AN366" i="16" s="1"/>
  <c r="AQ366" i="16" s="1"/>
  <c r="AM365" i="16"/>
  <c r="AN365" i="16" s="1"/>
  <c r="AQ365" i="16" s="1"/>
  <c r="AM364" i="16"/>
  <c r="AN364" i="16" s="1"/>
  <c r="AQ364" i="16" s="1"/>
  <c r="AM363" i="16"/>
  <c r="AN363" i="16" s="1"/>
  <c r="AQ363" i="16" s="1"/>
  <c r="AM362" i="16"/>
  <c r="AN362" i="16" s="1"/>
  <c r="AQ362" i="16" s="1"/>
  <c r="AM361" i="16"/>
  <c r="AN361" i="16" s="1"/>
  <c r="AQ361" i="16" s="1"/>
  <c r="AM360" i="16"/>
  <c r="AN360" i="16" s="1"/>
  <c r="AQ360" i="16" s="1"/>
  <c r="AM359" i="16"/>
  <c r="AN359" i="16" s="1"/>
  <c r="AQ359" i="16" s="1"/>
  <c r="AM358" i="16"/>
  <c r="AN358" i="16" s="1"/>
  <c r="AQ358" i="16" s="1"/>
  <c r="AM357" i="16"/>
  <c r="AN357" i="16" s="1"/>
  <c r="AQ357" i="16" s="1"/>
  <c r="AM356" i="16"/>
  <c r="AN356" i="16" s="1"/>
  <c r="AQ356" i="16" s="1"/>
  <c r="AM355" i="16"/>
  <c r="AN355" i="16" s="1"/>
  <c r="AQ355" i="16" s="1"/>
  <c r="AM354" i="16"/>
  <c r="AN354" i="16" s="1"/>
  <c r="AQ354" i="16" s="1"/>
  <c r="AM353" i="16"/>
  <c r="AN353" i="16" s="1"/>
  <c r="AQ353" i="16" s="1"/>
  <c r="AM352" i="16"/>
  <c r="AN352" i="16" s="1"/>
  <c r="AQ352" i="16" s="1"/>
  <c r="AM351" i="16"/>
  <c r="AN351" i="16" s="1"/>
  <c r="AQ351" i="16" s="1"/>
  <c r="AM350" i="16"/>
  <c r="AN350" i="16" s="1"/>
  <c r="AQ350" i="16" s="1"/>
  <c r="AM349" i="16"/>
  <c r="AN349" i="16" s="1"/>
  <c r="AQ349" i="16" s="1"/>
  <c r="AM348" i="16"/>
  <c r="AN348" i="16" s="1"/>
  <c r="AQ348" i="16" s="1"/>
  <c r="AM347" i="16"/>
  <c r="AN347" i="16" s="1"/>
  <c r="AQ347" i="16" s="1"/>
  <c r="AM346" i="16"/>
  <c r="AN346" i="16" s="1"/>
  <c r="AQ346" i="16" s="1"/>
  <c r="AM345" i="16"/>
  <c r="AN345" i="16" s="1"/>
  <c r="AQ345" i="16" s="1"/>
  <c r="AM344" i="16"/>
  <c r="AN344" i="16" s="1"/>
  <c r="AQ344" i="16" s="1"/>
  <c r="AM343" i="16"/>
  <c r="AN343" i="16" s="1"/>
  <c r="AQ343" i="16" s="1"/>
  <c r="AM342" i="16"/>
  <c r="AN342" i="16" s="1"/>
  <c r="AQ342" i="16" s="1"/>
  <c r="AM341" i="16"/>
  <c r="AN341" i="16" s="1"/>
  <c r="AQ341" i="16" s="1"/>
  <c r="AM340" i="16"/>
  <c r="AN340" i="16" s="1"/>
  <c r="AQ340" i="16" s="1"/>
  <c r="AM339" i="16"/>
  <c r="AN339" i="16" s="1"/>
  <c r="AQ339" i="16" s="1"/>
  <c r="AM338" i="16"/>
  <c r="AN338" i="16" s="1"/>
  <c r="AQ338" i="16" s="1"/>
  <c r="AM337" i="16"/>
  <c r="AN337" i="16" s="1"/>
  <c r="AQ337" i="16" s="1"/>
  <c r="AM336" i="16"/>
  <c r="AN336" i="16" s="1"/>
  <c r="AQ336" i="16" s="1"/>
  <c r="AM335" i="16"/>
  <c r="AN335" i="16" s="1"/>
  <c r="AQ335" i="16" s="1"/>
  <c r="AM334" i="16"/>
  <c r="AN334" i="16" s="1"/>
  <c r="AQ334" i="16" s="1"/>
  <c r="AM333" i="16"/>
  <c r="AN333" i="16" s="1"/>
  <c r="AQ333" i="16" s="1"/>
  <c r="AM332" i="16"/>
  <c r="AN332" i="16" s="1"/>
  <c r="AQ332" i="16" s="1"/>
  <c r="AM331" i="16"/>
  <c r="AN331" i="16" s="1"/>
  <c r="AQ331" i="16" s="1"/>
  <c r="AM330" i="16"/>
  <c r="AN330" i="16" s="1"/>
  <c r="AQ330" i="16" s="1"/>
  <c r="AM329" i="16"/>
  <c r="AN329" i="16" s="1"/>
  <c r="AQ329" i="16" s="1"/>
  <c r="AM328" i="16"/>
  <c r="AN328" i="16" s="1"/>
  <c r="AQ328" i="16" s="1"/>
  <c r="AM327" i="16"/>
  <c r="AN327" i="16" s="1"/>
  <c r="AQ327" i="16" s="1"/>
  <c r="AM326" i="16"/>
  <c r="AN326" i="16" s="1"/>
  <c r="AQ326" i="16" s="1"/>
  <c r="AM325" i="16"/>
  <c r="AN325" i="16" s="1"/>
  <c r="AQ325" i="16" s="1"/>
  <c r="AM324" i="16"/>
  <c r="AN324" i="16" s="1"/>
  <c r="AQ324" i="16" s="1"/>
  <c r="AM323" i="16"/>
  <c r="AN323" i="16" s="1"/>
  <c r="AQ323" i="16" s="1"/>
  <c r="AM322" i="16"/>
  <c r="AN322" i="16" s="1"/>
  <c r="AQ322" i="16" s="1"/>
  <c r="AM321" i="16"/>
  <c r="AN321" i="16" s="1"/>
  <c r="AQ321" i="16" s="1"/>
  <c r="AM320" i="16"/>
  <c r="AN320" i="16" s="1"/>
  <c r="AQ320" i="16" s="1"/>
  <c r="AM319" i="16"/>
  <c r="AN319" i="16" s="1"/>
  <c r="AQ319" i="16" s="1"/>
  <c r="AM318" i="16"/>
  <c r="AN318" i="16" s="1"/>
  <c r="AQ318" i="16" s="1"/>
  <c r="AM317" i="16"/>
  <c r="AN317" i="16" s="1"/>
  <c r="AQ317" i="16" s="1"/>
  <c r="AM316" i="16"/>
  <c r="AN316" i="16" s="1"/>
  <c r="AQ316" i="16" s="1"/>
  <c r="AM315" i="16"/>
  <c r="AN315" i="16" s="1"/>
  <c r="AQ315" i="16" s="1"/>
  <c r="AM314" i="16"/>
  <c r="AN314" i="16" s="1"/>
  <c r="AQ314" i="16" s="1"/>
  <c r="AM313" i="16"/>
  <c r="AN313" i="16" s="1"/>
  <c r="AQ313" i="16" s="1"/>
  <c r="AM312" i="16"/>
  <c r="AN312" i="16" s="1"/>
  <c r="AQ312" i="16" s="1"/>
  <c r="AM311" i="16"/>
  <c r="AN311" i="16" s="1"/>
  <c r="AQ311" i="16" s="1"/>
  <c r="AM310" i="16"/>
  <c r="AN310" i="16" s="1"/>
  <c r="AQ310" i="16" s="1"/>
  <c r="AM309" i="16"/>
  <c r="AN309" i="16" s="1"/>
  <c r="AQ309" i="16" s="1"/>
  <c r="AM308" i="16"/>
  <c r="AN308" i="16" s="1"/>
  <c r="AQ308" i="16" s="1"/>
  <c r="AM307" i="16"/>
  <c r="AN307" i="16" s="1"/>
  <c r="AQ307" i="16" s="1"/>
  <c r="AM306" i="16"/>
  <c r="AN306" i="16" s="1"/>
  <c r="AQ306" i="16" s="1"/>
  <c r="AM305" i="16"/>
  <c r="AN305" i="16" s="1"/>
  <c r="AQ305" i="16" s="1"/>
  <c r="AM304" i="16"/>
  <c r="AN304" i="16" s="1"/>
  <c r="AQ304" i="16" s="1"/>
  <c r="AM303" i="16"/>
  <c r="AN303" i="16" s="1"/>
  <c r="AQ303" i="16" s="1"/>
  <c r="AM302" i="16"/>
  <c r="AN302" i="16" s="1"/>
  <c r="AQ302" i="16" s="1"/>
  <c r="AM301" i="16"/>
  <c r="AN301" i="16" s="1"/>
  <c r="AQ301" i="16" s="1"/>
  <c r="AM300" i="16"/>
  <c r="AN300" i="16" s="1"/>
  <c r="AQ300" i="16" s="1"/>
  <c r="AM299" i="16"/>
  <c r="AN299" i="16" s="1"/>
  <c r="AQ299" i="16" s="1"/>
  <c r="AM298" i="16"/>
  <c r="AN298" i="16" s="1"/>
  <c r="AQ298" i="16" s="1"/>
  <c r="AM297" i="16"/>
  <c r="AN297" i="16" s="1"/>
  <c r="AQ297" i="16" s="1"/>
  <c r="AM296" i="16"/>
  <c r="AN296" i="16" s="1"/>
  <c r="AQ296" i="16" s="1"/>
  <c r="AM295" i="16"/>
  <c r="AN295" i="16" s="1"/>
  <c r="AQ295" i="16" s="1"/>
  <c r="AM294" i="16"/>
  <c r="AN294" i="16" s="1"/>
  <c r="AQ294" i="16" s="1"/>
  <c r="AM293" i="16"/>
  <c r="AN293" i="16" s="1"/>
  <c r="AQ293" i="16" s="1"/>
  <c r="AM292" i="16"/>
  <c r="AN292" i="16" s="1"/>
  <c r="AQ292" i="16" s="1"/>
  <c r="AM291" i="16"/>
  <c r="AN291" i="16" s="1"/>
  <c r="AQ291" i="16" s="1"/>
  <c r="AM290" i="16"/>
  <c r="AN290" i="16" s="1"/>
  <c r="AQ290" i="16" s="1"/>
  <c r="AM289" i="16"/>
  <c r="AN289" i="16" s="1"/>
  <c r="AQ289" i="16" s="1"/>
  <c r="AM288" i="16"/>
  <c r="AN288" i="16" s="1"/>
  <c r="AQ288" i="16" s="1"/>
  <c r="AM287" i="16"/>
  <c r="AN287" i="16" s="1"/>
  <c r="AQ287" i="16" s="1"/>
  <c r="AM286" i="16"/>
  <c r="AN286" i="16" s="1"/>
  <c r="AQ286" i="16" s="1"/>
  <c r="AM285" i="16"/>
  <c r="AN285" i="16" s="1"/>
  <c r="AQ285" i="16" s="1"/>
  <c r="AM284" i="16"/>
  <c r="AN284" i="16" s="1"/>
  <c r="AQ284" i="16" s="1"/>
  <c r="AM283" i="16"/>
  <c r="AN283" i="16" s="1"/>
  <c r="AQ283" i="16" s="1"/>
  <c r="AM282" i="16"/>
  <c r="AN282" i="16" s="1"/>
  <c r="AQ282" i="16" s="1"/>
  <c r="AM281" i="16"/>
  <c r="AN281" i="16" s="1"/>
  <c r="AQ281" i="16" s="1"/>
  <c r="AM280" i="16"/>
  <c r="AN280" i="16" s="1"/>
  <c r="AQ280" i="16" s="1"/>
  <c r="AM279" i="16"/>
  <c r="AN279" i="16" s="1"/>
  <c r="AQ279" i="16" s="1"/>
  <c r="AM278" i="16"/>
  <c r="AN278" i="16" s="1"/>
  <c r="AQ278" i="16" s="1"/>
  <c r="AM277" i="16"/>
  <c r="AN277" i="16" s="1"/>
  <c r="AQ277" i="16" s="1"/>
  <c r="AM276" i="16"/>
  <c r="AN276" i="16" s="1"/>
  <c r="AQ276" i="16" s="1"/>
  <c r="AM275" i="16"/>
  <c r="AN275" i="16" s="1"/>
  <c r="AQ275" i="16" s="1"/>
  <c r="AM274" i="16"/>
  <c r="AN274" i="16" s="1"/>
  <c r="AQ274" i="16" s="1"/>
  <c r="AM273" i="16"/>
  <c r="AN273" i="16" s="1"/>
  <c r="AQ273" i="16" s="1"/>
  <c r="AM272" i="16"/>
  <c r="AN272" i="16" s="1"/>
  <c r="AQ272" i="16" s="1"/>
  <c r="AM271" i="16"/>
  <c r="AN271" i="16" s="1"/>
  <c r="AQ271" i="16" s="1"/>
  <c r="AM270" i="16"/>
  <c r="AN270" i="16" s="1"/>
  <c r="AQ270" i="16" s="1"/>
  <c r="AM269" i="16"/>
  <c r="AN269" i="16" s="1"/>
  <c r="AQ269" i="16" s="1"/>
  <c r="AM268" i="16"/>
  <c r="AN268" i="16" s="1"/>
  <c r="AQ268" i="16" s="1"/>
  <c r="AM267" i="16"/>
  <c r="AN267" i="16" s="1"/>
  <c r="AQ267" i="16" s="1"/>
  <c r="AM266" i="16"/>
  <c r="AN266" i="16" s="1"/>
  <c r="AQ266" i="16" s="1"/>
  <c r="AM265" i="16"/>
  <c r="AN265" i="16" s="1"/>
  <c r="AQ265" i="16" s="1"/>
  <c r="AM264" i="16"/>
  <c r="AN264" i="16" s="1"/>
  <c r="AQ264" i="16" s="1"/>
  <c r="AM263" i="16"/>
  <c r="AN263" i="16" s="1"/>
  <c r="AQ263" i="16" s="1"/>
  <c r="AM262" i="16"/>
  <c r="AN262" i="16" s="1"/>
  <c r="AQ262" i="16" s="1"/>
  <c r="AM261" i="16"/>
  <c r="AN261" i="16" s="1"/>
  <c r="AQ261" i="16" s="1"/>
  <c r="AM260" i="16"/>
  <c r="AN260" i="16" s="1"/>
  <c r="AQ260" i="16" s="1"/>
  <c r="AM259" i="16"/>
  <c r="AN259" i="16" s="1"/>
  <c r="AQ259" i="16" s="1"/>
  <c r="AM258" i="16"/>
  <c r="AN258" i="16" s="1"/>
  <c r="AQ258" i="16" s="1"/>
  <c r="AM257" i="16"/>
  <c r="AN257" i="16" s="1"/>
  <c r="AQ257" i="16" s="1"/>
  <c r="AM256" i="16"/>
  <c r="AN256" i="16" s="1"/>
  <c r="AQ256" i="16" s="1"/>
  <c r="AM255" i="16"/>
  <c r="AN255" i="16" s="1"/>
  <c r="AQ255" i="16" s="1"/>
  <c r="AM254" i="16"/>
  <c r="AN254" i="16" s="1"/>
  <c r="AQ254" i="16" s="1"/>
  <c r="AM253" i="16"/>
  <c r="AN253" i="16" s="1"/>
  <c r="AQ253" i="16" s="1"/>
  <c r="AM252" i="16"/>
  <c r="AN252" i="16" s="1"/>
  <c r="AQ252" i="16" s="1"/>
  <c r="AM251" i="16"/>
  <c r="AN251" i="16" s="1"/>
  <c r="AQ251" i="16" s="1"/>
  <c r="AM250" i="16"/>
  <c r="AN250" i="16" s="1"/>
  <c r="AQ250" i="16" s="1"/>
  <c r="AM249" i="16"/>
  <c r="AN249" i="16" s="1"/>
  <c r="AQ249" i="16" s="1"/>
  <c r="AM248" i="16"/>
  <c r="AN248" i="16" s="1"/>
  <c r="AQ248" i="16" s="1"/>
  <c r="AM247" i="16"/>
  <c r="AN247" i="16" s="1"/>
  <c r="AQ247" i="16" s="1"/>
  <c r="AM246" i="16"/>
  <c r="AN246" i="16" s="1"/>
  <c r="AQ246" i="16" s="1"/>
  <c r="AM245" i="16"/>
  <c r="AN245" i="16" s="1"/>
  <c r="AQ245" i="16" s="1"/>
  <c r="AM244" i="16"/>
  <c r="AN244" i="16" s="1"/>
  <c r="AQ244" i="16" s="1"/>
  <c r="AM243" i="16"/>
  <c r="AN243" i="16" s="1"/>
  <c r="AQ243" i="16" s="1"/>
  <c r="AM242" i="16"/>
  <c r="AN242" i="16" s="1"/>
  <c r="AQ242" i="16" s="1"/>
  <c r="AM241" i="16"/>
  <c r="AN241" i="16" s="1"/>
  <c r="AQ241" i="16" s="1"/>
  <c r="AM240" i="16"/>
  <c r="AN240" i="16" s="1"/>
  <c r="AQ240" i="16" s="1"/>
  <c r="AM239" i="16"/>
  <c r="AN239" i="16" s="1"/>
  <c r="AQ239" i="16" s="1"/>
  <c r="AM238" i="16"/>
  <c r="AN238" i="16" s="1"/>
  <c r="AQ238" i="16" s="1"/>
  <c r="AM237" i="16"/>
  <c r="AN237" i="16" s="1"/>
  <c r="AQ237" i="16" s="1"/>
  <c r="AM236" i="16"/>
  <c r="AN236" i="16" s="1"/>
  <c r="AQ236" i="16" s="1"/>
  <c r="AM235" i="16"/>
  <c r="AN235" i="16" s="1"/>
  <c r="AQ235" i="16" s="1"/>
  <c r="AM234" i="16"/>
  <c r="AN234" i="16" s="1"/>
  <c r="AQ234" i="16" s="1"/>
  <c r="AM233" i="16"/>
  <c r="AN233" i="16" s="1"/>
  <c r="AQ233" i="16" s="1"/>
  <c r="AM232" i="16"/>
  <c r="AN232" i="16" s="1"/>
  <c r="AQ232" i="16" s="1"/>
  <c r="AM231" i="16"/>
  <c r="AN231" i="16" s="1"/>
  <c r="AQ231" i="16" s="1"/>
  <c r="AN230" i="16"/>
  <c r="AQ230" i="16" s="1"/>
  <c r="AN229" i="16"/>
  <c r="AQ229" i="16" s="1"/>
  <c r="AM229" i="16"/>
  <c r="AM228" i="16"/>
  <c r="AN228" i="16" s="1"/>
  <c r="AQ228" i="16" s="1"/>
  <c r="AM227" i="16"/>
  <c r="AN227" i="16" s="1"/>
  <c r="AQ227" i="16" s="1"/>
  <c r="AM226" i="16"/>
  <c r="AN226" i="16" s="1"/>
  <c r="AQ226" i="16" s="1"/>
  <c r="AM225" i="16"/>
  <c r="AN225" i="16" s="1"/>
  <c r="AQ225" i="16" s="1"/>
  <c r="AM224" i="16"/>
  <c r="AN224" i="16" s="1"/>
  <c r="AQ224" i="16" s="1"/>
  <c r="AM223" i="16"/>
  <c r="AN223" i="16" s="1"/>
  <c r="AQ223" i="16" s="1"/>
  <c r="AM222" i="16"/>
  <c r="AN222" i="16" s="1"/>
  <c r="AQ222" i="16" s="1"/>
  <c r="AM221" i="16"/>
  <c r="AN221" i="16" s="1"/>
  <c r="AQ221" i="16" s="1"/>
  <c r="AM220" i="16"/>
  <c r="AN220" i="16" s="1"/>
  <c r="AQ220" i="16" s="1"/>
  <c r="AM219" i="16"/>
  <c r="AN219" i="16" s="1"/>
  <c r="AQ219" i="16" s="1"/>
  <c r="AM218" i="16"/>
  <c r="AN218" i="16" s="1"/>
  <c r="AQ218" i="16" s="1"/>
  <c r="AM217" i="16"/>
  <c r="AN217" i="16" s="1"/>
  <c r="AQ217" i="16" s="1"/>
  <c r="AM216" i="16"/>
  <c r="AN216" i="16" s="1"/>
  <c r="AQ216" i="16" s="1"/>
  <c r="AM215" i="16"/>
  <c r="AN215" i="16" s="1"/>
  <c r="AQ215" i="16" s="1"/>
  <c r="AM214" i="16"/>
  <c r="AN214" i="16" s="1"/>
  <c r="AQ214" i="16" s="1"/>
  <c r="AM213" i="16"/>
  <c r="AN213" i="16" s="1"/>
  <c r="AQ213" i="16" s="1"/>
  <c r="AM212" i="16"/>
  <c r="AN212" i="16" s="1"/>
  <c r="AQ212" i="16" s="1"/>
  <c r="AM211" i="16"/>
  <c r="AN211" i="16" s="1"/>
  <c r="AQ211" i="16" s="1"/>
  <c r="AM210" i="16"/>
  <c r="AN210" i="16" s="1"/>
  <c r="AQ210" i="16" s="1"/>
  <c r="AN209" i="16"/>
  <c r="AQ209" i="16" s="1"/>
  <c r="AM209" i="16"/>
  <c r="AM208" i="16"/>
  <c r="AN208" i="16" s="1"/>
  <c r="AQ208" i="16" s="1"/>
  <c r="AM207" i="16"/>
  <c r="AN207" i="16" s="1"/>
  <c r="AQ207" i="16" s="1"/>
  <c r="AM206" i="16"/>
  <c r="AN206" i="16" s="1"/>
  <c r="AQ206" i="16" s="1"/>
  <c r="AM205" i="16"/>
  <c r="AN205" i="16" s="1"/>
  <c r="AQ205" i="16" s="1"/>
  <c r="AM204" i="16"/>
  <c r="AN204" i="16" s="1"/>
  <c r="AQ204" i="16" s="1"/>
  <c r="AM203" i="16"/>
  <c r="AN203" i="16" s="1"/>
  <c r="AQ203" i="16" s="1"/>
  <c r="AM202" i="16"/>
  <c r="AN202" i="16" s="1"/>
  <c r="AQ202" i="16" s="1"/>
  <c r="AM201" i="16"/>
  <c r="AN201" i="16" s="1"/>
  <c r="AQ201" i="16" s="1"/>
  <c r="AM200" i="16"/>
  <c r="AN200" i="16" s="1"/>
  <c r="AQ200" i="16" s="1"/>
  <c r="AM199" i="16"/>
  <c r="AN199" i="16" s="1"/>
  <c r="AQ199" i="16" s="1"/>
  <c r="AM198" i="16"/>
  <c r="AN198" i="16" s="1"/>
  <c r="AQ198" i="16" s="1"/>
  <c r="AM197" i="16"/>
  <c r="AN197" i="16" s="1"/>
  <c r="AQ197" i="16" s="1"/>
  <c r="AM196" i="16"/>
  <c r="AN196" i="16" s="1"/>
  <c r="AQ196" i="16" s="1"/>
  <c r="AM195" i="16"/>
  <c r="AN195" i="16" s="1"/>
  <c r="AQ195" i="16" s="1"/>
  <c r="AM194" i="16"/>
  <c r="AN194" i="16" s="1"/>
  <c r="AQ194" i="16" s="1"/>
  <c r="AM193" i="16"/>
  <c r="AN193" i="16" s="1"/>
  <c r="AQ193" i="16" s="1"/>
  <c r="AM192" i="16"/>
  <c r="AN192" i="16" s="1"/>
  <c r="AQ192" i="16" s="1"/>
  <c r="AM191" i="16"/>
  <c r="AN191" i="16" s="1"/>
  <c r="AQ191" i="16" s="1"/>
  <c r="AM190" i="16"/>
  <c r="AN190" i="16" s="1"/>
  <c r="AQ190" i="16" s="1"/>
  <c r="AM189" i="16"/>
  <c r="AN189" i="16" s="1"/>
  <c r="AQ189" i="16" s="1"/>
  <c r="AM188" i="16"/>
  <c r="AN188" i="16" s="1"/>
  <c r="AQ188" i="16" s="1"/>
  <c r="AM187" i="16"/>
  <c r="AN187" i="16" s="1"/>
  <c r="AQ187" i="16" s="1"/>
  <c r="AM186" i="16"/>
  <c r="AN186" i="16" s="1"/>
  <c r="AQ186" i="16" s="1"/>
  <c r="AM185" i="16"/>
  <c r="AN185" i="16" s="1"/>
  <c r="AQ185" i="16" s="1"/>
  <c r="AM184" i="16"/>
  <c r="AN184" i="16" s="1"/>
  <c r="AQ184" i="16" s="1"/>
  <c r="AM183" i="16"/>
  <c r="AN183" i="16" s="1"/>
  <c r="AQ183" i="16" s="1"/>
  <c r="AM182" i="16"/>
  <c r="AN182" i="16" s="1"/>
  <c r="AQ182" i="16" s="1"/>
  <c r="AM181" i="16"/>
  <c r="AN181" i="16" s="1"/>
  <c r="AQ181" i="16" s="1"/>
  <c r="AM180" i="16"/>
  <c r="AN180" i="16" s="1"/>
  <c r="AQ180" i="16" s="1"/>
  <c r="AM179" i="16"/>
  <c r="AN179" i="16" s="1"/>
  <c r="AQ179" i="16" s="1"/>
  <c r="AM178" i="16"/>
  <c r="AN178" i="16" s="1"/>
  <c r="AQ178" i="16" s="1"/>
  <c r="AM177" i="16"/>
  <c r="AN177" i="16" s="1"/>
  <c r="AQ177" i="16" s="1"/>
  <c r="AM176" i="16"/>
  <c r="AN176" i="16" s="1"/>
  <c r="AQ176" i="16" s="1"/>
  <c r="AM175" i="16"/>
  <c r="AN175" i="16" s="1"/>
  <c r="AQ175" i="16" s="1"/>
  <c r="AM174" i="16"/>
  <c r="AN174" i="16" s="1"/>
  <c r="AQ174" i="16" s="1"/>
  <c r="AM173" i="16"/>
  <c r="AN173" i="16" s="1"/>
  <c r="AQ173" i="16" s="1"/>
  <c r="AM172" i="16"/>
  <c r="AN172" i="16" s="1"/>
  <c r="AQ172" i="16" s="1"/>
  <c r="AM171" i="16"/>
  <c r="AN171" i="16" s="1"/>
  <c r="AQ171" i="16" s="1"/>
  <c r="AM170" i="16"/>
  <c r="AN170" i="16" s="1"/>
  <c r="AQ170" i="16" s="1"/>
  <c r="AM169" i="16"/>
  <c r="AN169" i="16" s="1"/>
  <c r="AQ169" i="16" s="1"/>
  <c r="AM168" i="16"/>
  <c r="AN168" i="16" s="1"/>
  <c r="AQ168" i="16" s="1"/>
  <c r="AM167" i="16"/>
  <c r="AN167" i="16" s="1"/>
  <c r="AQ167" i="16" s="1"/>
  <c r="AM166" i="16"/>
  <c r="AN166" i="16" s="1"/>
  <c r="AQ166" i="16" s="1"/>
  <c r="AM165" i="16"/>
  <c r="AN165" i="16" s="1"/>
  <c r="AQ165" i="16" s="1"/>
  <c r="AM164" i="16"/>
  <c r="AN164" i="16" s="1"/>
  <c r="AQ164" i="16" s="1"/>
  <c r="AM163" i="16"/>
  <c r="AN163" i="16" s="1"/>
  <c r="AQ163" i="16" s="1"/>
  <c r="AM162" i="16"/>
  <c r="AN162" i="16" s="1"/>
  <c r="AQ162" i="16" s="1"/>
  <c r="AM161" i="16"/>
  <c r="AN161" i="16" s="1"/>
  <c r="AQ161" i="16" s="1"/>
  <c r="AM160" i="16"/>
  <c r="AN160" i="16" s="1"/>
  <c r="AQ160" i="16" s="1"/>
  <c r="AM159" i="16"/>
  <c r="AN159" i="16" s="1"/>
  <c r="AQ159" i="16" s="1"/>
  <c r="AM158" i="16"/>
  <c r="AN158" i="16" s="1"/>
  <c r="AQ158" i="16" s="1"/>
  <c r="AM157" i="16"/>
  <c r="AN157" i="16" s="1"/>
  <c r="AQ157" i="16" s="1"/>
  <c r="AM156" i="16"/>
  <c r="AN156" i="16" s="1"/>
  <c r="AQ156" i="16" s="1"/>
  <c r="AM155" i="16"/>
  <c r="AN155" i="16" s="1"/>
  <c r="AQ155" i="16" s="1"/>
  <c r="AM154" i="16"/>
  <c r="AN154" i="16" s="1"/>
  <c r="AQ154" i="16" s="1"/>
  <c r="AM153" i="16"/>
  <c r="AN153" i="16" s="1"/>
  <c r="AQ153" i="16" s="1"/>
  <c r="AM152" i="16"/>
  <c r="AN152" i="16" s="1"/>
  <c r="AQ152" i="16" s="1"/>
  <c r="AM151" i="16"/>
  <c r="AN151" i="16" s="1"/>
  <c r="AQ151" i="16" s="1"/>
  <c r="AM150" i="16"/>
  <c r="AN150" i="16" s="1"/>
  <c r="AQ150" i="16" s="1"/>
  <c r="AM149" i="16"/>
  <c r="AN149" i="16" s="1"/>
  <c r="AQ149" i="16" s="1"/>
  <c r="AM148" i="16"/>
  <c r="AN148" i="16" s="1"/>
  <c r="AQ148" i="16" s="1"/>
  <c r="AM147" i="16"/>
  <c r="AN147" i="16" s="1"/>
  <c r="AQ147" i="16" s="1"/>
  <c r="AM146" i="16"/>
  <c r="AN146" i="16" s="1"/>
  <c r="AQ146" i="16" s="1"/>
  <c r="AM145" i="16"/>
  <c r="AN145" i="16" s="1"/>
  <c r="AQ145" i="16" s="1"/>
  <c r="AM144" i="16"/>
  <c r="AN144" i="16" s="1"/>
  <c r="AQ144" i="16" s="1"/>
  <c r="AM143" i="16"/>
  <c r="AN143" i="16" s="1"/>
  <c r="AQ143" i="16" s="1"/>
  <c r="AM142" i="16"/>
  <c r="AN142" i="16" s="1"/>
  <c r="AQ142" i="16" s="1"/>
  <c r="AM141" i="16"/>
  <c r="AN141" i="16" s="1"/>
  <c r="AQ141" i="16" s="1"/>
  <c r="AM140" i="16"/>
  <c r="AN140" i="16" s="1"/>
  <c r="AQ140" i="16" s="1"/>
  <c r="AM139" i="16"/>
  <c r="AN139" i="16" s="1"/>
  <c r="AQ139" i="16" s="1"/>
  <c r="AM138" i="16"/>
  <c r="AN138" i="16" s="1"/>
  <c r="AQ138" i="16" s="1"/>
  <c r="AM137" i="16"/>
  <c r="AN137" i="16" s="1"/>
  <c r="AQ137" i="16" s="1"/>
  <c r="AM136" i="16"/>
  <c r="AN136" i="16" s="1"/>
  <c r="AQ136" i="16" s="1"/>
  <c r="AM135" i="16"/>
  <c r="AN135" i="16" s="1"/>
  <c r="AQ135" i="16" s="1"/>
  <c r="AM134" i="16"/>
  <c r="AN134" i="16" s="1"/>
  <c r="AQ134" i="16" s="1"/>
  <c r="AM133" i="16"/>
  <c r="AN133" i="16" s="1"/>
  <c r="AQ133" i="16" s="1"/>
  <c r="AM132" i="16"/>
  <c r="AN132" i="16" s="1"/>
  <c r="AQ132" i="16" s="1"/>
  <c r="AM131" i="16"/>
  <c r="AN131" i="16" s="1"/>
  <c r="AQ131" i="16" s="1"/>
  <c r="AM130" i="16"/>
  <c r="AN130" i="16" s="1"/>
  <c r="AQ130" i="16" s="1"/>
  <c r="AM129" i="16"/>
  <c r="AN129" i="16" s="1"/>
  <c r="AQ129" i="16" s="1"/>
  <c r="AM128" i="16"/>
  <c r="AN128" i="16" s="1"/>
  <c r="AQ128" i="16" s="1"/>
  <c r="AM127" i="16"/>
  <c r="AN127" i="16" s="1"/>
  <c r="AQ127" i="16" s="1"/>
  <c r="AM126" i="16"/>
  <c r="AN126" i="16" s="1"/>
  <c r="AQ126" i="16" s="1"/>
  <c r="AM125" i="16"/>
  <c r="AN125" i="16" s="1"/>
  <c r="AQ125" i="16" s="1"/>
  <c r="AM124" i="16"/>
  <c r="AN124" i="16" s="1"/>
  <c r="AQ124" i="16" s="1"/>
  <c r="AM123" i="16"/>
  <c r="AN123" i="16" s="1"/>
  <c r="AQ123" i="16" s="1"/>
  <c r="AM122" i="16"/>
  <c r="AN122" i="16" s="1"/>
  <c r="AQ122" i="16" s="1"/>
  <c r="AM121" i="16"/>
  <c r="AN121" i="16" s="1"/>
  <c r="AQ121" i="16" s="1"/>
  <c r="AM120" i="16"/>
  <c r="AN120" i="16" s="1"/>
  <c r="AQ120" i="16" s="1"/>
  <c r="AM119" i="16"/>
  <c r="AN119" i="16" s="1"/>
  <c r="AQ119" i="16" s="1"/>
  <c r="AM118" i="16"/>
  <c r="AN118" i="16" s="1"/>
  <c r="AQ118" i="16" s="1"/>
  <c r="AM117" i="16"/>
  <c r="AN117" i="16" s="1"/>
  <c r="AQ117" i="16" s="1"/>
  <c r="AM116" i="16"/>
  <c r="AN116" i="16" s="1"/>
  <c r="AQ116" i="16" s="1"/>
  <c r="AM115" i="16"/>
  <c r="AN115" i="16" s="1"/>
  <c r="AQ115" i="16" s="1"/>
  <c r="AM114" i="16"/>
  <c r="AN114" i="16" s="1"/>
  <c r="AQ114" i="16" s="1"/>
  <c r="AM113" i="16"/>
  <c r="AN113" i="16" s="1"/>
  <c r="AQ113" i="16" s="1"/>
  <c r="AM112" i="16"/>
  <c r="AN112" i="16" s="1"/>
  <c r="AQ112" i="16" s="1"/>
  <c r="AM111" i="16"/>
  <c r="AN111" i="16" s="1"/>
  <c r="AQ111" i="16" s="1"/>
  <c r="AM110" i="16"/>
  <c r="AN110" i="16" s="1"/>
  <c r="AQ110" i="16" s="1"/>
  <c r="AM109" i="16"/>
  <c r="AN109" i="16" s="1"/>
  <c r="AQ109" i="16" s="1"/>
  <c r="AM108" i="16"/>
  <c r="AN108" i="16" s="1"/>
  <c r="AQ108" i="16" s="1"/>
  <c r="AM107" i="16"/>
  <c r="AN107" i="16" s="1"/>
  <c r="AQ107" i="16" s="1"/>
  <c r="AM106" i="16"/>
  <c r="AN106" i="16" s="1"/>
  <c r="AQ106" i="16" s="1"/>
  <c r="AM105" i="16"/>
  <c r="AN105" i="16" s="1"/>
  <c r="AQ105" i="16" s="1"/>
  <c r="AM104" i="16"/>
  <c r="AN104" i="16" s="1"/>
  <c r="AQ104" i="16" s="1"/>
  <c r="AM103" i="16"/>
  <c r="AN103" i="16" s="1"/>
  <c r="AQ103" i="16" s="1"/>
  <c r="AM102" i="16"/>
  <c r="AN102" i="16" s="1"/>
  <c r="AQ102" i="16" s="1"/>
  <c r="AM101" i="16"/>
  <c r="AN101" i="16" s="1"/>
  <c r="AQ101" i="16" s="1"/>
  <c r="AM100" i="16"/>
  <c r="AN100" i="16" s="1"/>
  <c r="AQ100" i="16" s="1"/>
  <c r="AM99" i="16"/>
  <c r="AN99" i="16" s="1"/>
  <c r="AQ99" i="16" s="1"/>
  <c r="AM98" i="16"/>
  <c r="AN98" i="16" s="1"/>
  <c r="AQ98" i="16" s="1"/>
  <c r="AM97" i="16"/>
  <c r="AN97" i="16" s="1"/>
  <c r="AQ97" i="16" s="1"/>
  <c r="AM96" i="16"/>
  <c r="AN96" i="16" s="1"/>
  <c r="AQ96" i="16" s="1"/>
  <c r="AM95" i="16"/>
  <c r="AN95" i="16" s="1"/>
  <c r="AQ95" i="16" s="1"/>
  <c r="AM94" i="16"/>
  <c r="AN94" i="16" s="1"/>
  <c r="AQ94" i="16" s="1"/>
  <c r="AM93" i="16"/>
  <c r="AN93" i="16" s="1"/>
  <c r="AQ93" i="16" s="1"/>
  <c r="AM92" i="16"/>
  <c r="AN92" i="16" s="1"/>
  <c r="AQ92" i="16" s="1"/>
  <c r="AM91" i="16"/>
  <c r="AN91" i="16" s="1"/>
  <c r="AQ91" i="16" s="1"/>
  <c r="AM90" i="16"/>
  <c r="AN90" i="16" s="1"/>
  <c r="AQ90" i="16" s="1"/>
  <c r="AM89" i="16"/>
  <c r="AN89" i="16" s="1"/>
  <c r="AQ89" i="16" s="1"/>
  <c r="AM88" i="16"/>
  <c r="AN88" i="16" s="1"/>
  <c r="AQ88" i="16" s="1"/>
  <c r="AM87" i="16"/>
  <c r="AN87" i="16" s="1"/>
  <c r="AQ87" i="16" s="1"/>
  <c r="AM86" i="16"/>
  <c r="AN86" i="16" s="1"/>
  <c r="AQ86" i="16" s="1"/>
  <c r="AM85" i="16"/>
  <c r="AN85" i="16" s="1"/>
  <c r="AQ85" i="16" s="1"/>
  <c r="AM84" i="16"/>
  <c r="AN84" i="16" s="1"/>
  <c r="AQ84" i="16" s="1"/>
  <c r="AM83" i="16"/>
  <c r="AN83" i="16" s="1"/>
  <c r="AQ83" i="16" s="1"/>
  <c r="AM82" i="16"/>
  <c r="AN82" i="16" s="1"/>
  <c r="AQ82" i="16" s="1"/>
  <c r="AM81" i="16"/>
  <c r="AN81" i="16" s="1"/>
  <c r="AQ81" i="16" s="1"/>
  <c r="AM80" i="16"/>
  <c r="AN80" i="16" s="1"/>
  <c r="AQ80" i="16" s="1"/>
  <c r="AM79" i="16"/>
  <c r="AN79" i="16" s="1"/>
  <c r="AQ79" i="16" s="1"/>
  <c r="AM78" i="16"/>
  <c r="AN78" i="16" s="1"/>
  <c r="AQ78" i="16" s="1"/>
  <c r="AM77" i="16"/>
  <c r="AN77" i="16" s="1"/>
  <c r="AQ77" i="16" s="1"/>
  <c r="AM76" i="16"/>
  <c r="AN76" i="16" s="1"/>
  <c r="AQ76" i="16" s="1"/>
  <c r="AM75" i="16"/>
  <c r="AN75" i="16" s="1"/>
  <c r="AQ75" i="16" s="1"/>
  <c r="AM74" i="16"/>
  <c r="AN74" i="16" s="1"/>
  <c r="AQ74" i="16" s="1"/>
  <c r="AM73" i="16"/>
  <c r="AN73" i="16" s="1"/>
  <c r="AQ73" i="16" s="1"/>
  <c r="AM72" i="16"/>
  <c r="AN72" i="16" s="1"/>
  <c r="AQ72" i="16" s="1"/>
  <c r="AM71" i="16"/>
  <c r="AN71" i="16" s="1"/>
  <c r="AQ71" i="16" s="1"/>
  <c r="AM70" i="16"/>
  <c r="AN70" i="16" s="1"/>
  <c r="AQ70" i="16" s="1"/>
  <c r="AM69" i="16"/>
  <c r="AN69" i="16" s="1"/>
  <c r="AQ69" i="16" s="1"/>
  <c r="AM68" i="16"/>
  <c r="AN68" i="16" s="1"/>
  <c r="AQ68" i="16" s="1"/>
  <c r="AM67" i="16"/>
  <c r="AN67" i="16" s="1"/>
  <c r="AQ67" i="16" s="1"/>
  <c r="AM66" i="16"/>
  <c r="AN66" i="16" s="1"/>
  <c r="AQ66" i="16" s="1"/>
  <c r="AM65" i="16"/>
  <c r="AN65" i="16" s="1"/>
  <c r="AQ65" i="16" s="1"/>
  <c r="AM64" i="16"/>
  <c r="AN64" i="16" s="1"/>
  <c r="AM63" i="16"/>
  <c r="AN63" i="16" s="1"/>
  <c r="AQ63" i="16" s="1"/>
  <c r="AM62" i="16"/>
  <c r="AN62" i="16" s="1"/>
  <c r="AQ62" i="16" s="1"/>
  <c r="AM61" i="16"/>
  <c r="AN61" i="16" s="1"/>
  <c r="AQ61" i="16" s="1"/>
  <c r="AM60" i="16"/>
  <c r="AN60" i="16" s="1"/>
  <c r="AQ60" i="16" s="1"/>
  <c r="AM59" i="16"/>
  <c r="AN59" i="16" s="1"/>
  <c r="AQ59" i="16" s="1"/>
  <c r="AM58" i="16"/>
  <c r="AN58" i="16" s="1"/>
  <c r="AQ58" i="16" s="1"/>
  <c r="AM57" i="16"/>
  <c r="AN57" i="16" s="1"/>
  <c r="AQ57" i="16" s="1"/>
  <c r="AM56" i="16"/>
  <c r="AN56" i="16" s="1"/>
  <c r="AM55" i="16"/>
  <c r="AN55" i="16" s="1"/>
  <c r="AQ55" i="16" s="1"/>
  <c r="AM54" i="16"/>
  <c r="AN54" i="16" s="1"/>
  <c r="AQ54" i="16" s="1"/>
  <c r="AM53" i="16"/>
  <c r="AN53" i="16" s="1"/>
  <c r="AQ53" i="16" s="1"/>
  <c r="AM52" i="16"/>
  <c r="AN52" i="16" s="1"/>
  <c r="AQ52" i="16" s="1"/>
  <c r="AM51" i="16"/>
  <c r="AN51" i="16" s="1"/>
  <c r="AQ51" i="16" s="1"/>
  <c r="AM50" i="16"/>
  <c r="AN50" i="16" s="1"/>
  <c r="AQ50" i="16" s="1"/>
  <c r="AM49" i="16"/>
  <c r="AN49" i="16" s="1"/>
  <c r="AM48" i="16"/>
  <c r="AN48" i="16" s="1"/>
  <c r="AM47" i="16"/>
  <c r="AQ47" i="16" s="1"/>
  <c r="AM46" i="16"/>
  <c r="AN46" i="16" s="1"/>
  <c r="AQ46" i="16" s="1"/>
  <c r="AM45" i="16"/>
  <c r="AN45" i="16" s="1"/>
  <c r="AQ45" i="16" s="1"/>
  <c r="AM44" i="16"/>
  <c r="AN44" i="16" s="1"/>
  <c r="AM43" i="16"/>
  <c r="AQ43" i="16" s="1"/>
  <c r="AM42" i="16"/>
  <c r="AQ42" i="16" s="1"/>
  <c r="AM41" i="16"/>
  <c r="AQ41" i="16" s="1"/>
  <c r="AM40" i="16"/>
  <c r="AN40" i="16" s="1"/>
  <c r="AQ40" i="16" s="1"/>
  <c r="AM39" i="16"/>
  <c r="AQ39" i="16" s="1"/>
  <c r="AM38" i="16"/>
  <c r="AQ38" i="16" s="1"/>
  <c r="AM37" i="16"/>
  <c r="AQ37" i="16" s="1"/>
  <c r="AM36" i="16"/>
  <c r="AN36" i="16" s="1"/>
  <c r="AM35" i="16"/>
  <c r="AQ35" i="16" s="1"/>
  <c r="AM34" i="16"/>
  <c r="AQ34" i="16" s="1"/>
  <c r="AM33" i="16"/>
  <c r="AN33" i="16" s="1"/>
  <c r="AQ33" i="16" s="1"/>
  <c r="AM32" i="16"/>
  <c r="AN32" i="16" s="1"/>
  <c r="AM31" i="16"/>
  <c r="AQ31" i="16" s="1"/>
  <c r="AM30" i="16"/>
  <c r="AQ30" i="16" s="1"/>
  <c r="AM29" i="16"/>
  <c r="AM28" i="16"/>
  <c r="AN28" i="16" s="1"/>
  <c r="AQ28" i="16" s="1"/>
  <c r="AM27" i="16"/>
  <c r="AN27" i="16" s="1"/>
  <c r="AQ27" i="16" s="1"/>
  <c r="AM26" i="16"/>
  <c r="AN26" i="16" s="1"/>
  <c r="AQ26" i="16" s="1"/>
  <c r="AM25" i="16"/>
  <c r="AN25" i="16" s="1"/>
  <c r="AQ25" i="16" s="1"/>
  <c r="AM24" i="16"/>
  <c r="AN24" i="16" s="1"/>
  <c r="AQ24" i="16" s="1"/>
  <c r="AM23" i="16"/>
  <c r="AN23" i="16" s="1"/>
  <c r="AQ23" i="16" s="1"/>
  <c r="AM22" i="16"/>
  <c r="AN22" i="16" s="1"/>
  <c r="AQ22" i="16" s="1"/>
  <c r="AM21" i="16"/>
  <c r="AN21" i="16" s="1"/>
  <c r="AQ21" i="16" s="1"/>
  <c r="AM20" i="16"/>
  <c r="AN20" i="16" s="1"/>
  <c r="AQ20" i="16" s="1"/>
  <c r="AM19" i="16"/>
  <c r="AN19" i="16" s="1"/>
  <c r="AQ19" i="16" s="1"/>
  <c r="AM18" i="16"/>
  <c r="AN18" i="16" s="1"/>
  <c r="AQ18" i="16" s="1"/>
  <c r="AM17" i="16"/>
  <c r="AN17" i="16" s="1"/>
  <c r="AQ17" i="16" s="1"/>
  <c r="AM16" i="16"/>
  <c r="AN16" i="16" s="1"/>
  <c r="AQ16" i="16" s="1"/>
  <c r="AM15" i="16"/>
  <c r="AN15" i="16" s="1"/>
  <c r="AQ15" i="16" s="1"/>
  <c r="AM14" i="16"/>
  <c r="AN14" i="16" s="1"/>
  <c r="AQ14" i="16" s="1"/>
  <c r="AM13" i="16"/>
  <c r="AN13" i="16" s="1"/>
  <c r="AQ13" i="16" s="1"/>
  <c r="AM12" i="16"/>
  <c r="AN12" i="16" s="1"/>
  <c r="AQ12" i="16" s="1"/>
  <c r="AM11" i="16"/>
  <c r="AQ11" i="16" s="1"/>
  <c r="AM10" i="16"/>
  <c r="AQ10" i="16" s="1"/>
  <c r="AM9" i="16"/>
  <c r="AN9" i="16" s="1"/>
  <c r="AQ9" i="16" s="1"/>
  <c r="AM8" i="16"/>
  <c r="AN8" i="16" s="1"/>
  <c r="AQ8" i="16" s="1"/>
  <c r="AM7" i="16"/>
  <c r="AN7" i="16" s="1"/>
  <c r="AQ7" i="16" s="1"/>
  <c r="AM6" i="16"/>
  <c r="AN6" i="16" s="1"/>
  <c r="AQ6" i="16" s="1"/>
  <c r="AM5" i="16"/>
  <c r="AN5" i="16" s="1"/>
  <c r="AQ5" i="16" s="1"/>
  <c r="AM4" i="16"/>
  <c r="AN4" i="16" s="1"/>
  <c r="AM3" i="16"/>
  <c r="E39" i="2"/>
  <c r="I39" i="2" s="1"/>
  <c r="E38" i="2"/>
  <c r="I38" i="2" s="1"/>
  <c r="E37" i="2"/>
  <c r="I37" i="2" s="1"/>
  <c r="E36" i="2"/>
  <c r="I36" i="2" s="1"/>
  <c r="E35" i="2"/>
  <c r="I35" i="2" s="1"/>
  <c r="E34" i="2"/>
  <c r="I34" i="2" s="1"/>
  <c r="E33" i="2"/>
  <c r="I33" i="2" s="1"/>
  <c r="E32" i="2"/>
  <c r="I32" i="2" s="1"/>
  <c r="E31" i="2"/>
  <c r="I31" i="2" s="1"/>
  <c r="E30" i="2"/>
  <c r="I30" i="2" s="1"/>
  <c r="E29" i="2"/>
  <c r="I29" i="2" s="1"/>
  <c r="E28" i="2"/>
  <c r="I28" i="2" s="1"/>
  <c r="E27" i="2"/>
  <c r="I27" i="2" s="1"/>
  <c r="E26" i="2"/>
  <c r="I26" i="2" s="1"/>
  <c r="E25" i="2"/>
  <c r="I25" i="2" s="1"/>
  <c r="E24" i="2"/>
  <c r="I24" i="2" s="1"/>
  <c r="E23" i="2"/>
  <c r="I23" i="2" s="1"/>
  <c r="E22" i="2"/>
  <c r="I22" i="2" s="1"/>
  <c r="E21" i="2"/>
  <c r="I21" i="2" s="1"/>
  <c r="E20" i="2"/>
  <c r="I20" i="2" s="1"/>
  <c r="E19" i="2"/>
  <c r="I19" i="2" s="1"/>
  <c r="E18" i="2"/>
  <c r="I18" i="2" s="1"/>
  <c r="E17" i="2"/>
  <c r="I17" i="2" s="1"/>
  <c r="E16" i="2"/>
  <c r="I16" i="2" s="1"/>
  <c r="E15" i="2"/>
  <c r="I15" i="2" s="1"/>
  <c r="E14" i="2"/>
  <c r="I14" i="2" s="1"/>
  <c r="E13" i="2"/>
  <c r="I13" i="2" s="1"/>
  <c r="E12" i="2"/>
  <c r="I12" i="2" s="1"/>
  <c r="E11" i="2"/>
  <c r="I11" i="2" s="1"/>
  <c r="E10" i="2"/>
  <c r="I10" i="2" s="1"/>
  <c r="E9" i="2"/>
  <c r="I9" i="2" s="1"/>
  <c r="E8" i="2"/>
  <c r="I8" i="2" s="1"/>
  <c r="E7" i="2"/>
  <c r="I7" i="2" s="1"/>
  <c r="E5" i="2"/>
  <c r="I5" i="2" s="1"/>
  <c r="E6" i="2"/>
  <c r="I6" i="2" s="1"/>
  <c r="E4" i="2"/>
  <c r="I4" i="2" s="1"/>
  <c r="K50" i="15"/>
  <c r="K51" i="15"/>
  <c r="G51" i="15"/>
  <c r="G50" i="15"/>
  <c r="K48" i="15"/>
  <c r="K49" i="15"/>
  <c r="K47" i="15"/>
  <c r="G49" i="15"/>
  <c r="G48" i="15"/>
  <c r="K17" i="15"/>
  <c r="G47" i="15"/>
  <c r="G21" i="15"/>
  <c r="K21" i="15" s="1"/>
  <c r="G20" i="15"/>
  <c r="K20" i="15" s="1"/>
  <c r="G19" i="15"/>
  <c r="K19" i="15" s="1"/>
  <c r="G18" i="15"/>
  <c r="K18" i="15" s="1"/>
  <c r="AQ36" i="16" l="1"/>
  <c r="AN26" i="18"/>
  <c r="AQ49" i="16"/>
  <c r="AQ32" i="16"/>
  <c r="AQ15" i="18"/>
  <c r="AQ151" i="18"/>
  <c r="AQ11" i="18"/>
  <c r="AQ4" i="16"/>
  <c r="AQ40" i="18"/>
  <c r="AQ160" i="18"/>
  <c r="AN221" i="18"/>
  <c r="AN20" i="18"/>
  <c r="AN4" i="20"/>
  <c r="AQ4" i="20"/>
  <c r="AN10" i="20"/>
  <c r="AQ10" i="20"/>
  <c r="AN11" i="20"/>
  <c r="AQ11" i="20"/>
  <c r="AQ19" i="20" s="1"/>
  <c r="AN12" i="18"/>
  <c r="AN41" i="16"/>
  <c r="AN3" i="18"/>
  <c r="AQ16" i="18"/>
  <c r="AN35" i="18"/>
  <c r="AQ39" i="18"/>
  <c r="AN159" i="18"/>
  <c r="AN219" i="18"/>
  <c r="AN6" i="20"/>
  <c r="AQ6" i="20"/>
  <c r="AN13" i="20"/>
  <c r="AQ13" i="20"/>
  <c r="AN5" i="20"/>
  <c r="AN12" i="20"/>
  <c r="AQ12" i="20"/>
  <c r="AN225" i="18"/>
  <c r="AN14" i="20"/>
  <c r="AQ14" i="20"/>
  <c r="AN7" i="20"/>
  <c r="AQ36" i="18"/>
  <c r="AN8" i="20"/>
  <c r="AQ8" i="20"/>
  <c r="AN15" i="20"/>
  <c r="AN11" i="16"/>
  <c r="AN18" i="18"/>
  <c r="AN24" i="18"/>
  <c r="AN43" i="16"/>
  <c r="AQ156" i="18"/>
  <c r="AN227" i="18"/>
  <c r="AP182" i="19"/>
  <c r="AN3" i="20"/>
  <c r="AN18" i="20" s="1"/>
  <c r="C19" i="13" s="1"/>
  <c r="AQ3" i="20"/>
  <c r="AQ18" i="20" s="1"/>
  <c r="AN9" i="20"/>
  <c r="AQ9" i="20"/>
  <c r="AN19" i="18"/>
  <c r="AQ19" i="18"/>
  <c r="AN37" i="16"/>
  <c r="AQ34" i="18"/>
  <c r="AN34" i="18"/>
  <c r="AN51" i="17"/>
  <c r="C18" i="13" s="1"/>
  <c r="AP3" i="17"/>
  <c r="AP51" i="17" s="1"/>
  <c r="AN152" i="18"/>
  <c r="AQ152" i="18"/>
  <c r="AN224" i="18"/>
  <c r="AQ224" i="18"/>
  <c r="AQ29" i="16"/>
  <c r="AN29" i="16"/>
  <c r="L15" i="2"/>
  <c r="J15" i="2"/>
  <c r="L31" i="2"/>
  <c r="J31" i="2"/>
  <c r="L39" i="2"/>
  <c r="J39" i="2"/>
  <c r="L7" i="2"/>
  <c r="J7" i="2"/>
  <c r="L23" i="2"/>
  <c r="J23" i="2"/>
  <c r="L16" i="2"/>
  <c r="J16" i="2"/>
  <c r="L32" i="2"/>
  <c r="J32" i="2"/>
  <c r="AQ3" i="16"/>
  <c r="AN3" i="16"/>
  <c r="AN23" i="18"/>
  <c r="AQ23" i="18"/>
  <c r="L8" i="2"/>
  <c r="J8" i="2"/>
  <c r="L24" i="2"/>
  <c r="J24" i="2"/>
  <c r="AN4" i="18"/>
  <c r="AN8" i="18"/>
  <c r="AN27" i="18"/>
  <c r="AN31" i="18"/>
  <c r="AN42" i="18"/>
  <c r="L9" i="2"/>
  <c r="J9" i="2"/>
  <c r="L17" i="2"/>
  <c r="J17" i="2"/>
  <c r="L25" i="2"/>
  <c r="J25" i="2"/>
  <c r="L33" i="2"/>
  <c r="J33" i="2"/>
  <c r="J10" i="2"/>
  <c r="L10" i="2"/>
  <c r="J18" i="2"/>
  <c r="L18" i="2"/>
  <c r="J26" i="2"/>
  <c r="L26" i="2"/>
  <c r="J34" i="2"/>
  <c r="L34" i="2"/>
  <c r="AN47" i="16"/>
  <c r="AQ56" i="16"/>
  <c r="L11" i="2"/>
  <c r="J11" i="2"/>
  <c r="J19" i="2"/>
  <c r="L19" i="2"/>
  <c r="L27" i="2"/>
  <c r="J27" i="2"/>
  <c r="L35" i="2"/>
  <c r="J35" i="2"/>
  <c r="I40" i="2"/>
  <c r="C2" i="13" s="1"/>
  <c r="L4" i="2"/>
  <c r="J4" i="2"/>
  <c r="L12" i="2"/>
  <c r="J12" i="2"/>
  <c r="L20" i="2"/>
  <c r="J20" i="2"/>
  <c r="L28" i="2"/>
  <c r="J28" i="2"/>
  <c r="L36" i="2"/>
  <c r="J36" i="2"/>
  <c r="AN35" i="16"/>
  <c r="AN39" i="16"/>
  <c r="AQ48" i="16"/>
  <c r="AN28" i="18"/>
  <c r="AN32" i="18"/>
  <c r="AN155" i="18"/>
  <c r="L6" i="2"/>
  <c r="J6" i="2"/>
  <c r="L13" i="2"/>
  <c r="J13" i="2"/>
  <c r="L21" i="2"/>
  <c r="J21" i="2"/>
  <c r="L29" i="2"/>
  <c r="J29" i="2"/>
  <c r="J37" i="2"/>
  <c r="L37" i="2"/>
  <c r="AN31" i="16"/>
  <c r="AQ44" i="16"/>
  <c r="AN10" i="18"/>
  <c r="AQ222" i="18"/>
  <c r="J5" i="2"/>
  <c r="L5" i="2"/>
  <c r="L14" i="2"/>
  <c r="J14" i="2"/>
  <c r="L22" i="2"/>
  <c r="J22" i="2"/>
  <c r="L30" i="2"/>
  <c r="J30" i="2"/>
  <c r="L38" i="2"/>
  <c r="J38" i="2"/>
  <c r="AQ64" i="16"/>
  <c r="AQ430" i="16" s="1"/>
  <c r="AN430" i="16"/>
  <c r="C16" i="13" s="1"/>
  <c r="AN19" i="20"/>
  <c r="AN20" i="20" s="1"/>
  <c r="AQ158" i="18"/>
  <c r="AN158" i="18"/>
  <c r="AN10" i="16"/>
  <c r="AN30" i="16"/>
  <c r="AN34" i="16"/>
  <c r="AN38" i="16"/>
  <c r="AN42" i="16"/>
  <c r="AQ33" i="18"/>
  <c r="AN33" i="18"/>
  <c r="AQ30" i="18"/>
  <c r="AN30" i="18"/>
  <c r="AQ14" i="18"/>
  <c r="AN14" i="18"/>
  <c r="AQ17" i="18"/>
  <c r="AN17" i="18"/>
  <c r="AQ5" i="18"/>
  <c r="AN5" i="18"/>
  <c r="AQ21" i="18"/>
  <c r="AN21" i="18"/>
  <c r="AQ37" i="18"/>
  <c r="AN37" i="18"/>
  <c r="AQ154" i="18"/>
  <c r="AN154" i="18"/>
  <c r="AQ9" i="18"/>
  <c r="AN9" i="18"/>
  <c r="AQ25" i="18"/>
  <c r="AN25" i="18"/>
  <c r="AQ41" i="18"/>
  <c r="AN41" i="18"/>
  <c r="AN6" i="18"/>
  <c r="AQ13" i="18"/>
  <c r="AN13" i="18"/>
  <c r="AN22" i="18"/>
  <c r="AQ29" i="18"/>
  <c r="AN29" i="18"/>
  <c r="AN38" i="18"/>
  <c r="AN153" i="18"/>
  <c r="AN157" i="18"/>
  <c r="AN161" i="18"/>
  <c r="AQ218" i="18"/>
  <c r="AN220" i="18"/>
  <c r="AN223" i="18"/>
  <c r="AQ226" i="18"/>
  <c r="AP183" i="19"/>
  <c r="AM183" i="19"/>
  <c r="AM224" i="19" s="1"/>
  <c r="C17" i="13" s="1"/>
  <c r="E17" i="13" s="1"/>
  <c r="AN16" i="20"/>
  <c r="AQ51" i="17" l="1"/>
  <c r="D20" i="13"/>
  <c r="AR19" i="20"/>
  <c r="E20" i="13"/>
  <c r="AQ20" i="20"/>
  <c r="J40" i="2"/>
  <c r="E19" i="13"/>
  <c r="D19" i="13"/>
  <c r="AR18" i="20"/>
  <c r="AN429" i="16"/>
  <c r="AQ429" i="16"/>
  <c r="E16" i="13"/>
  <c r="AR430" i="16"/>
  <c r="D16" i="13"/>
  <c r="L40" i="2"/>
  <c r="E2" i="13" s="1"/>
  <c r="E18" i="13"/>
  <c r="D18" i="13"/>
  <c r="C20" i="13"/>
  <c r="H70" i="15"/>
  <c r="P69" i="15"/>
  <c r="K69" i="15"/>
  <c r="G69" i="15"/>
  <c r="P68" i="15"/>
  <c r="K68" i="15"/>
  <c r="G68" i="15"/>
  <c r="N67" i="15"/>
  <c r="L67" i="15" s="1"/>
  <c r="P67" i="15" s="1"/>
  <c r="K67" i="15"/>
  <c r="G67" i="15"/>
  <c r="N66" i="15"/>
  <c r="L66" i="15" s="1"/>
  <c r="P66" i="15" s="1"/>
  <c r="K66" i="15"/>
  <c r="G66" i="15"/>
  <c r="N65" i="15"/>
  <c r="L65" i="15" s="1"/>
  <c r="P65" i="15" s="1"/>
  <c r="K65" i="15"/>
  <c r="G65" i="15"/>
  <c r="P64" i="15"/>
  <c r="K64" i="15"/>
  <c r="G64" i="15"/>
  <c r="N63" i="15"/>
  <c r="L63" i="15" s="1"/>
  <c r="P63" i="15" s="1"/>
  <c r="K63" i="15"/>
  <c r="G63" i="15"/>
  <c r="P62" i="15"/>
  <c r="K62" i="15"/>
  <c r="G62" i="15"/>
  <c r="P61" i="15"/>
  <c r="K61" i="15"/>
  <c r="G61" i="15"/>
  <c r="N60" i="15"/>
  <c r="L60" i="15" s="1"/>
  <c r="P60" i="15" s="1"/>
  <c r="K60" i="15"/>
  <c r="G60" i="15"/>
  <c r="N59" i="15"/>
  <c r="L59" i="15" s="1"/>
  <c r="P59" i="15" s="1"/>
  <c r="K59" i="15"/>
  <c r="G59" i="15"/>
  <c r="N58" i="15"/>
  <c r="L58" i="15" s="1"/>
  <c r="P58" i="15" s="1"/>
  <c r="K58" i="15"/>
  <c r="G58" i="15"/>
  <c r="N57" i="15"/>
  <c r="L57" i="15" s="1"/>
  <c r="P57" i="15" s="1"/>
  <c r="K57" i="15"/>
  <c r="G57" i="15"/>
  <c r="N56" i="15"/>
  <c r="L56" i="15" s="1"/>
  <c r="P56" i="15" s="1"/>
  <c r="K56" i="15"/>
  <c r="G56" i="15"/>
  <c r="N55" i="15"/>
  <c r="L55" i="15" s="1"/>
  <c r="P55" i="15" s="1"/>
  <c r="K55" i="15"/>
  <c r="G55" i="15"/>
  <c r="N54" i="15"/>
  <c r="L54" i="15" s="1"/>
  <c r="P54" i="15" s="1"/>
  <c r="K54" i="15"/>
  <c r="G54" i="15"/>
  <c r="N53" i="15"/>
  <c r="L53" i="15" s="1"/>
  <c r="P53" i="15" s="1"/>
  <c r="K53" i="15"/>
  <c r="G53" i="15"/>
  <c r="N52" i="15"/>
  <c r="L52" i="15" s="1"/>
  <c r="P52" i="15" s="1"/>
  <c r="K52" i="15"/>
  <c r="G52" i="15"/>
  <c r="N46" i="15"/>
  <c r="L46" i="15" s="1"/>
  <c r="P46" i="15" s="1"/>
  <c r="K46" i="15"/>
  <c r="G46" i="15"/>
  <c r="N45" i="15"/>
  <c r="L45" i="15" s="1"/>
  <c r="P45" i="15" s="1"/>
  <c r="K45" i="15"/>
  <c r="G45" i="15"/>
  <c r="P44" i="15"/>
  <c r="K44" i="15"/>
  <c r="G44" i="15"/>
  <c r="N43" i="15"/>
  <c r="L43" i="15" s="1"/>
  <c r="P43" i="15" s="1"/>
  <c r="K43" i="15"/>
  <c r="G43" i="15"/>
  <c r="P42" i="15"/>
  <c r="K42" i="15"/>
  <c r="G42" i="15"/>
  <c r="P41" i="15"/>
  <c r="K41" i="15"/>
  <c r="G41" i="15"/>
  <c r="N40" i="15"/>
  <c r="L40" i="15" s="1"/>
  <c r="P40" i="15" s="1"/>
  <c r="K40" i="15"/>
  <c r="G40" i="15"/>
  <c r="N39" i="15"/>
  <c r="L39" i="15" s="1"/>
  <c r="P39" i="15" s="1"/>
  <c r="K39" i="15"/>
  <c r="G39" i="15"/>
  <c r="N38" i="15"/>
  <c r="L38" i="15" s="1"/>
  <c r="P38" i="15" s="1"/>
  <c r="K38" i="15"/>
  <c r="G38" i="15"/>
  <c r="N37" i="15"/>
  <c r="L37" i="15" s="1"/>
  <c r="P37" i="15" s="1"/>
  <c r="K37" i="15"/>
  <c r="G37" i="15"/>
  <c r="N36" i="15"/>
  <c r="L36" i="15" s="1"/>
  <c r="P36" i="15" s="1"/>
  <c r="K36" i="15"/>
  <c r="G36" i="15"/>
  <c r="N35" i="15"/>
  <c r="L35" i="15" s="1"/>
  <c r="P35" i="15" s="1"/>
  <c r="K35" i="15"/>
  <c r="G35" i="15"/>
  <c r="N34" i="15"/>
  <c r="L34" i="15" s="1"/>
  <c r="P34" i="15" s="1"/>
  <c r="K34" i="15"/>
  <c r="G34" i="15"/>
  <c r="N33" i="15"/>
  <c r="L33" i="15" s="1"/>
  <c r="P33" i="15" s="1"/>
  <c r="K33" i="15"/>
  <c r="G33" i="15"/>
  <c r="N32" i="15"/>
  <c r="L32" i="15" s="1"/>
  <c r="P32" i="15" s="1"/>
  <c r="K32" i="15"/>
  <c r="G32" i="15"/>
  <c r="N31" i="15"/>
  <c r="L31" i="15" s="1"/>
  <c r="P31" i="15" s="1"/>
  <c r="K31" i="15"/>
  <c r="G31" i="15"/>
  <c r="N30" i="15"/>
  <c r="L30" i="15" s="1"/>
  <c r="P30" i="15" s="1"/>
  <c r="K30" i="15"/>
  <c r="G30" i="15"/>
  <c r="N29" i="15"/>
  <c r="L29" i="15" s="1"/>
  <c r="P29" i="15" s="1"/>
  <c r="K29" i="15"/>
  <c r="G29" i="15"/>
  <c r="P28" i="15"/>
  <c r="N28" i="15"/>
  <c r="K28" i="15"/>
  <c r="G28" i="15"/>
  <c r="N27" i="15"/>
  <c r="L27" i="15" s="1"/>
  <c r="P27" i="15" s="1"/>
  <c r="K27" i="15"/>
  <c r="G27" i="15"/>
  <c r="N26" i="15"/>
  <c r="L26" i="15" s="1"/>
  <c r="P26" i="15" s="1"/>
  <c r="K26" i="15"/>
  <c r="G26" i="15"/>
  <c r="P25" i="15"/>
  <c r="N25" i="15"/>
  <c r="K25" i="15"/>
  <c r="G25" i="15"/>
  <c r="N24" i="15"/>
  <c r="L24" i="15" s="1"/>
  <c r="P24" i="15" s="1"/>
  <c r="K24" i="15"/>
  <c r="G24" i="15"/>
  <c r="N23" i="15"/>
  <c r="L23" i="15" s="1"/>
  <c r="P23" i="15" s="1"/>
  <c r="K23" i="15"/>
  <c r="G23" i="15"/>
  <c r="P22" i="15"/>
  <c r="N22" i="15"/>
  <c r="G22" i="15"/>
  <c r="K22" i="15" s="1"/>
  <c r="N17" i="15"/>
  <c r="L17" i="15" s="1"/>
  <c r="P17" i="15" s="1"/>
  <c r="G17" i="15"/>
  <c r="N16" i="15"/>
  <c r="L16" i="15" s="1"/>
  <c r="P16" i="15" s="1"/>
  <c r="K16" i="15"/>
  <c r="G16" i="15"/>
  <c r="N15" i="15"/>
  <c r="L15" i="15" s="1"/>
  <c r="P15" i="15" s="1"/>
  <c r="K15" i="15"/>
  <c r="G15" i="15"/>
  <c r="N14" i="15"/>
  <c r="L14" i="15" s="1"/>
  <c r="P14" i="15" s="1"/>
  <c r="K14" i="15"/>
  <c r="G14" i="15"/>
  <c r="N13" i="15"/>
  <c r="L13" i="15" s="1"/>
  <c r="P13" i="15" s="1"/>
  <c r="K13" i="15"/>
  <c r="G13" i="15"/>
  <c r="N12" i="15"/>
  <c r="L12" i="15" s="1"/>
  <c r="P12" i="15" s="1"/>
  <c r="K12" i="15"/>
  <c r="G12" i="15"/>
  <c r="N11" i="15"/>
  <c r="L11" i="15" s="1"/>
  <c r="P11" i="15" s="1"/>
  <c r="K11" i="15"/>
  <c r="G11" i="15"/>
  <c r="P10" i="15"/>
  <c r="N10" i="15"/>
  <c r="K10" i="15"/>
  <c r="G10" i="15"/>
  <c r="P9" i="15"/>
  <c r="N9" i="15"/>
  <c r="K9" i="15"/>
  <c r="G9" i="15"/>
  <c r="P8" i="15"/>
  <c r="N8" i="15"/>
  <c r="K8" i="15"/>
  <c r="G8" i="15"/>
  <c r="P7" i="15"/>
  <c r="N7" i="15"/>
  <c r="K7" i="15"/>
  <c r="G7" i="15"/>
  <c r="P6" i="15"/>
  <c r="N6" i="15"/>
  <c r="K6" i="15"/>
  <c r="G6" i="15"/>
  <c r="P5" i="15"/>
  <c r="N5" i="15"/>
  <c r="K5" i="15"/>
  <c r="G5" i="15"/>
  <c r="N4" i="15"/>
  <c r="L4" i="15" s="1"/>
  <c r="P4" i="15" s="1"/>
  <c r="K4" i="15"/>
  <c r="G4" i="15"/>
  <c r="AQ431" i="16" l="1"/>
  <c r="E15" i="13"/>
  <c r="D15" i="13"/>
  <c r="AR429" i="16"/>
  <c r="C15" i="13"/>
  <c r="AN431" i="16"/>
  <c r="P70" i="15"/>
  <c r="K70" i="15"/>
  <c r="L70" i="15" l="1"/>
  <c r="C22" i="13"/>
  <c r="E22" i="13"/>
  <c r="D13" i="13"/>
  <c r="H12" i="14"/>
</calcChain>
</file>

<file path=xl/sharedStrings.xml><?xml version="1.0" encoding="utf-8"?>
<sst xmlns="http://schemas.openxmlformats.org/spreadsheetml/2006/main" count="2957" uniqueCount="399">
  <si>
    <t>T(mm)</t>
  </si>
  <si>
    <t>W</t>
  </si>
  <si>
    <t>L</t>
  </si>
  <si>
    <t xml:space="preserve">Out Cutting </t>
  </si>
  <si>
    <t>Date In</t>
  </si>
  <si>
    <t>Decription</t>
  </si>
  <si>
    <t>Actual size</t>
  </si>
  <si>
    <t>Size</t>
  </si>
  <si>
    <t>Quantity</t>
  </si>
  <si>
    <t>Rate</t>
  </si>
  <si>
    <t>M3 ลูกบาศก์</t>
  </si>
  <si>
    <t>F3 ลูกบาศก์</t>
  </si>
  <si>
    <t>Price</t>
  </si>
  <si>
    <t>Amount</t>
  </si>
  <si>
    <t>Remark</t>
  </si>
  <si>
    <r>
      <rPr>
        <b/>
        <sz val="19"/>
        <color theme="1"/>
        <rFont val="ＭＳ Ｐ明朝"/>
      </rPr>
      <t>（</t>
    </r>
    <r>
      <rPr>
        <b/>
        <sz val="19"/>
        <color theme="1"/>
        <rFont val="Angsana New"/>
      </rPr>
      <t>%</t>
    </r>
    <r>
      <rPr>
        <b/>
        <sz val="19"/>
        <color theme="1"/>
        <rFont val="ＭＳ Ｐ明朝"/>
      </rPr>
      <t>）</t>
    </r>
  </si>
  <si>
    <t>Stock</t>
  </si>
  <si>
    <t>พี่ไหน</t>
  </si>
  <si>
    <t>TOTAL</t>
  </si>
  <si>
    <t xml:space="preserve"> </t>
  </si>
  <si>
    <t>OUT S4S</t>
  </si>
  <si>
    <r>
      <rPr>
        <b/>
        <sz val="18"/>
        <color theme="1"/>
        <rFont val="ＭＳ Ｐ明朝"/>
      </rPr>
      <t>（</t>
    </r>
    <r>
      <rPr>
        <b/>
        <sz val="18"/>
        <color theme="1"/>
        <rFont val="Angsana New"/>
      </rPr>
      <t>%</t>
    </r>
    <r>
      <rPr>
        <b/>
        <sz val="18"/>
        <color theme="1"/>
        <rFont val="ＭＳ Ｐ明朝"/>
      </rPr>
      <t>）</t>
    </r>
  </si>
  <si>
    <t>ไม้ดี</t>
  </si>
  <si>
    <t>พี่นี+พี่ไหน+พี่สุ</t>
  </si>
  <si>
    <t>Finger Joint</t>
  </si>
  <si>
    <r>
      <rPr>
        <b/>
        <sz val="18"/>
        <color theme="1"/>
        <rFont val="ＭＳ Ｐ明朝"/>
      </rPr>
      <t>（</t>
    </r>
    <r>
      <rPr>
        <b/>
        <sz val="18"/>
        <color theme="1"/>
        <rFont val="Angsana New"/>
      </rPr>
      <t>%</t>
    </r>
    <r>
      <rPr>
        <b/>
        <sz val="18"/>
        <color theme="1"/>
        <rFont val="ＭＳ Ｐ明朝"/>
      </rPr>
      <t>）</t>
    </r>
  </si>
  <si>
    <t>พี่เอ</t>
  </si>
  <si>
    <t>High Frequency Laminated</t>
  </si>
  <si>
    <r>
      <rPr>
        <b/>
        <sz val="20"/>
        <color theme="1"/>
        <rFont val="ＭＳ Ｐ明朝"/>
      </rPr>
      <t>（</t>
    </r>
    <r>
      <rPr>
        <b/>
        <sz val="20"/>
        <color theme="1"/>
        <rFont val="Angsana New"/>
      </rPr>
      <t>%</t>
    </r>
    <r>
      <rPr>
        <b/>
        <sz val="20"/>
        <color theme="1"/>
        <rFont val="ＭＳ Ｐ明朝"/>
      </rPr>
      <t>）</t>
    </r>
  </si>
  <si>
    <t>H1</t>
  </si>
  <si>
    <t>พี่สุ</t>
  </si>
  <si>
    <t>Rip Saw ตัดไม้</t>
  </si>
  <si>
    <r>
      <rPr>
        <b/>
        <sz val="18"/>
        <color theme="1"/>
        <rFont val="ＭＳ Ｐ明朝"/>
      </rPr>
      <t>（</t>
    </r>
    <r>
      <rPr>
        <b/>
        <sz val="18"/>
        <color theme="1"/>
        <rFont val="Angsana New"/>
      </rPr>
      <t>%</t>
    </r>
    <r>
      <rPr>
        <b/>
        <sz val="18"/>
        <color theme="1"/>
        <rFont val="ＭＳ Ｐ明朝"/>
      </rPr>
      <t>）</t>
    </r>
  </si>
  <si>
    <t>Running Saw ตัดไม้</t>
  </si>
  <si>
    <r>
      <rPr>
        <b/>
        <sz val="18"/>
        <color theme="1"/>
        <rFont val="ＭＳ Ｐ明朝"/>
      </rPr>
      <t>（</t>
    </r>
    <r>
      <rPr>
        <b/>
        <sz val="18"/>
        <color theme="1"/>
        <rFont val="Angsana New"/>
      </rPr>
      <t>%</t>
    </r>
    <r>
      <rPr>
        <b/>
        <sz val="18"/>
        <color theme="1"/>
        <rFont val="ＭＳ Ｐ明朝"/>
      </rPr>
      <t>）</t>
    </r>
  </si>
  <si>
    <t>Sanding</t>
  </si>
  <si>
    <r>
      <rPr>
        <b/>
        <sz val="20"/>
        <color theme="1"/>
        <rFont val="ＭＳ Ｐ明朝"/>
      </rPr>
      <t>（</t>
    </r>
    <r>
      <rPr>
        <b/>
        <sz val="20"/>
        <color theme="1"/>
        <rFont val="Angsana New"/>
      </rPr>
      <t>%</t>
    </r>
    <r>
      <rPr>
        <b/>
        <sz val="20"/>
        <color theme="1"/>
        <rFont val="ＭＳ Ｐ明朝"/>
      </rPr>
      <t>）</t>
    </r>
  </si>
  <si>
    <t>Moulding Process</t>
  </si>
  <si>
    <r>
      <rPr>
        <b/>
        <sz val="18"/>
        <color theme="1"/>
        <rFont val="ＭＳ Ｐ明朝"/>
      </rPr>
      <t>（</t>
    </r>
    <r>
      <rPr>
        <b/>
        <sz val="18"/>
        <color theme="1"/>
        <rFont val="Angsana New"/>
      </rPr>
      <t>%</t>
    </r>
    <r>
      <rPr>
        <b/>
        <sz val="18"/>
        <color theme="1"/>
        <rFont val="ＭＳ Ｐ明朝"/>
      </rPr>
      <t>）</t>
    </r>
  </si>
  <si>
    <t>นีอิสลาม/ไม้ดี</t>
  </si>
  <si>
    <t>Double End Cutting ไม้ดี ,ไม้เสีย</t>
  </si>
  <si>
    <r>
      <rPr>
        <b/>
        <sz val="18"/>
        <color theme="1"/>
        <rFont val="ＭＳ Ｐ明朝"/>
      </rPr>
      <t>（</t>
    </r>
    <r>
      <rPr>
        <b/>
        <sz val="18"/>
        <color theme="1"/>
        <rFont val="Angsana New"/>
      </rPr>
      <t>%</t>
    </r>
    <r>
      <rPr>
        <b/>
        <sz val="18"/>
        <color theme="1"/>
        <rFont val="ＭＳ Ｐ明朝"/>
      </rPr>
      <t>）</t>
    </r>
  </si>
  <si>
    <t>หนึ่ง</t>
  </si>
  <si>
    <t>UV</t>
  </si>
  <si>
    <r>
      <rPr>
        <b/>
        <sz val="18"/>
        <color theme="1"/>
        <rFont val="ＭＳ Ｐ明朝"/>
      </rPr>
      <t>（</t>
    </r>
    <r>
      <rPr>
        <b/>
        <sz val="18"/>
        <color theme="1"/>
        <rFont val="Angsana New"/>
      </rPr>
      <t>%</t>
    </r>
    <r>
      <rPr>
        <b/>
        <sz val="18"/>
        <color theme="1"/>
        <rFont val="ＭＳ Ｐ明朝"/>
      </rPr>
      <t>）</t>
    </r>
  </si>
  <si>
    <t>วินโซ</t>
  </si>
  <si>
    <t>total</t>
  </si>
  <si>
    <t>Material</t>
  </si>
  <si>
    <t>วัตถุสิ้นเปลือง</t>
  </si>
  <si>
    <t>Item Code.</t>
  </si>
  <si>
    <t>หน่วย</t>
  </si>
  <si>
    <t>Beginning Product</t>
  </si>
  <si>
    <t>หมายเหตุ</t>
  </si>
  <si>
    <t>TW-PL001</t>
  </si>
  <si>
    <t>แผ่นพาเลท 4x1220x2440</t>
  </si>
  <si>
    <t>TW-PL002</t>
  </si>
  <si>
    <t>แผ่นพาเลท 10x1220x2250</t>
  </si>
  <si>
    <t>TW-PL003</t>
  </si>
  <si>
    <t>แผ่นพาเลท 2.5x1220x2440</t>
  </si>
  <si>
    <t>TW-PL004</t>
  </si>
  <si>
    <t>ไม้อัดแผ่นเรียบ 9x1220x1220</t>
  </si>
  <si>
    <t>TW-PL005</t>
  </si>
  <si>
    <t>ไม้อัดแผ่นเรียบ 9x1220x2440</t>
  </si>
  <si>
    <t>TW-PL006</t>
  </si>
  <si>
    <t>ไม้อัดแผ่นเรียบ 90x600x600</t>
  </si>
  <si>
    <t>TW-PL007</t>
  </si>
  <si>
    <t>แผ่นพาเลท 2.3x1220x2440</t>
  </si>
  <si>
    <t>TW-PPC001</t>
  </si>
  <si>
    <t>Paper angle Bead มุมกระดาษ</t>
  </si>
  <si>
    <t>Packing Accessary</t>
  </si>
  <si>
    <t>M3</t>
    <phoneticPr fontId="13"/>
  </si>
  <si>
    <t xml:space="preserve">M3/pieces </t>
  </si>
  <si>
    <t>M3 /Amount</t>
  </si>
  <si>
    <t>Price USD</t>
    <phoneticPr fontId="13"/>
  </si>
  <si>
    <t xml:space="preserve">Previous Price </t>
  </si>
  <si>
    <t>Discount 3%</t>
  </si>
  <si>
    <t>rate</t>
    <phoneticPr fontId="13"/>
  </si>
  <si>
    <r>
      <rPr>
        <b/>
        <sz val="24"/>
        <color theme="1"/>
        <rFont val="ＭＳ Ｐ明朝"/>
        <family val="1"/>
        <charset val="128"/>
      </rPr>
      <t>（</t>
    </r>
    <r>
      <rPr>
        <b/>
        <sz val="24"/>
        <color theme="1"/>
        <rFont val="Angsana New"/>
        <family val="1"/>
      </rPr>
      <t>%</t>
    </r>
    <r>
      <rPr>
        <b/>
        <sz val="24"/>
        <color theme="1"/>
        <rFont val="ＭＳ Ｐ明朝"/>
        <family val="1"/>
        <charset val="128"/>
      </rPr>
      <t>）</t>
    </r>
  </si>
  <si>
    <t>USD</t>
  </si>
  <si>
    <t>BBI-8080-1010</t>
  </si>
  <si>
    <t>Packed</t>
  </si>
  <si>
    <t>BBI-4900-1010</t>
  </si>
  <si>
    <t>BBI-6120-1020</t>
  </si>
  <si>
    <t>BBI-6120-1070</t>
  </si>
  <si>
    <t>BBI-6120-1071</t>
  </si>
  <si>
    <t>BBI-6120-1080</t>
  </si>
  <si>
    <t>BBI-8380-1021</t>
  </si>
  <si>
    <t>BBI-8080-500</t>
  </si>
  <si>
    <t>66200473</t>
  </si>
  <si>
    <t>66200471</t>
  </si>
  <si>
    <t>66200475</t>
  </si>
  <si>
    <t>66200488</t>
  </si>
  <si>
    <t>66200522</t>
  </si>
  <si>
    <t>66200472</t>
  </si>
  <si>
    <t>66200523</t>
  </si>
  <si>
    <t>8156623</t>
  </si>
  <si>
    <t>66200483</t>
  </si>
  <si>
    <t>66200487</t>
  </si>
  <si>
    <t>66200490</t>
  </si>
  <si>
    <t>8156615</t>
  </si>
  <si>
    <t>8156635</t>
  </si>
  <si>
    <t>8156643</t>
  </si>
  <si>
    <t>66200474</t>
  </si>
  <si>
    <t>66200479</t>
  </si>
  <si>
    <t>66200489</t>
  </si>
  <si>
    <t>66200507</t>
  </si>
  <si>
    <t>66200509</t>
  </si>
  <si>
    <t>66200505</t>
  </si>
  <si>
    <t>66200511</t>
  </si>
  <si>
    <t>66200518</t>
  </si>
  <si>
    <t>66200521</t>
  </si>
  <si>
    <t>66200528</t>
  </si>
  <si>
    <t>66213804</t>
  </si>
  <si>
    <t>984890</t>
  </si>
  <si>
    <t>984893</t>
  </si>
  <si>
    <t>099.2050B</t>
  </si>
  <si>
    <t>099.2055B</t>
  </si>
  <si>
    <t>WH-099.2010</t>
  </si>
  <si>
    <t>WH-099.2060</t>
  </si>
  <si>
    <t>WH-099.2067</t>
  </si>
  <si>
    <t>WH-099.2070</t>
  </si>
  <si>
    <t>099.2095B</t>
  </si>
  <si>
    <t>5010601</t>
  </si>
  <si>
    <t>5010602</t>
  </si>
  <si>
    <t>5010603</t>
  </si>
  <si>
    <t>5010607</t>
  </si>
  <si>
    <t>5010608</t>
  </si>
  <si>
    <t>5010609</t>
  </si>
  <si>
    <t>5010610</t>
  </si>
  <si>
    <t>5010612</t>
  </si>
  <si>
    <t>5010613</t>
  </si>
  <si>
    <t>5010614</t>
  </si>
  <si>
    <t>5010623</t>
  </si>
  <si>
    <t>5010627</t>
  </si>
  <si>
    <t>bbi-8200</t>
  </si>
  <si>
    <t>bbi-4900-406</t>
  </si>
  <si>
    <t>bbi-2530-267</t>
  </si>
  <si>
    <t>bbi-6000-386</t>
  </si>
  <si>
    <t>AC</t>
  </si>
  <si>
    <t>bbi-6000</t>
  </si>
  <si>
    <t>bbi-4900</t>
  </si>
  <si>
    <t>bbi-2530</t>
  </si>
  <si>
    <t>sfp</t>
  </si>
  <si>
    <t>BBI-8200</t>
  </si>
  <si>
    <t>BBI-4900</t>
  </si>
  <si>
    <t>BBI-6000</t>
  </si>
  <si>
    <t>PART</t>
  </si>
  <si>
    <t>T</t>
  </si>
  <si>
    <t>PCS</t>
  </si>
  <si>
    <t>INV</t>
  </si>
  <si>
    <t>IN DATE</t>
  </si>
  <si>
    <t>OUT DATE - JULY</t>
  </si>
  <si>
    <t>BALANCE</t>
  </si>
  <si>
    <t>m3</t>
  </si>
  <si>
    <t>USD/PCS</t>
  </si>
  <si>
    <t>USD/m3</t>
  </si>
  <si>
    <t>USD to THB</t>
  </si>
  <si>
    <t>TGTM-25001</t>
  </si>
  <si>
    <t>TGTM-25003</t>
  </si>
  <si>
    <t>SSI-2501</t>
  </si>
  <si>
    <t>SSI-2502</t>
  </si>
  <si>
    <t>JTM-2503</t>
  </si>
  <si>
    <t>TGTM-24002</t>
  </si>
  <si>
    <t>JTM-2504</t>
  </si>
  <si>
    <t>099.2005</t>
  </si>
  <si>
    <t>JTM-2501</t>
  </si>
  <si>
    <t>099.2035</t>
  </si>
  <si>
    <t>JTM-2502</t>
  </si>
  <si>
    <t>099.2050</t>
  </si>
  <si>
    <t>099.2060</t>
  </si>
  <si>
    <t>099.2066</t>
  </si>
  <si>
    <t>TGTM-25002</t>
  </si>
  <si>
    <t>099.2069</t>
  </si>
  <si>
    <t>099.2270</t>
  </si>
  <si>
    <t>BE-00450x60</t>
  </si>
  <si>
    <t>BE-00600x60</t>
  </si>
  <si>
    <t>BE-1100x1524</t>
  </si>
  <si>
    <t>BIRCH WOOD</t>
  </si>
  <si>
    <t>TM202508-SN01</t>
  </si>
  <si>
    <t>TM202511-SN01</t>
  </si>
  <si>
    <t>TM017/TM018/TM019</t>
  </si>
  <si>
    <t>TM202604-SN02</t>
  </si>
  <si>
    <t>TM202601-SN01/TM202602-SN01</t>
  </si>
  <si>
    <t>BZ-00600x60</t>
  </si>
  <si>
    <t>POPLAR WOOD</t>
  </si>
  <si>
    <t>JTM-2508</t>
  </si>
  <si>
    <t>TM202506-SN01</t>
  </si>
  <si>
    <t>TM202604-SN01</t>
  </si>
  <si>
    <t>TM202604-DM01</t>
  </si>
  <si>
    <t>TM2025-SN01/2/3</t>
  </si>
  <si>
    <t>TM202603-DM02</t>
  </si>
  <si>
    <t>TM202603-DM01</t>
  </si>
  <si>
    <t>TM202506-SN02</t>
  </si>
  <si>
    <t>TM202509-SN01</t>
  </si>
  <si>
    <t>JTM-2507</t>
  </si>
  <si>
    <t>TM202603-DM03</t>
  </si>
  <si>
    <t>JTM-2505</t>
  </si>
  <si>
    <t>JTM-2506</t>
  </si>
  <si>
    <t>TM-202604-03</t>
  </si>
  <si>
    <t>SSI-2605</t>
  </si>
  <si>
    <t>INV-13/ASN/TM/II/26</t>
  </si>
  <si>
    <t>INV-11/ASN/TM/II/26</t>
  </si>
  <si>
    <t>RUBBER S4S</t>
  </si>
  <si>
    <t>INV-14/ASN/TM/VI/26</t>
  </si>
  <si>
    <t>TYPE</t>
  </si>
  <si>
    <t>BOARD</t>
  </si>
  <si>
    <t>POPLAR WOOD BOARD</t>
  </si>
  <si>
    <t>PULL OUT BOARD</t>
  </si>
  <si>
    <t>RUBBER WOOD</t>
  </si>
  <si>
    <t>RUBBER WOOD BOARD</t>
  </si>
  <si>
    <t>WOODEN PLATE</t>
  </si>
  <si>
    <t>Birch</t>
  </si>
  <si>
    <t>Poplar</t>
  </si>
  <si>
    <t>Rubber</t>
  </si>
  <si>
    <t>MDF-BIRCH</t>
  </si>
  <si>
    <t>GW-TM260207</t>
  </si>
  <si>
    <t>PLYWOOD-BIRCH</t>
  </si>
  <si>
    <t>GW-TM260410</t>
  </si>
  <si>
    <t>GW-TM260710</t>
  </si>
  <si>
    <t>F3 ลูกบาศก์ฟุต</t>
  </si>
  <si>
    <t>PRICE /PCS</t>
  </si>
  <si>
    <t>RMGROB-FJ-AB-001</t>
  </si>
  <si>
    <t>AB 14X1220X2440</t>
  </si>
  <si>
    <t>RMGROB-BJ-AB-002</t>
  </si>
  <si>
    <t>AB 14X1220X1550</t>
  </si>
  <si>
    <t>RMDAXIANG-BJ-AC-003</t>
  </si>
  <si>
    <t>AC 16X1220X2440</t>
  </si>
  <si>
    <t>RMKTM-LB-AB001</t>
  </si>
  <si>
    <t>AB 16X11180X1100</t>
  </si>
  <si>
    <t>RMKTM-LB-AB002</t>
  </si>
  <si>
    <t>AB 16X1180X1000</t>
  </si>
  <si>
    <t>RMKTM-LB-AB003</t>
  </si>
  <si>
    <t>AB 16X1200X900</t>
  </si>
  <si>
    <t xml:space="preserve">Board </t>
  </si>
  <si>
    <t>ชื่อไฟล์</t>
  </si>
  <si>
    <t>เลขที่ (No.)</t>
  </si>
  <si>
    <t>ความหนา
(หนา)</t>
  </si>
  <si>
    <t>ความกว้าง
(กว้าง)</t>
  </si>
  <si>
    <t>ความยาว
(ยาว)</t>
  </si>
  <si>
    <t>จำนวนชิ้น
(Pcs)</t>
  </si>
  <si>
    <t>ปริมาตร
(M3)</t>
  </si>
  <si>
    <t>IMG_1122.HEIC</t>
  </si>
  <si>
    <t>8156644</t>
  </si>
  <si>
    <t>IMG_1123.HEIC</t>
  </si>
  <si>
    <t>66050519</t>
  </si>
  <si>
    <t>66050510</t>
  </si>
  <si>
    <t>IMG_1124.HEIC</t>
  </si>
  <si>
    <t>87082</t>
  </si>
  <si>
    <t>8156611</t>
  </si>
  <si>
    <t>IMG_1125.HEIC</t>
  </si>
  <si>
    <t>8156641</t>
  </si>
  <si>
    <t>8156627</t>
  </si>
  <si>
    <t>IMG_1126.HEIC</t>
  </si>
  <si>
    <t>8156667</t>
  </si>
  <si>
    <t>8489</t>
  </si>
  <si>
    <t>IMG_1128.HEIC</t>
  </si>
  <si>
    <t>8156544</t>
  </si>
  <si>
    <t>IMG_1129.HEIC</t>
  </si>
  <si>
    <t>8686</t>
  </si>
  <si>
    <t>8345</t>
  </si>
  <si>
    <t>8591</t>
  </si>
  <si>
    <t>IMG_1130.HEIC</t>
  </si>
  <si>
    <t>2015</t>
  </si>
  <si>
    <t>IMG_1141.HEIC</t>
  </si>
  <si>
    <t>PDM3600</t>
  </si>
  <si>
    <t>PDM3612</t>
  </si>
  <si>
    <t>PDM3860</t>
  </si>
  <si>
    <t>PDM3735</t>
  </si>
  <si>
    <t>PDM5005</t>
  </si>
  <si>
    <t>IMG_1142.HEIC</t>
  </si>
  <si>
    <t>099.2010B</t>
  </si>
  <si>
    <t>099.2015B</t>
  </si>
  <si>
    <t>099.2045B</t>
  </si>
  <si>
    <t>099.2067B</t>
  </si>
  <si>
    <t>WH-099.2005</t>
  </si>
  <si>
    <t>WH-099.2035</t>
  </si>
  <si>
    <t>WH-099.2040</t>
  </si>
  <si>
    <t>WH-099.2045</t>
  </si>
  <si>
    <t>WH-099.2047</t>
  </si>
  <si>
    <t>WH-099.2050</t>
  </si>
  <si>
    <t>WH-099.2069</t>
  </si>
  <si>
    <t>IMG_1144.HEIC</t>
  </si>
  <si>
    <t>099.2360B</t>
  </si>
  <si>
    <t>RN-120-2305</t>
  </si>
  <si>
    <t>RN-120-2313</t>
  </si>
  <si>
    <t>IMG_1145.HEIC</t>
  </si>
  <si>
    <t>5010606</t>
  </si>
  <si>
    <t>5010611</t>
  </si>
  <si>
    <t>5010624</t>
  </si>
  <si>
    <t>IMG_1146.HEIC</t>
  </si>
  <si>
    <t>IMG_1147.HEIC</t>
  </si>
  <si>
    <t>IMG_1149.HEIC</t>
  </si>
  <si>
    <t>RW-FB-40948</t>
  </si>
  <si>
    <t>RW-FB-611848</t>
  </si>
  <si>
    <t>IMG_1150.HEIC</t>
  </si>
  <si>
    <t>RW-FJ-FB-22216</t>
  </si>
  <si>
    <t>IMG_1157.HEIC</t>
  </si>
  <si>
    <t>7342</t>
  </si>
  <si>
    <t>7295</t>
  </si>
  <si>
    <t>7194</t>
  </si>
  <si>
    <t>7296</t>
  </si>
  <si>
    <t>7234</t>
  </si>
  <si>
    <t>7382</t>
  </si>
  <si>
    <t>IMG_1159.HEIC</t>
  </si>
  <si>
    <t>8584</t>
  </si>
  <si>
    <t>8627</t>
  </si>
  <si>
    <t>8633</t>
  </si>
  <si>
    <t>IMG_1160.HEIC</t>
  </si>
  <si>
    <t>BBI-46142721</t>
  </si>
  <si>
    <t>BBI-46142718</t>
  </si>
  <si>
    <t>BBI-46142720</t>
  </si>
  <si>
    <t>BBI-46142725</t>
  </si>
  <si>
    <t>BBI-46142732</t>
  </si>
  <si>
    <t>IMG_1161.HEIC</t>
  </si>
  <si>
    <t>7344</t>
  </si>
  <si>
    <t>7345</t>
  </si>
  <si>
    <t>7370</t>
  </si>
  <si>
    <t>IMG_1162.HEIC</t>
  </si>
  <si>
    <t>9059</t>
  </si>
  <si>
    <t>9058</t>
  </si>
  <si>
    <t>IMG_1163.HEIC</t>
  </si>
  <si>
    <t>8619</t>
  </si>
  <si>
    <t>8639</t>
  </si>
  <si>
    <t>8574</t>
  </si>
  <si>
    <t>8689</t>
  </si>
  <si>
    <t>8337</t>
  </si>
  <si>
    <t>8331</t>
  </si>
  <si>
    <t>BBI-2000-8645</t>
  </si>
  <si>
    <t>8573</t>
  </si>
  <si>
    <t>IMG_1164.HEIC</t>
  </si>
  <si>
    <t>9333</t>
  </si>
  <si>
    <t>8436</t>
  </si>
  <si>
    <t>IMG_1165.HEIC</t>
  </si>
  <si>
    <t>9247</t>
  </si>
  <si>
    <t>9203</t>
  </si>
  <si>
    <t>9403</t>
  </si>
  <si>
    <t>9399</t>
  </si>
  <si>
    <t>9349</t>
  </si>
  <si>
    <t>9396</t>
  </si>
  <si>
    <t>9265</t>
  </si>
  <si>
    <t>IMG_1166.HEIC</t>
  </si>
  <si>
    <t>8567</t>
  </si>
  <si>
    <t>IMG_1167.HEIC</t>
  </si>
  <si>
    <t>8642</t>
  </si>
  <si>
    <t>8643</t>
  </si>
  <si>
    <t>IMG_1168.HEIC</t>
  </si>
  <si>
    <t>IMG_1169.HEIC</t>
  </si>
  <si>
    <t>IMG_1170.HEIC</t>
  </si>
  <si>
    <t>099.2320B</t>
  </si>
  <si>
    <t>099.2290B</t>
  </si>
  <si>
    <t>099.2255B</t>
  </si>
  <si>
    <t>099.2220B</t>
  </si>
  <si>
    <t>099.2215B</t>
  </si>
  <si>
    <t>099.2205B</t>
  </si>
  <si>
    <t>099.2080B</t>
  </si>
  <si>
    <t>099-2340</t>
  </si>
  <si>
    <t>099-2310</t>
  </si>
  <si>
    <t>IMG_1171.HEIC</t>
  </si>
  <si>
    <t>66200465</t>
  </si>
  <si>
    <t>66200464</t>
  </si>
  <si>
    <t>66200462</t>
  </si>
  <si>
    <t>652542</t>
  </si>
  <si>
    <t>66200512</t>
  </si>
  <si>
    <t>66200506</t>
  </si>
  <si>
    <t>66200492</t>
  </si>
  <si>
    <t>66200477</t>
  </si>
  <si>
    <t>IMG_1172.HEIC</t>
  </si>
  <si>
    <t>66213806</t>
  </si>
  <si>
    <t>66200527</t>
  </si>
  <si>
    <t>66200516</t>
  </si>
  <si>
    <t>984903</t>
  </si>
  <si>
    <t>984901</t>
  </si>
  <si>
    <t>Type</t>
  </si>
  <si>
    <t>M3</t>
  </si>
  <si>
    <t>Price/ M3</t>
  </si>
  <si>
    <t>WIP</t>
  </si>
  <si>
    <t>Cutting</t>
  </si>
  <si>
    <t>S4S</t>
  </si>
  <si>
    <t>HFC</t>
  </si>
  <si>
    <t>Finger joint</t>
  </si>
  <si>
    <t>Running saw / Rip Saw</t>
  </si>
  <si>
    <t>Moulding</t>
  </si>
  <si>
    <t>Double Cutting</t>
  </si>
  <si>
    <t>Paint / UV</t>
  </si>
  <si>
    <t>Finish good</t>
  </si>
  <si>
    <t>Packing 1 - Complate 1 Pallete</t>
  </si>
  <si>
    <t>Packing 2 - Not Complate 1 Pallete</t>
  </si>
  <si>
    <t>Packing - Spring Tray &amp; Two Tier</t>
  </si>
  <si>
    <t>Material ( Lumber / Board )</t>
  </si>
  <si>
    <t>Marerial ( China ) - Popla</t>
  </si>
  <si>
    <t>Marerial ( China ) - Birch</t>
  </si>
  <si>
    <t>Material ( Taiwan)</t>
  </si>
  <si>
    <t>Material (Indoneesia )</t>
  </si>
  <si>
    <t>Material (Vietnam)-MDF-BIRCH</t>
  </si>
  <si>
    <t>Material (Vietnam)-PLYWOOD-BIRCH</t>
  </si>
  <si>
    <t>Reject ( Packing )</t>
  </si>
  <si>
    <t>July - 2026 Inventory Process</t>
  </si>
  <si>
    <t xml:space="preserve">099.2095B </t>
  </si>
  <si>
    <t>ไม้เสีย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</si>
</sst>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3" formatCode="_-* #,##0.00_-;\-* #,##0.00_-;_-* &quot;-&quot;??_-;_-@_-"/>
    <numFmt numFmtId="164" formatCode="_-* #,##0_-;\-* #,##0_-;_-* &quot;-&quot;??_-;_-@"/>
    <numFmt numFmtId="165" formatCode="0.0000"/>
    <numFmt numFmtId="166" formatCode="_-* #,##0.00_-;\-* #,##0.00_-;_-* &quot;-&quot;??_-;_-@"/>
    <numFmt numFmtId="167" formatCode="_-* #,##0.00_-;\-* #,##0.00_-;_-* &quot;-&quot;_-;_-@"/>
    <numFmt numFmtId="168" formatCode="_-* #,##0.0000_-;\-* #,##0.0000_-;_-* &quot;-&quot;??_-;_-@"/>
    <numFmt numFmtId="169" formatCode="_-* #,##0_-;\-* #,##0_-;_-* &quot;-&quot;_-;_-@"/>
    <numFmt numFmtId="170" formatCode="_-* #,##0.000_-;\-* #,##0.000_-;_-* &quot;-&quot;??.000_-;_-@"/>
    <numFmt numFmtId="171" formatCode="_-* #,##0.0_-;\-* #,##0.0_-;_-* &quot;-&quot;_-;_-@"/>
    <numFmt numFmtId="172" formatCode="0.0"/>
    <numFmt numFmtId="173" formatCode="_-* #,##0.0_-;\-* #,##0.0_-;_-* &quot;-&quot;??_-;_-@"/>
    <numFmt numFmtId="174" formatCode="_-* #,##0.0000_-;\-* #,##0.0000_-;_-* &quot;-&quot;_-;_-@"/>
    <numFmt numFmtId="175" formatCode="_ * #,##0.00_ ;_ * \-#,##0.00_ ;_ * &quot;-&quot;??_ ;_ @_ "/>
    <numFmt numFmtId="176" formatCode="0.000"/>
    <numFmt numFmtId="177" formatCode="#,##0.0000"/>
  </numFmts>
  <fonts count="105">
    <font>
      <sz val="11"/>
      <color theme="1"/>
      <name val="Calibri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u/>
      <sz val="30"/>
      <color theme="1"/>
      <name val="Angsana New"/>
    </font>
    <font>
      <sz val="11"/>
      <name val="Calibri"/>
    </font>
    <font>
      <sz val="18"/>
      <color theme="1"/>
      <name val="AngsanaUPC"/>
    </font>
    <font>
      <b/>
      <sz val="19"/>
      <color theme="1"/>
      <name val="Angsana New"/>
    </font>
    <font>
      <b/>
      <sz val="19"/>
      <color theme="1"/>
      <name val="AngsanaUPC"/>
    </font>
    <font>
      <sz val="18"/>
      <color theme="1"/>
      <name val="Angsana New"/>
    </font>
    <font>
      <sz val="11"/>
      <color theme="1"/>
      <name val="Arial"/>
    </font>
    <font>
      <sz val="11"/>
      <color rgb="FFC00000"/>
      <name val="Calibri"/>
    </font>
    <font>
      <b/>
      <sz val="20"/>
      <color theme="1"/>
      <name val="Angsana New"/>
    </font>
    <font>
      <sz val="20"/>
      <color theme="1"/>
      <name val="AngsanaUPC"/>
    </font>
    <font>
      <sz val="24"/>
      <color theme="1"/>
      <name val="Calibri"/>
    </font>
    <font>
      <sz val="11"/>
      <color theme="1"/>
      <name val="Calibri"/>
    </font>
    <font>
      <b/>
      <u/>
      <sz val="18"/>
      <color theme="1"/>
      <name val="Angsana New"/>
    </font>
    <font>
      <b/>
      <sz val="18"/>
      <color theme="1"/>
      <name val="Angsana New"/>
    </font>
    <font>
      <b/>
      <sz val="18"/>
      <color theme="1"/>
      <name val="AngsanaUPC"/>
    </font>
    <font>
      <sz val="12"/>
      <color theme="1"/>
      <name val="Calibri"/>
    </font>
    <font>
      <sz val="11"/>
      <color rgb="FFA20000"/>
      <name val="Calibri"/>
    </font>
    <font>
      <sz val="18"/>
      <color theme="1"/>
      <name val="Calibri"/>
    </font>
    <font>
      <b/>
      <sz val="18"/>
      <color rgb="FFFF0000"/>
      <name val="Angsana New"/>
    </font>
    <font>
      <sz val="16"/>
      <color theme="1"/>
      <name val="AngsanaUPC"/>
    </font>
    <font>
      <b/>
      <sz val="20"/>
      <color theme="1"/>
      <name val="AngsanaUPC"/>
    </font>
    <font>
      <b/>
      <u/>
      <sz val="18"/>
      <color theme="1"/>
      <name val="Angsana New"/>
    </font>
    <font>
      <sz val="18"/>
      <color rgb="FF002060"/>
      <name val="Angsana New"/>
    </font>
    <font>
      <sz val="18"/>
      <color rgb="FFFF0000"/>
      <name val="Angsana New"/>
    </font>
    <font>
      <b/>
      <sz val="22"/>
      <color theme="1"/>
      <name val="Angsana New"/>
    </font>
    <font>
      <b/>
      <u/>
      <sz val="22"/>
      <color theme="1"/>
      <name val="Angsana New"/>
    </font>
    <font>
      <sz val="20"/>
      <color theme="1"/>
      <name val="Angsana New"/>
    </font>
    <font>
      <sz val="18"/>
      <color rgb="FFA20000"/>
      <name val="Angsana New"/>
    </font>
    <font>
      <b/>
      <u/>
      <sz val="20"/>
      <color theme="1"/>
      <name val="Angsana New"/>
    </font>
    <font>
      <sz val="30"/>
      <color theme="1"/>
      <name val="Angsana New"/>
    </font>
    <font>
      <sz val="22"/>
      <color theme="1"/>
      <name val="Angsana New"/>
    </font>
    <font>
      <sz val="18"/>
      <color rgb="FF33CC33"/>
      <name val="Angsana New"/>
    </font>
    <font>
      <sz val="12"/>
      <color rgb="FFFF0000"/>
      <name val="Calibri"/>
    </font>
    <font>
      <b/>
      <sz val="30"/>
      <color theme="1"/>
      <name val="Angsana New"/>
    </font>
    <font>
      <b/>
      <u/>
      <sz val="24"/>
      <color theme="1"/>
      <name val="Angsana New"/>
    </font>
    <font>
      <sz val="20"/>
      <color rgb="FFFF0000"/>
      <name val="Angsana New"/>
    </font>
    <font>
      <sz val="22"/>
      <color theme="1"/>
      <name val="Calibri"/>
    </font>
    <font>
      <sz val="12"/>
      <color rgb="FFC00000"/>
      <name val="Calibri"/>
    </font>
    <font>
      <sz val="12"/>
      <color rgb="FF60A500"/>
      <name val="Calibri"/>
    </font>
    <font>
      <b/>
      <sz val="14"/>
      <color theme="1"/>
      <name val="Calibri"/>
    </font>
    <font>
      <b/>
      <sz val="18"/>
      <color rgb="FFA20000"/>
      <name val="AngsanaUPC"/>
    </font>
    <font>
      <sz val="11"/>
      <color theme="1"/>
      <name val="ＭＳ ゴシック"/>
    </font>
    <font>
      <u/>
      <sz val="18"/>
      <color theme="1"/>
      <name val="Angsana New"/>
    </font>
    <font>
      <b/>
      <sz val="19"/>
      <color theme="1"/>
      <name val="ＭＳ Ｐ明朝"/>
    </font>
    <font>
      <b/>
      <sz val="18"/>
      <color theme="1"/>
      <name val="ＭＳ Ｐ明朝"/>
    </font>
    <font>
      <b/>
      <sz val="20"/>
      <color theme="1"/>
      <name val="ＭＳ Ｐ明朝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ngsana New"/>
      <family val="1"/>
      <charset val="222"/>
    </font>
    <font>
      <sz val="18"/>
      <color rgb="FFFF0000"/>
      <name val="Angsana New"/>
      <family val="1"/>
    </font>
    <font>
      <sz val="18"/>
      <color rgb="FFFF0000"/>
      <name val="Angsana New"/>
      <family val="1"/>
      <charset val="222"/>
    </font>
    <font>
      <sz val="11"/>
      <color theme="1"/>
      <name val="Calibri"/>
      <family val="2"/>
      <scheme val="minor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sz val="11"/>
      <color theme="1"/>
      <name val="Calibri"/>
      <family val="2"/>
    </font>
    <font>
      <sz val="11"/>
      <color rgb="FFFF0000"/>
      <name val="Arial"/>
      <family val="2"/>
    </font>
    <font>
      <b/>
      <u/>
      <sz val="28"/>
      <color theme="1"/>
      <name val="Angsana New"/>
      <family val="1"/>
      <charset val="222"/>
    </font>
    <font>
      <sz val="28"/>
      <name val="Calibri"/>
      <family val="2"/>
      <charset val="222"/>
    </font>
    <font>
      <b/>
      <sz val="24"/>
      <color theme="1"/>
      <name val="Angsana New"/>
      <family val="1"/>
      <charset val="222"/>
    </font>
    <font>
      <sz val="24"/>
      <color theme="1"/>
      <name val="Angsana New"/>
      <family val="1"/>
      <charset val="222"/>
    </font>
    <font>
      <b/>
      <sz val="24"/>
      <color theme="1"/>
      <name val="AngsanaUPC"/>
      <family val="1"/>
      <charset val="222"/>
    </font>
    <font>
      <b/>
      <sz val="24"/>
      <color theme="1"/>
      <name val="ＭＳ Ｐ明朝"/>
      <family val="1"/>
      <charset val="128"/>
    </font>
    <font>
      <b/>
      <sz val="24"/>
      <color theme="1"/>
      <name val="Angsana New"/>
      <family val="1"/>
    </font>
    <font>
      <b/>
      <sz val="22"/>
      <color theme="1"/>
      <name val="Angsana New"/>
      <family val="1"/>
      <charset val="222"/>
    </font>
    <font>
      <sz val="26"/>
      <color rgb="FFC00000"/>
      <name val="Angsana New"/>
      <family val="1"/>
      <charset val="222"/>
    </font>
    <font>
      <sz val="26"/>
      <color theme="1"/>
      <name val="Angsana New"/>
      <family val="1"/>
      <charset val="222"/>
    </font>
    <font>
      <sz val="26"/>
      <color theme="1"/>
      <name val="AngsanaUPC"/>
      <family val="1"/>
      <charset val="222"/>
    </font>
    <font>
      <b/>
      <sz val="28"/>
      <color theme="1"/>
      <name val="AngsanaUPC"/>
      <family val="1"/>
    </font>
    <font>
      <sz val="26"/>
      <color rgb="FF008000"/>
      <name val="AngsanaUPC"/>
      <family val="1"/>
      <charset val="222"/>
    </font>
    <font>
      <sz val="26"/>
      <name val="AngsanaUPC"/>
      <family val="1"/>
      <charset val="222"/>
    </font>
    <font>
      <sz val="26"/>
      <name val="Angsana New"/>
      <family val="1"/>
      <charset val="222"/>
    </font>
    <font>
      <sz val="26"/>
      <color rgb="FFFF0000"/>
      <name val="Angsana New"/>
      <family val="1"/>
      <charset val="222"/>
    </font>
    <font>
      <sz val="26"/>
      <color theme="1" tint="4.9989318521683403E-2"/>
      <name val="Angsana New"/>
      <family val="1"/>
      <charset val="222"/>
    </font>
    <font>
      <sz val="26"/>
      <color rgb="FFFF0000"/>
      <name val="AngsanaUPC"/>
      <family val="1"/>
      <charset val="222"/>
    </font>
    <font>
      <b/>
      <sz val="26"/>
      <color theme="1"/>
      <name val="Angsana New"/>
      <family val="1"/>
      <charset val="222"/>
    </font>
    <font>
      <sz val="26"/>
      <name val="Calibri"/>
      <family val="2"/>
      <charset val="222"/>
    </font>
    <font>
      <b/>
      <sz val="20"/>
      <color theme="1"/>
      <name val="Angsana New"/>
      <family val="1"/>
      <charset val="222"/>
    </font>
    <font>
      <sz val="18"/>
      <name val="Angsana New"/>
      <family val="1"/>
    </font>
    <font>
      <sz val="11"/>
      <name val="Calibri"/>
      <family val="2"/>
    </font>
    <font>
      <sz val="11"/>
      <color theme="1"/>
      <name val="Calibri"/>
      <scheme val="minor"/>
    </font>
    <font>
      <sz val="11"/>
      <name val="Calibri"/>
      <family val="2"/>
      <scheme val="maj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Angsana New"/>
      <family val="1"/>
    </font>
    <font>
      <sz val="20"/>
      <color theme="1"/>
      <name val="Angsana New"/>
      <family val="1"/>
      <charset val="222"/>
    </font>
    <font>
      <sz val="16"/>
      <color theme="1"/>
      <name val="Calibri"/>
      <family val="2"/>
      <charset val="222"/>
    </font>
    <font>
      <sz val="14"/>
      <color theme="1"/>
      <name val="Calibri"/>
      <family val="2"/>
      <charset val="222"/>
    </font>
    <font>
      <sz val="22"/>
      <color theme="1"/>
      <name val="Angsana New"/>
      <family val="1"/>
      <charset val="222"/>
    </font>
    <font>
      <b/>
      <sz val="25"/>
      <color theme="1"/>
      <name val="Angsana New"/>
      <family val="1"/>
    </font>
    <font>
      <b/>
      <sz val="11"/>
      <color rgb="FFFFFFFF"/>
      <name val="Segoe UI"/>
    </font>
    <font>
      <sz val="11"/>
      <name val="Segoe UI"/>
    </font>
    <font>
      <b/>
      <sz val="11"/>
      <color rgb="FFFF0000"/>
      <name val="Segoe UI"/>
    </font>
    <font>
      <b/>
      <sz val="11"/>
      <name val="Segoe UI"/>
      <family val="2"/>
    </font>
    <font>
      <sz val="18"/>
      <color rgb="FF000000"/>
      <name val="AngsanaUPC"/>
      <family val="1"/>
    </font>
    <font>
      <sz val="18"/>
      <color rgb="FFFF0000"/>
      <name val="AngsanaUPC"/>
      <family val="1"/>
    </font>
    <font>
      <sz val="20"/>
      <color theme="1"/>
      <name val="Angsana New"/>
      <family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8B78"/>
        <bgColor rgb="FFE88B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88B78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CCCC"/>
        <bgColor rgb="FFFFCCCC"/>
      </patternFill>
    </fill>
    <fill>
      <patternFill patternType="solid">
        <fgColor theme="0"/>
        <bgColor rgb="FFFFCC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70C0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0" fontId="0" fillId="0" borderId="0"/>
    <xf numFmtId="0" fontId="8" fillId="0" borderId="19"/>
    <xf numFmtId="43" fontId="8" fillId="0" borderId="19" applyFont="0" applyFill="0" applyBorder="0" applyAlignment="0" applyProtection="0"/>
    <xf numFmtId="0" fontId="7" fillId="0" borderId="19"/>
    <xf numFmtId="43" fontId="7" fillId="0" borderId="19" applyFont="0" applyFill="0" applyBorder="0" applyAlignment="0" applyProtection="0"/>
    <xf numFmtId="0" fontId="60" fillId="0" borderId="19"/>
    <xf numFmtId="0" fontId="6" fillId="0" borderId="19"/>
    <xf numFmtId="43" fontId="6" fillId="0" borderId="19" applyFont="0" applyFill="0" applyBorder="0" applyAlignment="0" applyProtection="0"/>
    <xf numFmtId="0" fontId="5" fillId="0" borderId="19"/>
    <xf numFmtId="43" fontId="5" fillId="0" borderId="19" applyFont="0" applyFill="0" applyBorder="0" applyAlignment="0" applyProtection="0"/>
    <xf numFmtId="0" fontId="4" fillId="0" borderId="19"/>
    <xf numFmtId="43" fontId="4" fillId="0" borderId="19" applyFont="0" applyFill="0" applyBorder="0" applyAlignment="0" applyProtection="0"/>
    <xf numFmtId="0" fontId="3" fillId="0" borderId="19"/>
    <xf numFmtId="43" fontId="3" fillId="0" borderId="19" applyFont="0" applyFill="0" applyBorder="0" applyAlignment="0" applyProtection="0"/>
    <xf numFmtId="0" fontId="88" fillId="0" borderId="19"/>
    <xf numFmtId="0" fontId="2" fillId="0" borderId="19"/>
    <xf numFmtId="43" fontId="2" fillId="0" borderId="19" applyFont="0" applyFill="0" applyBorder="0" applyAlignment="0" applyProtection="0"/>
    <xf numFmtId="0" fontId="1" fillId="0" borderId="19"/>
    <xf numFmtId="43" fontId="1" fillId="0" borderId="19" applyFont="0" applyFill="0" applyBorder="0" applyAlignment="0" applyProtection="0"/>
    <xf numFmtId="43" fontId="88" fillId="0" borderId="0" applyFont="0" applyFill="0" applyBorder="0" applyAlignment="0" applyProtection="0"/>
  </cellStyleXfs>
  <cellXfs count="552">
    <xf numFmtId="0" fontId="0" fillId="0" borderId="0" xfId="0"/>
    <xf numFmtId="0" fontId="11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shrinkToFit="1"/>
    </xf>
    <xf numFmtId="164" fontId="12" fillId="3" borderId="7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12" fillId="3" borderId="9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right"/>
    </xf>
    <xf numFmtId="0" fontId="15" fillId="0" borderId="10" xfId="0" applyFont="1" applyBorder="1" applyAlignment="1">
      <alignment wrapText="1"/>
    </xf>
    <xf numFmtId="0" fontId="15" fillId="0" borderId="1" xfId="0" applyFont="1" applyBorder="1"/>
    <xf numFmtId="164" fontId="11" fillId="2" borderId="9" xfId="0" applyNumberFormat="1" applyFont="1" applyFill="1" applyBorder="1" applyAlignment="1">
      <alignment horizontal="center"/>
    </xf>
    <xf numFmtId="2" fontId="11" fillId="2" borderId="1" xfId="0" applyNumberFormat="1" applyFont="1" applyFill="1" applyBorder="1" applyAlignment="1">
      <alignment horizontal="right"/>
    </xf>
    <xf numFmtId="2" fontId="11" fillId="2" borderId="1" xfId="0" applyNumberFormat="1" applyFont="1" applyFill="1" applyBorder="1" applyAlignment="1">
      <alignment horizontal="right" vertical="center"/>
    </xf>
    <xf numFmtId="169" fontId="11" fillId="2" borderId="1" xfId="0" applyNumberFormat="1" applyFont="1" applyFill="1" applyBorder="1" applyAlignment="1">
      <alignment horizontal="right" vertical="center"/>
    </xf>
    <xf numFmtId="167" fontId="11" fillId="2" borderId="1" xfId="0" applyNumberFormat="1" applyFont="1" applyFill="1" applyBorder="1" applyAlignment="1">
      <alignment horizontal="right" vertical="center"/>
    </xf>
    <xf numFmtId="0" fontId="11" fillId="2" borderId="9" xfId="0" applyFont="1" applyFill="1" applyBorder="1" applyAlignment="1">
      <alignment horizontal="center"/>
    </xf>
    <xf numFmtId="0" fontId="16" fillId="0" borderId="0" xfId="0" applyFont="1"/>
    <xf numFmtId="164" fontId="17" fillId="2" borderId="1" xfId="0" applyNumberFormat="1" applyFont="1" applyFill="1" applyBorder="1" applyAlignment="1">
      <alignment horizontal="center"/>
    </xf>
    <xf numFmtId="2" fontId="17" fillId="2" borderId="1" xfId="0" applyNumberFormat="1" applyFont="1" applyFill="1" applyBorder="1" applyAlignment="1">
      <alignment horizontal="right"/>
    </xf>
    <xf numFmtId="166" fontId="17" fillId="2" borderId="1" xfId="0" applyNumberFormat="1" applyFont="1" applyFill="1" applyBorder="1" applyAlignment="1">
      <alignment horizontal="center"/>
    </xf>
    <xf numFmtId="167" fontId="17" fillId="2" borderId="1" xfId="0" applyNumberFormat="1" applyFont="1" applyFill="1" applyBorder="1" applyAlignment="1">
      <alignment horizontal="center"/>
    </xf>
    <xf numFmtId="167" fontId="17" fillId="2" borderId="1" xfId="0" applyNumberFormat="1" applyFont="1" applyFill="1" applyBorder="1" applyAlignment="1">
      <alignment horizontal="right"/>
    </xf>
    <xf numFmtId="0" fontId="18" fillId="2" borderId="9" xfId="0" applyFont="1" applyFill="1" applyBorder="1" applyAlignment="1">
      <alignment horizontal="center" vertical="center"/>
    </xf>
    <xf numFmtId="0" fontId="19" fillId="0" borderId="0" xfId="0" applyFont="1"/>
    <xf numFmtId="164" fontId="20" fillId="0" borderId="0" xfId="0" applyNumberFormat="1" applyFont="1"/>
    <xf numFmtId="0" fontId="20" fillId="0" borderId="0" xfId="0" applyFont="1" applyAlignment="1">
      <alignment horizontal="right" vertical="center"/>
    </xf>
    <xf numFmtId="0" fontId="20" fillId="0" borderId="0" xfId="0" applyFont="1"/>
    <xf numFmtId="0" fontId="22" fillId="3" borderId="1" xfId="0" applyFont="1" applyFill="1" applyBorder="1" applyAlignment="1">
      <alignment horizontal="center" vertical="center" shrinkToFit="1"/>
    </xf>
    <xf numFmtId="164" fontId="22" fillId="3" borderId="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/>
    </xf>
    <xf numFmtId="164" fontId="22" fillId="3" borderId="9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vertical="center"/>
    </xf>
    <xf numFmtId="164" fontId="11" fillId="2" borderId="9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169" fontId="14" fillId="2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9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166" fontId="14" fillId="2" borderId="15" xfId="0" applyNumberFormat="1" applyFont="1" applyFill="1" applyBorder="1" applyAlignment="1">
      <alignment horizontal="center" vertical="center"/>
    </xf>
    <xf numFmtId="164" fontId="11" fillId="2" borderId="15" xfId="0" applyNumberFormat="1" applyFont="1" applyFill="1" applyBorder="1" applyAlignment="1">
      <alignment horizontal="center" vertical="center"/>
    </xf>
    <xf numFmtId="164" fontId="27" fillId="2" borderId="15" xfId="0" applyNumberFormat="1" applyFont="1" applyFill="1" applyBorder="1" applyAlignment="1">
      <alignment horizontal="center" vertical="center"/>
    </xf>
    <xf numFmtId="166" fontId="22" fillId="2" borderId="15" xfId="0" applyNumberFormat="1" applyFont="1" applyFill="1" applyBorder="1" applyAlignment="1">
      <alignment horizontal="center" vertical="center"/>
    </xf>
    <xf numFmtId="166" fontId="27" fillId="2" borderId="15" xfId="0" applyNumberFormat="1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/>
    </xf>
    <xf numFmtId="0" fontId="14" fillId="2" borderId="15" xfId="0" applyFont="1" applyFill="1" applyBorder="1"/>
    <xf numFmtId="166" fontId="14" fillId="2" borderId="15" xfId="0" applyNumberFormat="1" applyFont="1" applyFill="1" applyBorder="1" applyAlignment="1">
      <alignment horizontal="center"/>
    </xf>
    <xf numFmtId="164" fontId="11" fillId="2" borderId="15" xfId="0" applyNumberFormat="1" applyFont="1" applyFill="1" applyBorder="1" applyAlignment="1">
      <alignment horizontal="center"/>
    </xf>
    <xf numFmtId="164" fontId="27" fillId="2" borderId="15" xfId="0" applyNumberFormat="1" applyFont="1" applyFill="1" applyBorder="1" applyAlignment="1">
      <alignment horizontal="center"/>
    </xf>
    <xf numFmtId="166" fontId="22" fillId="2" borderId="15" xfId="0" applyNumberFormat="1" applyFont="1" applyFill="1" applyBorder="1" applyAlignment="1">
      <alignment horizontal="center"/>
    </xf>
    <xf numFmtId="166" fontId="27" fillId="2" borderId="15" xfId="0" applyNumberFormat="1" applyFont="1" applyFill="1" applyBorder="1" applyAlignment="1">
      <alignment horizontal="center"/>
    </xf>
    <xf numFmtId="0" fontId="26" fillId="2" borderId="15" xfId="0" applyFont="1" applyFill="1" applyBorder="1"/>
    <xf numFmtId="0" fontId="28" fillId="0" borderId="0" xfId="0" applyFo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164" fontId="28" fillId="0" borderId="0" xfId="0" applyNumberFormat="1" applyFont="1" applyAlignment="1">
      <alignment horizontal="center"/>
    </xf>
    <xf numFmtId="164" fontId="29" fillId="2" borderId="15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9" fontId="22" fillId="3" borderId="7" xfId="0" applyNumberFormat="1" applyFont="1" applyFill="1" applyBorder="1" applyAlignment="1">
      <alignment horizontal="center" vertical="center"/>
    </xf>
    <xf numFmtId="9" fontId="22" fillId="3" borderId="9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9" fontId="15" fillId="0" borderId="1" xfId="0" applyNumberFormat="1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167" fontId="22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shrinkToFit="1"/>
    </xf>
    <xf numFmtId="164" fontId="17" fillId="3" borderId="7" xfId="0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/>
    </xf>
    <xf numFmtId="170" fontId="35" fillId="3" borderId="1" xfId="0" applyNumberFormat="1" applyFont="1" applyFill="1" applyBorder="1" applyAlignment="1">
      <alignment horizontal="center"/>
    </xf>
    <xf numFmtId="164" fontId="17" fillId="3" borderId="9" xfId="0" applyNumberFormat="1" applyFont="1" applyFill="1" applyBorder="1" applyAlignment="1">
      <alignment horizontal="center" vertical="center"/>
    </xf>
    <xf numFmtId="170" fontId="15" fillId="0" borderId="1" xfId="0" applyNumberFormat="1" applyFont="1" applyBorder="1"/>
    <xf numFmtId="164" fontId="15" fillId="0" borderId="1" xfId="0" applyNumberFormat="1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167" fontId="32" fillId="0" borderId="1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right"/>
    </xf>
    <xf numFmtId="0" fontId="22" fillId="0" borderId="1" xfId="0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70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70" fontId="20" fillId="0" borderId="0" xfId="0" applyNumberFormat="1" applyFont="1"/>
    <xf numFmtId="0" fontId="14" fillId="0" borderId="0" xfId="0" applyFont="1" applyAlignment="1">
      <alignment horizontal="left" vertical="center"/>
    </xf>
    <xf numFmtId="164" fontId="14" fillId="3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6" fontId="14" fillId="0" borderId="1" xfId="0" applyNumberFormat="1" applyFont="1" applyBorder="1" applyAlignment="1">
      <alignment horizontal="right" vertical="center"/>
    </xf>
    <xf numFmtId="16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4" fontId="35" fillId="0" borderId="0" xfId="0" applyNumberFormat="1" applyFont="1" applyAlignment="1">
      <alignment horizontal="left" vertical="center"/>
    </xf>
    <xf numFmtId="4" fontId="38" fillId="0" borderId="0" xfId="0" applyNumberFormat="1" applyFont="1" applyAlignment="1">
      <alignment horizontal="left" vertical="center"/>
    </xf>
    <xf numFmtId="4" fontId="39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4" fontId="17" fillId="3" borderId="7" xfId="0" applyNumberFormat="1" applyFont="1" applyFill="1" applyBorder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4" fontId="35" fillId="3" borderId="1" xfId="0" applyNumberFormat="1" applyFont="1" applyFill="1" applyBorder="1" applyAlignment="1">
      <alignment horizontal="center"/>
    </xf>
    <xf numFmtId="4" fontId="17" fillId="3" borderId="9" xfId="0" applyNumberFormat="1" applyFont="1" applyFill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/>
    </xf>
    <xf numFmtId="4" fontId="36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4" fontId="38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40" fillId="0" borderId="1" xfId="0" applyNumberFormat="1" applyFont="1" applyBorder="1" applyAlignment="1">
      <alignment horizontal="center" vertical="center"/>
    </xf>
    <xf numFmtId="4" fontId="14" fillId="0" borderId="2" xfId="0" applyNumberFormat="1" applyFont="1" applyBorder="1" applyAlignment="1">
      <alignment horizontal="center" vertical="center"/>
    </xf>
    <xf numFmtId="4" fontId="22" fillId="0" borderId="8" xfId="0" applyNumberFormat="1" applyFont="1" applyBorder="1" applyAlignment="1">
      <alignment horizontal="center" vertical="center"/>
    </xf>
    <xf numFmtId="4" fontId="33" fillId="0" borderId="1" xfId="0" applyNumberFormat="1" applyFont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4" fontId="42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4" fontId="20" fillId="0" borderId="0" xfId="0" applyNumberFormat="1" applyFont="1"/>
    <xf numFmtId="0" fontId="35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171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6" fontId="14" fillId="0" borderId="4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9" fontId="32" fillId="0" borderId="1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64" fontId="22" fillId="0" borderId="8" xfId="0" applyNumberFormat="1" applyFont="1" applyBorder="1"/>
    <xf numFmtId="9" fontId="22" fillId="0" borderId="1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9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164" fontId="26" fillId="0" borderId="0" xfId="0" applyNumberFormat="1" applyFont="1" applyAlignment="1">
      <alignment vertical="center"/>
    </xf>
    <xf numFmtId="165" fontId="26" fillId="0" borderId="0" xfId="0" applyNumberFormat="1" applyFont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 vertical="center"/>
    </xf>
    <xf numFmtId="9" fontId="22" fillId="2" borderId="9" xfId="0" applyNumberFormat="1" applyFont="1" applyFill="1" applyBorder="1" applyAlignment="1">
      <alignment horizontal="center" vertical="center"/>
    </xf>
    <xf numFmtId="167" fontId="14" fillId="0" borderId="1" xfId="0" applyNumberFormat="1" applyFont="1" applyBorder="1" applyAlignment="1">
      <alignment horizontal="right" vertical="center"/>
    </xf>
    <xf numFmtId="0" fontId="49" fillId="2" borderId="1" xfId="0" applyFont="1" applyFill="1" applyBorder="1" applyAlignment="1">
      <alignment horizontal="center" vertical="center"/>
    </xf>
    <xf numFmtId="164" fontId="22" fillId="0" borderId="1" xfId="0" applyNumberFormat="1" applyFont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167" fontId="22" fillId="0" borderId="1" xfId="0" applyNumberFormat="1" applyFont="1" applyBorder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0" fontId="50" fillId="0" borderId="0" xfId="0" applyFont="1" applyAlignment="1">
      <alignment vertical="center"/>
    </xf>
    <xf numFmtId="0" fontId="50" fillId="0" borderId="0" xfId="0" applyFont="1"/>
    <xf numFmtId="0" fontId="14" fillId="0" borderId="0" xfId="0" applyFont="1"/>
    <xf numFmtId="0" fontId="22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right"/>
    </xf>
    <xf numFmtId="164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164" fontId="32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center" vertical="center" wrapText="1"/>
    </xf>
    <xf numFmtId="3" fontId="22" fillId="0" borderId="8" xfId="0" applyNumberFormat="1" applyFont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8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20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0" fontId="61" fillId="2" borderId="1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166" fontId="14" fillId="0" borderId="20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171" fontId="64" fillId="0" borderId="1" xfId="0" applyNumberFormat="1" applyFont="1" applyBorder="1" applyAlignment="1">
      <alignment horizontal="center" vertical="center" wrapText="1"/>
    </xf>
    <xf numFmtId="164" fontId="64" fillId="0" borderId="1" xfId="0" applyNumberFormat="1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right" vertical="center"/>
    </xf>
    <xf numFmtId="173" fontId="35" fillId="3" borderId="1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right" vertical="center"/>
    </xf>
    <xf numFmtId="173" fontId="15" fillId="0" borderId="1" xfId="0" applyNumberFormat="1" applyFont="1" applyBorder="1" applyAlignment="1">
      <alignment horizontal="center" vertical="center" wrapText="1"/>
    </xf>
    <xf numFmtId="173" fontId="35" fillId="0" borderId="0" xfId="0" applyNumberFormat="1" applyFont="1" applyAlignment="1">
      <alignment horizontal="center" vertical="center"/>
    </xf>
    <xf numFmtId="173" fontId="38" fillId="0" borderId="0" xfId="0" applyNumberFormat="1" applyFont="1" applyAlignment="1">
      <alignment horizontal="center" vertical="center"/>
    </xf>
    <xf numFmtId="173" fontId="14" fillId="0" borderId="0" xfId="0" applyNumberFormat="1" applyFont="1" applyAlignment="1">
      <alignment horizontal="center" vertical="center"/>
    </xf>
    <xf numFmtId="173" fontId="20" fillId="0" borderId="0" xfId="0" applyNumberFormat="1" applyFont="1"/>
    <xf numFmtId="173" fontId="0" fillId="0" borderId="0" xfId="0" applyNumberFormat="1"/>
    <xf numFmtId="0" fontId="55" fillId="0" borderId="19" xfId="5" applyFont="1" applyAlignment="1">
      <alignment vertical="center"/>
    </xf>
    <xf numFmtId="0" fontId="55" fillId="0" borderId="19" xfId="5" applyFont="1" applyAlignment="1">
      <alignment horizontal="left" vertical="center"/>
    </xf>
    <xf numFmtId="165" fontId="55" fillId="0" borderId="19" xfId="5" applyNumberFormat="1" applyFont="1" applyAlignment="1">
      <alignment horizontal="left" vertical="center"/>
    </xf>
    <xf numFmtId="0" fontId="55" fillId="0" borderId="19" xfId="5" applyFont="1" applyAlignment="1">
      <alignment horizontal="center" vertical="center"/>
    </xf>
    <xf numFmtId="0" fontId="55" fillId="0" borderId="19" xfId="5" applyFont="1" applyAlignment="1">
      <alignment horizontal="right" vertical="center"/>
    </xf>
    <xf numFmtId="0" fontId="56" fillId="0" borderId="19" xfId="5" applyFont="1" applyAlignment="1">
      <alignment vertical="center"/>
    </xf>
    <xf numFmtId="0" fontId="60" fillId="0" borderId="19" xfId="5" applyAlignment="1">
      <alignment vertical="center"/>
    </xf>
    <xf numFmtId="0" fontId="67" fillId="0" borderId="21" xfId="5" applyFont="1" applyBorder="1" applyAlignment="1">
      <alignment horizontal="center" vertical="center"/>
    </xf>
    <xf numFmtId="0" fontId="67" fillId="0" borderId="1" xfId="5" applyFont="1" applyBorder="1" applyAlignment="1">
      <alignment horizontal="center" vertical="center"/>
    </xf>
    <xf numFmtId="0" fontId="67" fillId="0" borderId="1" xfId="5" applyFont="1" applyBorder="1" applyAlignment="1">
      <alignment horizontal="center" vertical="center" shrinkToFit="1"/>
    </xf>
    <xf numFmtId="0" fontId="68" fillId="0" borderId="1" xfId="5" applyFont="1" applyBorder="1" applyAlignment="1">
      <alignment horizontal="center" vertical="center"/>
    </xf>
    <xf numFmtId="164" fontId="67" fillId="0" borderId="1" xfId="5" applyNumberFormat="1" applyFont="1" applyBorder="1" applyAlignment="1">
      <alignment horizontal="center" vertical="center"/>
    </xf>
    <xf numFmtId="9" fontId="67" fillId="0" borderId="7" xfId="5" applyNumberFormat="1" applyFont="1" applyBorder="1" applyAlignment="1">
      <alignment horizontal="center" vertical="center"/>
    </xf>
    <xf numFmtId="0" fontId="61" fillId="0" borderId="7" xfId="5" applyFont="1" applyBorder="1" applyAlignment="1">
      <alignment horizontal="center" vertical="center"/>
    </xf>
    <xf numFmtId="0" fontId="61" fillId="0" borderId="7" xfId="5" applyFont="1" applyBorder="1" applyAlignment="1">
      <alignment horizontal="center" vertical="center" wrapText="1"/>
    </xf>
    <xf numFmtId="0" fontId="62" fillId="0" borderId="7" xfId="5" applyFont="1" applyBorder="1" applyAlignment="1">
      <alignment horizontal="center" vertical="center"/>
    </xf>
    <xf numFmtId="0" fontId="69" fillId="0" borderId="20" xfId="5" applyFont="1" applyBorder="1" applyAlignment="1">
      <alignment horizontal="center" vertical="center"/>
    </xf>
    <xf numFmtId="0" fontId="63" fillId="0" borderId="19" xfId="5" applyFont="1" applyAlignment="1">
      <alignment horizontal="center" vertical="center"/>
    </xf>
    <xf numFmtId="9" fontId="67" fillId="0" borderId="9" xfId="5" applyNumberFormat="1" applyFont="1" applyBorder="1" applyAlignment="1">
      <alignment horizontal="center" vertical="center"/>
    </xf>
    <xf numFmtId="0" fontId="67" fillId="0" borderId="9" xfId="5" applyFont="1" applyBorder="1" applyAlignment="1">
      <alignment horizontal="center" vertical="center"/>
    </xf>
    <xf numFmtId="0" fontId="72" fillId="0" borderId="9" xfId="5" applyFont="1" applyBorder="1" applyAlignment="1">
      <alignment horizontal="center" vertical="center"/>
    </xf>
    <xf numFmtId="0" fontId="73" fillId="0" borderId="21" xfId="5" applyFont="1" applyBorder="1" applyAlignment="1">
      <alignment horizontal="center" vertical="center"/>
    </xf>
    <xf numFmtId="0" fontId="74" fillId="0" borderId="20" xfId="5" applyFont="1" applyBorder="1" applyAlignment="1">
      <alignment horizontal="center" vertical="center"/>
    </xf>
    <xf numFmtId="0" fontId="74" fillId="0" borderId="1" xfId="5" applyFont="1" applyBorder="1" applyAlignment="1">
      <alignment vertical="center"/>
    </xf>
    <xf numFmtId="0" fontId="74" fillId="0" borderId="1" xfId="5" applyFont="1" applyBorder="1" applyAlignment="1">
      <alignment horizontal="right" vertical="center"/>
    </xf>
    <xf numFmtId="172" fontId="74" fillId="0" borderId="1" xfId="5" applyNumberFormat="1" applyFont="1" applyBorder="1" applyAlignment="1">
      <alignment horizontal="right" vertical="center"/>
    </xf>
    <xf numFmtId="165" fontId="74" fillId="0" borderId="1" xfId="5" applyNumberFormat="1" applyFont="1" applyBorder="1" applyAlignment="1">
      <alignment horizontal="right" vertical="center"/>
    </xf>
    <xf numFmtId="164" fontId="74" fillId="0" borderId="1" xfId="5" applyNumberFormat="1" applyFont="1" applyBorder="1" applyAlignment="1">
      <alignment horizontal="right" vertical="center"/>
    </xf>
    <xf numFmtId="169" fontId="75" fillId="0" borderId="1" xfId="5" applyNumberFormat="1" applyFont="1" applyBorder="1" applyAlignment="1">
      <alignment horizontal="right" vertical="center"/>
    </xf>
    <xf numFmtId="174" fontId="75" fillId="0" borderId="9" xfId="5" applyNumberFormat="1" applyFont="1" applyBorder="1" applyAlignment="1">
      <alignment horizontal="right" vertical="center"/>
    </xf>
    <xf numFmtId="167" fontId="74" fillId="0" borderId="9" xfId="5" applyNumberFormat="1" applyFont="1" applyBorder="1" applyAlignment="1">
      <alignment horizontal="right" vertical="center"/>
    </xf>
    <xf numFmtId="167" fontId="74" fillId="0" borderId="1" xfId="5" applyNumberFormat="1" applyFont="1" applyBorder="1" applyAlignment="1">
      <alignment horizontal="right" vertical="center"/>
    </xf>
    <xf numFmtId="0" fontId="76" fillId="0" borderId="20" xfId="5" applyFont="1" applyBorder="1" applyAlignment="1">
      <alignment horizontal="center" vertical="center"/>
    </xf>
    <xf numFmtId="175" fontId="63" fillId="0" borderId="19" xfId="5" applyNumberFormat="1" applyFont="1" applyAlignment="1">
      <alignment horizontal="center" vertical="center"/>
    </xf>
    <xf numFmtId="169" fontId="74" fillId="0" borderId="9" xfId="5" applyNumberFormat="1" applyFont="1" applyBorder="1" applyAlignment="1">
      <alignment horizontal="right" vertical="center"/>
    </xf>
    <xf numFmtId="0" fontId="74" fillId="0" borderId="25" xfId="5" applyFont="1" applyBorder="1" applyAlignment="1">
      <alignment horizontal="center" vertical="center"/>
    </xf>
    <xf numFmtId="169" fontId="77" fillId="0" borderId="1" xfId="5" applyNumberFormat="1" applyFont="1" applyBorder="1" applyAlignment="1">
      <alignment horizontal="right" vertical="center"/>
    </xf>
    <xf numFmtId="174" fontId="78" fillId="0" borderId="9" xfId="5" applyNumberFormat="1" applyFont="1" applyBorder="1" applyAlignment="1">
      <alignment horizontal="right" vertical="center"/>
    </xf>
    <xf numFmtId="2" fontId="74" fillId="0" borderId="1" xfId="5" applyNumberFormat="1" applyFont="1" applyBorder="1" applyAlignment="1">
      <alignment horizontal="right" vertical="center"/>
    </xf>
    <xf numFmtId="0" fontId="79" fillId="0" borderId="20" xfId="5" applyFont="1" applyBorder="1" applyAlignment="1">
      <alignment horizontal="center" vertical="center"/>
    </xf>
    <xf numFmtId="0" fontId="80" fillId="0" borderId="1" xfId="5" applyFont="1" applyBorder="1" applyAlignment="1">
      <alignment vertical="center"/>
    </xf>
    <xf numFmtId="0" fontId="79" fillId="0" borderId="1" xfId="5" applyFont="1" applyBorder="1" applyAlignment="1">
      <alignment horizontal="right" vertical="center"/>
    </xf>
    <xf numFmtId="164" fontId="79" fillId="0" borderId="1" xfId="5" applyNumberFormat="1" applyFont="1" applyBorder="1" applyAlignment="1">
      <alignment horizontal="right" vertical="center"/>
    </xf>
    <xf numFmtId="169" fontId="78" fillId="0" borderId="1" xfId="5" applyNumberFormat="1" applyFont="1" applyBorder="1" applyAlignment="1">
      <alignment horizontal="right" vertical="center"/>
    </xf>
    <xf numFmtId="167" fontId="79" fillId="0" borderId="9" xfId="5" applyNumberFormat="1" applyFont="1" applyBorder="1" applyAlignment="1">
      <alignment horizontal="right" vertical="center"/>
    </xf>
    <xf numFmtId="167" fontId="81" fillId="0" borderId="9" xfId="5" applyNumberFormat="1" applyFont="1" applyBorder="1" applyAlignment="1">
      <alignment horizontal="right" vertical="center"/>
    </xf>
    <xf numFmtId="0" fontId="80" fillId="0" borderId="21" xfId="5" applyFont="1" applyBorder="1" applyAlignment="1">
      <alignment horizontal="center" vertical="center"/>
    </xf>
    <xf numFmtId="0" fontId="79" fillId="0" borderId="21" xfId="5" applyFont="1" applyBorder="1" applyAlignment="1">
      <alignment horizontal="center" vertical="center"/>
    </xf>
    <xf numFmtId="0" fontId="74" fillId="0" borderId="7" xfId="5" applyFont="1" applyBorder="1" applyAlignment="1">
      <alignment horizontal="right" vertical="center"/>
    </xf>
    <xf numFmtId="0" fontId="79" fillId="0" borderId="27" xfId="5" applyFont="1" applyBorder="1" applyAlignment="1">
      <alignment horizontal="center" vertical="center"/>
    </xf>
    <xf numFmtId="0" fontId="74" fillId="0" borderId="20" xfId="5" applyFont="1" applyBorder="1" applyAlignment="1">
      <alignment horizontal="right" vertical="center"/>
    </xf>
    <xf numFmtId="0" fontId="74" fillId="0" borderId="28" xfId="5" applyFont="1" applyBorder="1" applyAlignment="1">
      <alignment horizontal="right" vertical="center"/>
    </xf>
    <xf numFmtId="165" fontId="74" fillId="0" borderId="21" xfId="5" applyNumberFormat="1" applyFont="1" applyBorder="1" applyAlignment="1">
      <alignment horizontal="right" vertical="center"/>
    </xf>
    <xf numFmtId="169" fontId="81" fillId="0" borderId="9" xfId="5" applyNumberFormat="1" applyFont="1" applyBorder="1" applyAlignment="1">
      <alignment horizontal="right" vertical="center"/>
    </xf>
    <xf numFmtId="169" fontId="82" fillId="0" borderId="1" xfId="5" applyNumberFormat="1" applyFont="1" applyBorder="1" applyAlignment="1">
      <alignment horizontal="right" vertical="center"/>
    </xf>
    <xf numFmtId="169" fontId="77" fillId="0" borderId="9" xfId="5" applyNumberFormat="1" applyFont="1" applyBorder="1" applyAlignment="1">
      <alignment horizontal="right" vertical="center"/>
    </xf>
    <xf numFmtId="165" fontId="84" fillId="0" borderId="23" xfId="5" applyNumberFormat="1" applyFont="1" applyBorder="1" applyAlignment="1">
      <alignment vertical="center"/>
    </xf>
    <xf numFmtId="164" fontId="83" fillId="0" borderId="1" xfId="5" applyNumberFormat="1" applyFont="1" applyBorder="1" applyAlignment="1">
      <alignment horizontal="right" vertical="center"/>
    </xf>
    <xf numFmtId="0" fontId="83" fillId="0" borderId="1" xfId="5" applyFont="1" applyBorder="1" applyAlignment="1">
      <alignment horizontal="center" vertical="center"/>
    </xf>
    <xf numFmtId="0" fontId="83" fillId="0" borderId="9" xfId="5" applyFont="1" applyBorder="1" applyAlignment="1">
      <alignment horizontal="center" vertical="center"/>
    </xf>
    <xf numFmtId="166" fontId="83" fillId="0" borderId="1" xfId="5" applyNumberFormat="1" applyFont="1" applyBorder="1" applyAlignment="1">
      <alignment horizontal="right" vertical="center"/>
    </xf>
    <xf numFmtId="166" fontId="83" fillId="0" borderId="9" xfId="5" applyNumberFormat="1" applyFont="1" applyBorder="1" applyAlignment="1">
      <alignment horizontal="right" vertical="center"/>
    </xf>
    <xf numFmtId="167" fontId="83" fillId="0" borderId="9" xfId="5" applyNumberFormat="1" applyFont="1" applyBorder="1" applyAlignment="1">
      <alignment horizontal="right" vertical="center"/>
    </xf>
    <xf numFmtId="167" fontId="67" fillId="0" borderId="1" xfId="5" applyNumberFormat="1" applyFont="1" applyBorder="1" applyAlignment="1">
      <alignment horizontal="right" vertical="center"/>
    </xf>
    <xf numFmtId="169" fontId="56" fillId="0" borderId="19" xfId="5" applyNumberFormat="1" applyFont="1" applyAlignment="1">
      <alignment vertical="center"/>
    </xf>
    <xf numFmtId="0" fontId="56" fillId="0" borderId="19" xfId="5" applyFont="1" applyAlignment="1">
      <alignment horizontal="center" vertical="center"/>
    </xf>
    <xf numFmtId="0" fontId="56" fillId="0" borderId="19" xfId="5" applyFont="1" applyAlignment="1">
      <alignment horizontal="left" vertical="center"/>
    </xf>
    <xf numFmtId="165" fontId="56" fillId="0" borderId="19" xfId="5" applyNumberFormat="1" applyFont="1" applyAlignment="1">
      <alignment horizontal="left" vertical="center"/>
    </xf>
    <xf numFmtId="0" fontId="56" fillId="0" borderId="19" xfId="5" applyFont="1" applyAlignment="1">
      <alignment horizontal="right" vertical="center"/>
    </xf>
    <xf numFmtId="0" fontId="57" fillId="0" borderId="19" xfId="5" applyFont="1" applyAlignment="1">
      <alignment horizontal="center" vertical="center"/>
    </xf>
    <xf numFmtId="167" fontId="85" fillId="0" borderId="19" xfId="5" applyNumberFormat="1" applyFont="1" applyAlignment="1">
      <alignment vertical="center"/>
    </xf>
    <xf numFmtId="166" fontId="57" fillId="0" borderId="19" xfId="5" applyNumberFormat="1" applyFont="1" applyAlignment="1">
      <alignment horizontal="center" vertical="center"/>
    </xf>
    <xf numFmtId="165" fontId="60" fillId="0" borderId="19" xfId="5" applyNumberFormat="1" applyAlignment="1">
      <alignment vertical="center"/>
    </xf>
    <xf numFmtId="164" fontId="55" fillId="0" borderId="1" xfId="0" applyNumberFormat="1" applyFont="1" applyBorder="1" applyAlignment="1">
      <alignment vertical="center"/>
    </xf>
    <xf numFmtId="167" fontId="55" fillId="0" borderId="1" xfId="0" applyNumberFormat="1" applyFont="1" applyBorder="1" applyAlignment="1">
      <alignment horizontal="center" vertical="center"/>
    </xf>
    <xf numFmtId="169" fontId="55" fillId="0" borderId="1" xfId="0" applyNumberFormat="1" applyFont="1" applyBorder="1" applyAlignment="1">
      <alignment horizontal="center" vertical="center"/>
    </xf>
    <xf numFmtId="0" fontId="10" fillId="0" borderId="9" xfId="0" applyFont="1" applyBorder="1"/>
    <xf numFmtId="0" fontId="14" fillId="6" borderId="1" xfId="0" applyFont="1" applyFill="1" applyBorder="1" applyAlignment="1">
      <alignment horizontal="center"/>
    </xf>
    <xf numFmtId="164" fontId="14" fillId="6" borderId="1" xfId="0" applyNumberFormat="1" applyFont="1" applyFill="1" applyBorder="1" applyAlignment="1">
      <alignment horizontal="center"/>
    </xf>
    <xf numFmtId="0" fontId="10" fillId="5" borderId="9" xfId="0" applyFont="1" applyFill="1" applyBorder="1"/>
    <xf numFmtId="9" fontId="22" fillId="6" borderId="9" xfId="0" applyNumberFormat="1" applyFont="1" applyFill="1" applyBorder="1" applyAlignment="1">
      <alignment horizontal="center" vertical="center"/>
    </xf>
    <xf numFmtId="0" fontId="58" fillId="0" borderId="1" xfId="0" applyFont="1" applyBorder="1" applyAlignment="1">
      <alignment horizontal="right" vertical="center"/>
    </xf>
    <xf numFmtId="164" fontId="58" fillId="0" borderId="1" xfId="0" applyNumberFormat="1" applyFont="1" applyBorder="1" applyAlignment="1">
      <alignment vertical="center"/>
    </xf>
    <xf numFmtId="9" fontId="58" fillId="0" borderId="1" xfId="0" applyNumberFormat="1" applyFont="1" applyBorder="1" applyAlignment="1">
      <alignment horizontal="center" vertical="center"/>
    </xf>
    <xf numFmtId="167" fontId="58" fillId="0" borderId="1" xfId="0" applyNumberFormat="1" applyFont="1" applyBorder="1" applyAlignment="1">
      <alignment horizontal="center" vertical="center"/>
    </xf>
    <xf numFmtId="169" fontId="58" fillId="0" borderId="1" xfId="0" applyNumberFormat="1" applyFont="1" applyBorder="1" applyAlignment="1">
      <alignment horizontal="center" vertical="center"/>
    </xf>
    <xf numFmtId="4" fontId="14" fillId="0" borderId="12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 wrapText="1"/>
    </xf>
    <xf numFmtId="173" fontId="15" fillId="0" borderId="7" xfId="0" applyNumberFormat="1" applyFont="1" applyBorder="1" applyAlignment="1">
      <alignment horizontal="center" vertical="center" wrapText="1"/>
    </xf>
    <xf numFmtId="3" fontId="15" fillId="0" borderId="7" xfId="0" applyNumberFormat="1" applyFont="1" applyBorder="1" applyAlignment="1">
      <alignment horizontal="center" vertical="center" wrapText="1"/>
    </xf>
    <xf numFmtId="4" fontId="14" fillId="0" borderId="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4" fontId="15" fillId="0" borderId="28" xfId="0" applyNumberFormat="1" applyFont="1" applyBorder="1" applyAlignment="1">
      <alignment horizontal="center" vertical="center" wrapText="1"/>
    </xf>
    <xf numFmtId="173" fontId="15" fillId="0" borderId="28" xfId="0" applyNumberFormat="1" applyFont="1" applyBorder="1" applyAlignment="1">
      <alignment horizontal="center" vertical="center" wrapText="1"/>
    </xf>
    <xf numFmtId="3" fontId="15" fillId="0" borderId="28" xfId="0" applyNumberFormat="1" applyFont="1" applyBorder="1" applyAlignment="1">
      <alignment horizontal="center" vertical="center" wrapText="1"/>
    </xf>
    <xf numFmtId="4" fontId="14" fillId="0" borderId="28" xfId="0" applyNumberFormat="1" applyFont="1" applyBorder="1" applyAlignment="1">
      <alignment horizontal="center" vertical="center"/>
    </xf>
    <xf numFmtId="0" fontId="86" fillId="0" borderId="1" xfId="0" applyFont="1" applyBorder="1" applyAlignment="1">
      <alignment horizontal="right" vertical="center"/>
    </xf>
    <xf numFmtId="164" fontId="86" fillId="0" borderId="1" xfId="0" applyNumberFormat="1" applyFont="1" applyBorder="1" applyAlignment="1">
      <alignment vertical="center"/>
    </xf>
    <xf numFmtId="9" fontId="86" fillId="0" borderId="1" xfId="0" applyNumberFormat="1" applyFont="1" applyBorder="1" applyAlignment="1">
      <alignment horizontal="center" vertical="center"/>
    </xf>
    <xf numFmtId="167" fontId="86" fillId="0" borderId="1" xfId="0" applyNumberFormat="1" applyFont="1" applyBorder="1" applyAlignment="1">
      <alignment horizontal="center" vertical="center"/>
    </xf>
    <xf numFmtId="169" fontId="86" fillId="0" borderId="1" xfId="0" applyNumberFormat="1" applyFont="1" applyBorder="1" applyAlignment="1">
      <alignment horizontal="center" vertical="center"/>
    </xf>
    <xf numFmtId="0" fontId="1" fillId="8" borderId="28" xfId="17" applyFill="1" applyBorder="1" applyAlignment="1">
      <alignment horizontal="center" vertical="center"/>
    </xf>
    <xf numFmtId="0" fontId="1" fillId="0" borderId="19" xfId="17"/>
    <xf numFmtId="49" fontId="1" fillId="0" borderId="30" xfId="17" applyNumberFormat="1" applyBorder="1" applyAlignment="1">
      <alignment horizontal="left"/>
    </xf>
    <xf numFmtId="0" fontId="1" fillId="0" borderId="28" xfId="17" applyBorder="1"/>
    <xf numFmtId="0" fontId="1" fillId="0" borderId="30" xfId="17" applyBorder="1"/>
    <xf numFmtId="14" fontId="1" fillId="0" borderId="30" xfId="17" applyNumberFormat="1" applyBorder="1" applyAlignment="1">
      <alignment horizontal="right"/>
    </xf>
    <xf numFmtId="0" fontId="1" fillId="9" borderId="28" xfId="17" applyFill="1" applyBorder="1"/>
    <xf numFmtId="2" fontId="1" fillId="0" borderId="28" xfId="17" applyNumberFormat="1" applyBorder="1"/>
    <xf numFmtId="43" fontId="0" fillId="0" borderId="28" xfId="18" applyFont="1" applyBorder="1"/>
    <xf numFmtId="0" fontId="1" fillId="0" borderId="30" xfId="17" applyBorder="1" applyAlignment="1">
      <alignment horizontal="left" vertical="center"/>
    </xf>
    <xf numFmtId="0" fontId="1" fillId="0" borderId="30" xfId="17" applyBorder="1" applyAlignment="1">
      <alignment horizontal="left"/>
    </xf>
    <xf numFmtId="14" fontId="1" fillId="0" borderId="30" xfId="17" applyNumberFormat="1" applyBorder="1"/>
    <xf numFmtId="0" fontId="1" fillId="0" borderId="28" xfId="17" applyBorder="1" applyAlignment="1">
      <alignment horizontal="left" vertical="center"/>
    </xf>
    <xf numFmtId="0" fontId="1" fillId="0" borderId="28" xfId="17" applyBorder="1" applyAlignment="1">
      <alignment horizontal="left"/>
    </xf>
    <xf numFmtId="49" fontId="1" fillId="0" borderId="28" xfId="17" applyNumberFormat="1" applyBorder="1" applyAlignment="1">
      <alignment horizontal="left"/>
    </xf>
    <xf numFmtId="14" fontId="1" fillId="0" borderId="28" xfId="17" applyNumberFormat="1" applyBorder="1"/>
    <xf numFmtId="14" fontId="1" fillId="0" borderId="28" xfId="17" applyNumberFormat="1" applyBorder="1" applyAlignment="1">
      <alignment horizontal="right"/>
    </xf>
    <xf numFmtId="49" fontId="1" fillId="5" borderId="28" xfId="17" applyNumberFormat="1" applyFill="1" applyBorder="1" applyAlignment="1">
      <alignment horizontal="left"/>
    </xf>
    <xf numFmtId="14" fontId="1" fillId="0" borderId="28" xfId="17" applyNumberFormat="1" applyBorder="1" applyAlignment="1">
      <alignment horizontal="right" vertical="center"/>
    </xf>
    <xf numFmtId="0" fontId="1" fillId="9" borderId="31" xfId="17" applyFill="1" applyBorder="1"/>
    <xf numFmtId="1" fontId="1" fillId="0" borderId="28" xfId="17" applyNumberFormat="1" applyBorder="1"/>
    <xf numFmtId="49" fontId="1" fillId="0" borderId="28" xfId="17" applyNumberFormat="1" applyBorder="1"/>
    <xf numFmtId="0" fontId="89" fillId="0" borderId="28" xfId="17" applyFont="1" applyBorder="1" applyAlignment="1">
      <alignment horizontal="right" vertical="center"/>
    </xf>
    <xf numFmtId="0" fontId="90" fillId="0" borderId="28" xfId="17" applyFont="1" applyBorder="1" applyAlignment="1">
      <alignment horizontal="right" vertical="center"/>
    </xf>
    <xf numFmtId="0" fontId="90" fillId="0" borderId="28" xfId="17" applyFont="1" applyBorder="1" applyAlignment="1">
      <alignment horizontal="left" vertical="center"/>
    </xf>
    <xf numFmtId="0" fontId="1" fillId="5" borderId="28" xfId="17" applyFill="1" applyBorder="1"/>
    <xf numFmtId="49" fontId="1" fillId="0" borderId="19" xfId="17" applyNumberFormat="1"/>
    <xf numFmtId="0" fontId="1" fillId="0" borderId="19" xfId="17" applyAlignment="1">
      <alignment horizontal="left"/>
    </xf>
    <xf numFmtId="43" fontId="0" fillId="0" borderId="19" xfId="18" applyFont="1"/>
    <xf numFmtId="0" fontId="1" fillId="7" borderId="28" xfId="17" applyFill="1" applyBorder="1" applyAlignment="1">
      <alignment horizontal="center" vertical="center"/>
    </xf>
    <xf numFmtId="43" fontId="0" fillId="0" borderId="28" xfId="18" applyFont="1" applyFill="1" applyBorder="1"/>
    <xf numFmtId="0" fontId="91" fillId="0" borderId="28" xfId="17" applyFont="1" applyBorder="1" applyAlignment="1">
      <alignment horizontal="center" vertical="center"/>
    </xf>
    <xf numFmtId="14" fontId="1" fillId="0" borderId="30" xfId="17" applyNumberFormat="1" applyBorder="1" applyAlignment="1">
      <alignment horizontal="center" vertical="center"/>
    </xf>
    <xf numFmtId="0" fontId="1" fillId="5" borderId="19" xfId="17" applyFill="1"/>
    <xf numFmtId="14" fontId="1" fillId="0" borderId="28" xfId="17" applyNumberFormat="1" applyBorder="1" applyAlignment="1">
      <alignment horizontal="center" vertical="center"/>
    </xf>
    <xf numFmtId="0" fontId="91" fillId="0" borderId="30" xfId="17" applyFont="1" applyBorder="1" applyAlignment="1">
      <alignment horizontal="center" vertical="center"/>
    </xf>
    <xf numFmtId="0" fontId="91" fillId="5" borderId="28" xfId="17" applyFont="1" applyFill="1" applyBorder="1" applyAlignment="1">
      <alignment horizontal="center" vertical="center"/>
    </xf>
    <xf numFmtId="0" fontId="91" fillId="10" borderId="28" xfId="17" applyFont="1" applyFill="1" applyBorder="1" applyAlignment="1">
      <alignment horizontal="center" vertical="center"/>
    </xf>
    <xf numFmtId="0" fontId="1" fillId="10" borderId="28" xfId="17" applyFill="1" applyBorder="1"/>
    <xf numFmtId="14" fontId="1" fillId="10" borderId="28" xfId="17" applyNumberFormat="1" applyFill="1" applyBorder="1" applyAlignment="1">
      <alignment horizontal="center"/>
    </xf>
    <xf numFmtId="2" fontId="1" fillId="10" borderId="28" xfId="17" applyNumberFormat="1" applyFill="1" applyBorder="1"/>
    <xf numFmtId="0" fontId="91" fillId="0" borderId="29" xfId="17" applyFont="1" applyBorder="1" applyAlignment="1">
      <alignment horizontal="center" vertical="center"/>
    </xf>
    <xf numFmtId="0" fontId="1" fillId="0" borderId="29" xfId="17" applyBorder="1"/>
    <xf numFmtId="14" fontId="1" fillId="0" borderId="29" xfId="17" applyNumberFormat="1" applyBorder="1" applyAlignment="1">
      <alignment horizontal="center" vertical="center"/>
    </xf>
    <xf numFmtId="0" fontId="1" fillId="9" borderId="29" xfId="17" applyFill="1" applyBorder="1"/>
    <xf numFmtId="2" fontId="1" fillId="0" borderId="32" xfId="17" applyNumberFormat="1" applyBorder="1"/>
    <xf numFmtId="43" fontId="0" fillId="0" borderId="19" xfId="18" applyFont="1" applyBorder="1"/>
    <xf numFmtId="2" fontId="1" fillId="0" borderId="19" xfId="17" applyNumberFormat="1"/>
    <xf numFmtId="0" fontId="91" fillId="0" borderId="19" xfId="17" applyFont="1" applyAlignment="1">
      <alignment horizontal="center" vertical="center"/>
    </xf>
    <xf numFmtId="14" fontId="1" fillId="0" borderId="19" xfId="17" applyNumberFormat="1" applyAlignment="1">
      <alignment horizontal="center" vertical="center"/>
    </xf>
    <xf numFmtId="0" fontId="91" fillId="5" borderId="19" xfId="17" applyFont="1" applyFill="1" applyAlignment="1">
      <alignment horizontal="center" vertical="center"/>
    </xf>
    <xf numFmtId="165" fontId="61" fillId="11" borderId="35" xfId="0" applyNumberFormat="1" applyFont="1" applyFill="1" applyBorder="1" applyAlignment="1">
      <alignment horizontal="center"/>
    </xf>
    <xf numFmtId="0" fontId="61" fillId="11" borderId="42" xfId="0" applyFont="1" applyFill="1" applyBorder="1" applyAlignment="1">
      <alignment horizontal="center"/>
    </xf>
    <xf numFmtId="0" fontId="61" fillId="11" borderId="26" xfId="0" applyFont="1" applyFill="1" applyBorder="1" applyAlignment="1">
      <alignment horizontal="center"/>
    </xf>
    <xf numFmtId="0" fontId="61" fillId="11" borderId="43" xfId="0" applyFont="1" applyFill="1" applyBorder="1" applyAlignment="1">
      <alignment horizontal="center"/>
    </xf>
    <xf numFmtId="165" fontId="63" fillId="11" borderId="19" xfId="0" applyNumberFormat="1" applyFont="1" applyFill="1" applyBorder="1"/>
    <xf numFmtId="0" fontId="93" fillId="12" borderId="46" xfId="0" applyFont="1" applyFill="1" applyBorder="1"/>
    <xf numFmtId="0" fontId="93" fillId="12" borderId="47" xfId="0" applyFont="1" applyFill="1" applyBorder="1"/>
    <xf numFmtId="0" fontId="93" fillId="12" borderId="48" xfId="0" applyFont="1" applyFill="1" applyBorder="1" applyAlignment="1">
      <alignment horizontal="center"/>
    </xf>
    <xf numFmtId="0" fontId="93" fillId="12" borderId="49" xfId="0" applyFont="1" applyFill="1" applyBorder="1" applyAlignment="1">
      <alignment horizontal="center"/>
    </xf>
    <xf numFmtId="0" fontId="93" fillId="12" borderId="50" xfId="0" applyFont="1" applyFill="1" applyBorder="1" applyAlignment="1">
      <alignment horizontal="center"/>
    </xf>
    <xf numFmtId="164" fontId="94" fillId="12" borderId="47" xfId="0" applyNumberFormat="1" applyFont="1" applyFill="1" applyBorder="1"/>
    <xf numFmtId="2" fontId="94" fillId="13" borderId="51" xfId="0" applyNumberFormat="1" applyFont="1" applyFill="1" applyBorder="1"/>
    <xf numFmtId="166" fontId="93" fillId="13" borderId="47" xfId="0" applyNumberFormat="1" applyFont="1" applyFill="1" applyBorder="1" applyAlignment="1">
      <alignment horizontal="center"/>
    </xf>
    <xf numFmtId="167" fontId="95" fillId="13" borderId="51" xfId="0" applyNumberFormat="1" applyFont="1" applyFill="1" applyBorder="1"/>
    <xf numFmtId="167" fontId="94" fillId="13" borderId="47" xfId="0" applyNumberFormat="1" applyFont="1" applyFill="1" applyBorder="1"/>
    <xf numFmtId="167" fontId="94" fillId="13" borderId="51" xfId="0" applyNumberFormat="1" applyFont="1" applyFill="1" applyBorder="1"/>
    <xf numFmtId="166" fontId="96" fillId="13" borderId="52" xfId="0" applyNumberFormat="1" applyFont="1" applyFill="1" applyBorder="1" applyAlignment="1">
      <alignment horizontal="center"/>
    </xf>
    <xf numFmtId="0" fontId="98" fillId="15" borderId="55" xfId="0" applyFont="1" applyFill="1" applyBorder="1" applyAlignment="1">
      <alignment horizontal="center" vertical="center" wrapText="1"/>
    </xf>
    <xf numFmtId="0" fontId="99" fillId="16" borderId="55" xfId="0" applyFont="1" applyFill="1" applyBorder="1" applyAlignment="1">
      <alignment horizontal="left" vertical="center" wrapText="1"/>
    </xf>
    <xf numFmtId="0" fontId="99" fillId="16" borderId="55" xfId="0" applyFont="1" applyFill="1" applyBorder="1" applyAlignment="1">
      <alignment horizontal="center" vertical="center" wrapText="1"/>
    </xf>
    <xf numFmtId="0" fontId="99" fillId="16" borderId="55" xfId="0" applyFont="1" applyFill="1" applyBorder="1" applyAlignment="1">
      <alignment horizontal="right" vertical="center"/>
    </xf>
    <xf numFmtId="0" fontId="99" fillId="0" borderId="55" xfId="0" applyFont="1" applyBorder="1" applyAlignment="1">
      <alignment horizontal="left" vertical="center" wrapText="1"/>
    </xf>
    <xf numFmtId="0" fontId="99" fillId="0" borderId="55" xfId="0" applyFont="1" applyBorder="1" applyAlignment="1">
      <alignment horizontal="center" vertical="center" wrapText="1"/>
    </xf>
    <xf numFmtId="0" fontId="99" fillId="0" borderId="55" xfId="0" applyFont="1" applyBorder="1" applyAlignment="1">
      <alignment horizontal="right" vertical="center"/>
    </xf>
    <xf numFmtId="43" fontId="98" fillId="15" borderId="55" xfId="19" applyFont="1" applyFill="1" applyBorder="1" applyAlignment="1">
      <alignment horizontal="center" vertical="center" wrapText="1"/>
    </xf>
    <xf numFmtId="43" fontId="0" fillId="0" borderId="0" xfId="19" applyFont="1"/>
    <xf numFmtId="0" fontId="100" fillId="17" borderId="55" xfId="0" applyFont="1" applyFill="1" applyBorder="1" applyAlignment="1">
      <alignment horizontal="left" vertical="center" wrapText="1"/>
    </xf>
    <xf numFmtId="0" fontId="100" fillId="17" borderId="55" xfId="0" applyFont="1" applyFill="1" applyBorder="1" applyAlignment="1">
      <alignment horizontal="center" vertical="center" wrapText="1"/>
    </xf>
    <xf numFmtId="0" fontId="100" fillId="17" borderId="55" xfId="0" applyFont="1" applyFill="1" applyBorder="1" applyAlignment="1">
      <alignment horizontal="right" vertical="center"/>
    </xf>
    <xf numFmtId="0" fontId="101" fillId="18" borderId="55" xfId="0" applyFont="1" applyFill="1" applyBorder="1" applyAlignment="1">
      <alignment horizontal="left" vertical="center" wrapText="1"/>
    </xf>
    <xf numFmtId="0" fontId="101" fillId="18" borderId="55" xfId="0" applyFont="1" applyFill="1" applyBorder="1" applyAlignment="1">
      <alignment horizontal="center" vertical="center" wrapText="1"/>
    </xf>
    <xf numFmtId="0" fontId="101" fillId="18" borderId="55" xfId="0" applyFont="1" applyFill="1" applyBorder="1" applyAlignment="1">
      <alignment horizontal="right" vertical="center"/>
    </xf>
    <xf numFmtId="0" fontId="102" fillId="14" borderId="1" xfId="0" applyFont="1" applyFill="1" applyBorder="1" applyAlignment="1">
      <alignment horizontal="center"/>
    </xf>
    <xf numFmtId="0" fontId="102" fillId="14" borderId="21" xfId="0" applyFont="1" applyFill="1" applyBorder="1" applyAlignment="1">
      <alignment horizontal="center"/>
    </xf>
    <xf numFmtId="43" fontId="102" fillId="14" borderId="21" xfId="19" applyFont="1" applyFill="1" applyBorder="1" applyAlignment="1">
      <alignment horizontal="right"/>
    </xf>
    <xf numFmtId="0" fontId="102" fillId="19" borderId="9" xfId="0" applyFont="1" applyFill="1" applyBorder="1" applyAlignment="1">
      <alignment horizontal="left"/>
    </xf>
    <xf numFmtId="0" fontId="102" fillId="19" borderId="23" xfId="0" applyFont="1" applyFill="1" applyBorder="1" applyAlignment="1">
      <alignment horizontal="left"/>
    </xf>
    <xf numFmtId="43" fontId="102" fillId="19" borderId="23" xfId="19" applyFont="1" applyFill="1" applyBorder="1" applyAlignment="1">
      <alignment horizontal="right"/>
    </xf>
    <xf numFmtId="0" fontId="102" fillId="20" borderId="9" xfId="0" applyFont="1" applyFill="1" applyBorder="1" applyAlignment="1">
      <alignment horizontal="left"/>
    </xf>
    <xf numFmtId="0" fontId="102" fillId="21" borderId="23" xfId="0" applyFont="1" applyFill="1" applyBorder="1" applyAlignment="1">
      <alignment horizontal="left"/>
    </xf>
    <xf numFmtId="43" fontId="102" fillId="21" borderId="23" xfId="19" applyFont="1" applyFill="1" applyBorder="1" applyAlignment="1">
      <alignment horizontal="right"/>
    </xf>
    <xf numFmtId="0" fontId="102" fillId="22" borderId="9" xfId="0" applyFont="1" applyFill="1" applyBorder="1" applyAlignment="1">
      <alignment horizontal="left"/>
    </xf>
    <xf numFmtId="0" fontId="102" fillId="22" borderId="23" xfId="0" applyFont="1" applyFill="1" applyBorder="1" applyAlignment="1">
      <alignment horizontal="left"/>
    </xf>
    <xf numFmtId="43" fontId="102" fillId="22" borderId="23" xfId="19" applyFont="1" applyFill="1" applyBorder="1" applyAlignment="1">
      <alignment horizontal="right"/>
    </xf>
    <xf numFmtId="0" fontId="102" fillId="0" borderId="9" xfId="0" applyFont="1" applyBorder="1"/>
    <xf numFmtId="0" fontId="102" fillId="0" borderId="23" xfId="0" applyFont="1" applyBorder="1" applyAlignment="1">
      <alignment horizontal="left"/>
    </xf>
    <xf numFmtId="43" fontId="102" fillId="0" borderId="23" xfId="19" applyFont="1" applyBorder="1" applyAlignment="1">
      <alignment horizontal="right"/>
    </xf>
    <xf numFmtId="0" fontId="103" fillId="0" borderId="23" xfId="0" applyFont="1" applyBorder="1" applyAlignment="1">
      <alignment horizontal="right"/>
    </xf>
    <xf numFmtId="43" fontId="1" fillId="0" borderId="19" xfId="17" applyNumberFormat="1"/>
    <xf numFmtId="172" fontId="58" fillId="0" borderId="1" xfId="0" applyNumberFormat="1" applyFont="1" applyBorder="1" applyAlignment="1">
      <alignment vertical="center"/>
    </xf>
    <xf numFmtId="0" fontId="73" fillId="23" borderId="21" xfId="5" applyFont="1" applyFill="1" applyBorder="1" applyAlignment="1">
      <alignment horizontal="center" vertical="center"/>
    </xf>
    <xf numFmtId="0" fontId="74" fillId="23" borderId="20" xfId="5" applyFont="1" applyFill="1" applyBorder="1" applyAlignment="1">
      <alignment horizontal="center" vertical="center"/>
    </xf>
    <xf numFmtId="0" fontId="74" fillId="23" borderId="1" xfId="5" applyFont="1" applyFill="1" applyBorder="1" applyAlignment="1">
      <alignment vertical="center"/>
    </xf>
    <xf numFmtId="0" fontId="74" fillId="23" borderId="1" xfId="5" applyFont="1" applyFill="1" applyBorder="1" applyAlignment="1">
      <alignment horizontal="right" vertical="center"/>
    </xf>
    <xf numFmtId="165" fontId="74" fillId="23" borderId="1" xfId="5" applyNumberFormat="1" applyFont="1" applyFill="1" applyBorder="1" applyAlignment="1">
      <alignment horizontal="right" vertical="center"/>
    </xf>
    <xf numFmtId="164" fontId="74" fillId="23" borderId="1" xfId="5" applyNumberFormat="1" applyFont="1" applyFill="1" applyBorder="1" applyAlignment="1">
      <alignment horizontal="right" vertical="center"/>
    </xf>
    <xf numFmtId="169" fontId="75" fillId="23" borderId="1" xfId="5" applyNumberFormat="1" applyFont="1" applyFill="1" applyBorder="1" applyAlignment="1">
      <alignment horizontal="right" vertical="center"/>
    </xf>
    <xf numFmtId="174" fontId="75" fillId="23" borderId="9" xfId="5" applyNumberFormat="1" applyFont="1" applyFill="1" applyBorder="1" applyAlignment="1">
      <alignment horizontal="right" vertical="center"/>
    </xf>
    <xf numFmtId="167" fontId="74" fillId="23" borderId="9" xfId="5" applyNumberFormat="1" applyFont="1" applyFill="1" applyBorder="1" applyAlignment="1">
      <alignment horizontal="right" vertical="center"/>
    </xf>
    <xf numFmtId="167" fontId="74" fillId="23" borderId="1" xfId="5" applyNumberFormat="1" applyFont="1" applyFill="1" applyBorder="1" applyAlignment="1">
      <alignment horizontal="right" vertical="center"/>
    </xf>
    <xf numFmtId="0" fontId="76" fillId="23" borderId="20" xfId="5" applyFont="1" applyFill="1" applyBorder="1" applyAlignment="1">
      <alignment horizontal="center" vertical="center"/>
    </xf>
    <xf numFmtId="176" fontId="15" fillId="0" borderId="1" xfId="0" applyNumberFormat="1" applyFont="1" applyBorder="1"/>
    <xf numFmtId="177" fontId="99" fillId="16" borderId="55" xfId="19" applyNumberFormat="1" applyFont="1" applyFill="1" applyBorder="1" applyAlignment="1">
      <alignment horizontal="right" vertical="center"/>
    </xf>
    <xf numFmtId="177" fontId="0" fillId="0" borderId="0" xfId="19" applyNumberFormat="1" applyFont="1"/>
    <xf numFmtId="177" fontId="99" fillId="0" borderId="55" xfId="19" applyNumberFormat="1" applyFont="1" applyBorder="1" applyAlignment="1">
      <alignment horizontal="right" vertical="center"/>
    </xf>
    <xf numFmtId="177" fontId="100" fillId="17" borderId="55" xfId="19" applyNumberFormat="1" applyFont="1" applyFill="1" applyBorder="1" applyAlignment="1">
      <alignment horizontal="right" vertical="center"/>
    </xf>
    <xf numFmtId="177" fontId="101" fillId="18" borderId="55" xfId="19" applyNumberFormat="1" applyFont="1" applyFill="1" applyBorder="1" applyAlignment="1">
      <alignment horizontal="right" vertical="center"/>
    </xf>
    <xf numFmtId="43" fontId="0" fillId="0" borderId="28" xfId="18" applyFont="1" applyBorder="1" applyAlignment="1">
      <alignment horizontal="center" vertical="center"/>
    </xf>
    <xf numFmtId="0" fontId="1" fillId="7" borderId="29" xfId="17" applyFill="1" applyBorder="1" applyAlignment="1">
      <alignment horizontal="center" vertical="center"/>
    </xf>
    <xf numFmtId="0" fontId="1" fillId="7" borderId="30" xfId="17" applyFill="1" applyBorder="1" applyAlignment="1">
      <alignment horizontal="center" vertical="center"/>
    </xf>
    <xf numFmtId="0" fontId="1" fillId="8" borderId="28" xfId="17" applyFill="1" applyBorder="1" applyAlignment="1">
      <alignment horizontal="center" vertical="center"/>
    </xf>
    <xf numFmtId="0" fontId="1" fillId="9" borderId="28" xfId="17" applyFill="1" applyBorder="1" applyAlignment="1">
      <alignment horizontal="center" vertical="center"/>
    </xf>
    <xf numFmtId="0" fontId="1" fillId="0" borderId="28" xfId="17" applyBorder="1" applyAlignment="1">
      <alignment horizontal="center" vertical="center"/>
    </xf>
    <xf numFmtId="0" fontId="1" fillId="0" borderId="29" xfId="17" applyBorder="1" applyAlignment="1">
      <alignment horizontal="center" vertical="center"/>
    </xf>
    <xf numFmtId="0" fontId="1" fillId="0" borderId="30" xfId="17" applyBorder="1" applyAlignment="1">
      <alignment horizontal="center" vertical="center"/>
    </xf>
    <xf numFmtId="49" fontId="1" fillId="7" borderId="28" xfId="17" applyNumberFormat="1" applyFill="1" applyBorder="1" applyAlignment="1">
      <alignment horizontal="center" vertical="center"/>
    </xf>
    <xf numFmtId="165" fontId="61" fillId="11" borderId="35" xfId="0" applyNumberFormat="1" applyFont="1" applyFill="1" applyBorder="1" applyAlignment="1">
      <alignment horizontal="center"/>
    </xf>
    <xf numFmtId="0" fontId="87" fillId="0" borderId="19" xfId="0" applyFont="1" applyBorder="1"/>
    <xf numFmtId="165" fontId="61" fillId="11" borderId="34" xfId="0" applyNumberFormat="1" applyFont="1" applyFill="1" applyBorder="1" applyAlignment="1">
      <alignment horizontal="center"/>
    </xf>
    <xf numFmtId="0" fontId="87" fillId="0" borderId="41" xfId="0" applyFont="1" applyBorder="1"/>
    <xf numFmtId="0" fontId="92" fillId="11" borderId="34" xfId="0" applyFont="1" applyFill="1" applyBorder="1" applyAlignment="1">
      <alignment horizontal="center"/>
    </xf>
    <xf numFmtId="0" fontId="61" fillId="11" borderId="39" xfId="0" applyFont="1" applyFill="1" applyBorder="1" applyAlignment="1">
      <alignment horizontal="center"/>
    </xf>
    <xf numFmtId="0" fontId="87" fillId="0" borderId="44" xfId="0" applyFont="1" applyBorder="1"/>
    <xf numFmtId="0" fontId="87" fillId="0" borderId="37" xfId="0" applyFont="1" applyBorder="1"/>
    <xf numFmtId="0" fontId="87" fillId="0" borderId="38" xfId="0" applyFont="1" applyBorder="1"/>
    <xf numFmtId="0" fontId="55" fillId="11" borderId="33" xfId="0" applyFont="1" applyFill="1" applyBorder="1" applyAlignment="1">
      <alignment horizontal="center"/>
    </xf>
    <xf numFmtId="0" fontId="87" fillId="0" borderId="40" xfId="0" applyFont="1" applyBorder="1"/>
    <xf numFmtId="0" fontId="55" fillId="11" borderId="34" xfId="0" applyFont="1" applyFill="1" applyBorder="1" applyAlignment="1">
      <alignment horizontal="center"/>
    </xf>
    <xf numFmtId="0" fontId="61" fillId="11" borderId="35" xfId="0" applyFont="1" applyFill="1" applyBorder="1" applyAlignment="1">
      <alignment horizontal="center"/>
    </xf>
    <xf numFmtId="0" fontId="61" fillId="11" borderId="36" xfId="0" applyFont="1" applyFill="1" applyBorder="1" applyAlignment="1">
      <alignment horizontal="center"/>
    </xf>
    <xf numFmtId="164" fontId="92" fillId="11" borderId="35" xfId="0" applyNumberFormat="1" applyFont="1" applyFill="1" applyBorder="1" applyAlignment="1">
      <alignment horizontal="center"/>
    </xf>
    <xf numFmtId="165" fontId="63" fillId="11" borderId="34" xfId="0" applyNumberFormat="1" applyFont="1" applyFill="1" applyBorder="1"/>
    <xf numFmtId="0" fontId="1" fillId="7" borderId="28" xfId="17" applyFill="1" applyBorder="1" applyAlignment="1">
      <alignment horizontal="left" vertical="center"/>
    </xf>
    <xf numFmtId="0" fontId="1" fillId="7" borderId="28" xfId="17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0" fontId="12" fillId="3" borderId="2" xfId="0" applyFont="1" applyFill="1" applyBorder="1" applyAlignment="1">
      <alignment horizontal="center" vertical="center"/>
    </xf>
    <xf numFmtId="0" fontId="10" fillId="0" borderId="8" xfId="0" applyFont="1" applyBorder="1"/>
    <xf numFmtId="0" fontId="13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/>
    </xf>
    <xf numFmtId="0" fontId="10" fillId="0" borderId="3" xfId="0" applyFont="1" applyBorder="1"/>
    <xf numFmtId="0" fontId="12" fillId="3" borderId="4" xfId="0" applyFont="1" applyFill="1" applyBorder="1" applyAlignment="1">
      <alignment horizontal="center" vertical="center"/>
    </xf>
    <xf numFmtId="164" fontId="12" fillId="3" borderId="2" xfId="0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left"/>
    </xf>
    <xf numFmtId="164" fontId="22" fillId="3" borderId="11" xfId="0" applyNumberFormat="1" applyFont="1" applyFill="1" applyBorder="1" applyAlignment="1">
      <alignment horizontal="center" vertical="center"/>
    </xf>
    <xf numFmtId="0" fontId="10" fillId="0" borderId="13" xfId="0" applyFont="1" applyBorder="1"/>
    <xf numFmtId="0" fontId="22" fillId="3" borderId="12" xfId="0" applyFont="1" applyFill="1" applyBorder="1" applyAlignment="1">
      <alignment horizontal="center" vertical="center"/>
    </xf>
    <xf numFmtId="0" fontId="10" fillId="0" borderId="14" xfId="0" applyFont="1" applyBorder="1"/>
    <xf numFmtId="0" fontId="23" fillId="3" borderId="2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164" fontId="22" fillId="3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34" fillId="0" borderId="3" xfId="0" applyFont="1" applyBorder="1" applyAlignment="1">
      <alignment horizontal="left"/>
    </xf>
    <xf numFmtId="170" fontId="17" fillId="3" borderId="4" xfId="0" applyNumberFormat="1" applyFont="1" applyFill="1" applyBorder="1" applyAlignment="1">
      <alignment horizontal="center"/>
    </xf>
    <xf numFmtId="164" fontId="17" fillId="3" borderId="2" xfId="0" applyNumberFormat="1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4" fontId="17" fillId="3" borderId="2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0" fillId="0" borderId="17" xfId="0" applyFont="1" applyBorder="1"/>
    <xf numFmtId="0" fontId="37" fillId="0" borderId="3" xfId="0" applyFont="1" applyBorder="1" applyAlignment="1">
      <alignment horizontal="left"/>
    </xf>
    <xf numFmtId="4" fontId="17" fillId="3" borderId="4" xfId="0" applyNumberFormat="1" applyFont="1" applyFill="1" applyBorder="1" applyAlignment="1">
      <alignment horizontal="center"/>
    </xf>
    <xf numFmtId="3" fontId="17" fillId="3" borderId="2" xfId="0" applyNumberFormat="1" applyFont="1" applyFill="1" applyBorder="1" applyAlignment="1">
      <alignment horizontal="center" vertical="center"/>
    </xf>
    <xf numFmtId="3" fontId="10" fillId="0" borderId="8" xfId="0" applyNumberFormat="1" applyFont="1" applyBorder="1"/>
    <xf numFmtId="0" fontId="10" fillId="0" borderId="8" xfId="0" applyFont="1" applyBorder="1" applyAlignment="1">
      <alignment horizontal="center"/>
    </xf>
    <xf numFmtId="4" fontId="29" fillId="3" borderId="2" xfId="0" applyNumberFormat="1" applyFont="1" applyFill="1" applyBorder="1" applyAlignment="1">
      <alignment horizontal="center" vertical="center"/>
    </xf>
    <xf numFmtId="0" fontId="43" fillId="0" borderId="3" xfId="0" applyFont="1" applyBorder="1" applyAlignment="1">
      <alignment horizontal="left"/>
    </xf>
    <xf numFmtId="0" fontId="10" fillId="0" borderId="18" xfId="0" applyFont="1" applyBorder="1"/>
    <xf numFmtId="0" fontId="22" fillId="0" borderId="20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74" fillId="0" borderId="20" xfId="5" applyFont="1" applyBorder="1" applyAlignment="1">
      <alignment horizontal="right" vertical="center"/>
    </xf>
    <xf numFmtId="0" fontId="74" fillId="0" borderId="21" xfId="5" applyFont="1" applyBorder="1" applyAlignment="1">
      <alignment horizontal="right" vertical="center"/>
    </xf>
    <xf numFmtId="0" fontId="83" fillId="0" borderId="22" xfId="5" applyFont="1" applyBorder="1" applyAlignment="1">
      <alignment horizontal="center" vertical="center"/>
    </xf>
    <xf numFmtId="0" fontId="84" fillId="0" borderId="24" xfId="5" applyFont="1" applyBorder="1" applyAlignment="1">
      <alignment vertical="center"/>
    </xf>
    <xf numFmtId="0" fontId="84" fillId="0" borderId="23" xfId="5" applyFont="1" applyBorder="1" applyAlignment="1">
      <alignment vertical="center"/>
    </xf>
    <xf numFmtId="0" fontId="65" fillId="0" borderId="24" xfId="5" applyFont="1" applyBorder="1" applyAlignment="1">
      <alignment horizontal="left" vertical="center"/>
    </xf>
    <xf numFmtId="0" fontId="66" fillId="0" borderId="24" xfId="5" applyFont="1" applyBorder="1" applyAlignment="1">
      <alignment vertical="center"/>
    </xf>
    <xf numFmtId="165" fontId="68" fillId="0" borderId="7" xfId="5" applyNumberFormat="1" applyFont="1" applyBorder="1" applyAlignment="1">
      <alignment horizontal="center" vertical="center"/>
    </xf>
    <xf numFmtId="165" fontId="68" fillId="0" borderId="9" xfId="5" applyNumberFormat="1" applyFont="1" applyBorder="1" applyAlignment="1">
      <alignment horizontal="center" vertical="center"/>
    </xf>
    <xf numFmtId="0" fontId="74" fillId="0" borderId="22" xfId="5" applyFont="1" applyBorder="1" applyAlignment="1">
      <alignment horizontal="right" vertical="center"/>
    </xf>
    <xf numFmtId="0" fontId="74" fillId="0" borderId="23" xfId="5" applyFont="1" applyBorder="1" applyAlignment="1">
      <alignment horizontal="right" vertical="center"/>
    </xf>
    <xf numFmtId="0" fontId="22" fillId="4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51" fillId="0" borderId="3" xfId="0" applyFont="1" applyBorder="1" applyAlignment="1">
      <alignment horizontal="left" vertical="center"/>
    </xf>
    <xf numFmtId="0" fontId="22" fillId="4" borderId="2" xfId="0" applyFont="1" applyFill="1" applyBorder="1" applyAlignment="1">
      <alignment horizontal="center" vertical="center"/>
    </xf>
    <xf numFmtId="0" fontId="63" fillId="13" borderId="45" xfId="0" applyFont="1" applyFill="1" applyBorder="1"/>
    <xf numFmtId="0" fontId="63" fillId="24" borderId="45" xfId="0" applyFont="1" applyFill="1" applyBorder="1"/>
    <xf numFmtId="0" fontId="63" fillId="24" borderId="53" xfId="0" applyFont="1" applyFill="1" applyBorder="1"/>
    <xf numFmtId="0" fontId="97" fillId="5" borderId="40" xfId="0" applyFont="1" applyFill="1" applyBorder="1" applyAlignment="1">
      <alignment horizontal="center"/>
    </xf>
    <xf numFmtId="164" fontId="97" fillId="5" borderId="36" xfId="0" applyNumberFormat="1" applyFont="1" applyFill="1" applyBorder="1" applyAlignment="1">
      <alignment horizontal="center"/>
    </xf>
    <xf numFmtId="168" fontId="63" fillId="5" borderId="37" xfId="0" applyNumberFormat="1" applyFont="1" applyFill="1" applyBorder="1"/>
    <xf numFmtId="167" fontId="63" fillId="5" borderId="10" xfId="0" applyNumberFormat="1" applyFont="1" applyFill="1" applyBorder="1"/>
    <xf numFmtId="167" fontId="63" fillId="5" borderId="37" xfId="0" applyNumberFormat="1" applyFont="1" applyFill="1" applyBorder="1"/>
    <xf numFmtId="0" fontId="63" fillId="5" borderId="36" xfId="0" applyFont="1" applyFill="1" applyBorder="1"/>
    <xf numFmtId="0" fontId="63" fillId="5" borderId="37" xfId="0" applyFont="1" applyFill="1" applyBorder="1"/>
    <xf numFmtId="0" fontId="71" fillId="5" borderId="37" xfId="0" applyFont="1" applyFill="1" applyBorder="1"/>
    <xf numFmtId="165" fontId="71" fillId="5" borderId="37" xfId="0" applyNumberFormat="1" applyFont="1" applyFill="1" applyBorder="1" applyAlignment="1">
      <alignment horizontal="right"/>
    </xf>
    <xf numFmtId="166" fontId="71" fillId="5" borderId="37" xfId="0" applyNumberFormat="1" applyFont="1" applyFill="1" applyBorder="1" applyAlignment="1">
      <alignment horizontal="right"/>
    </xf>
    <xf numFmtId="167" fontId="63" fillId="5" borderId="38" xfId="0" applyNumberFormat="1" applyFont="1" applyFill="1" applyBorder="1"/>
    <xf numFmtId="0" fontId="0" fillId="5" borderId="0" xfId="0" applyFont="1" applyFill="1"/>
    <xf numFmtId="0" fontId="104" fillId="24" borderId="46" xfId="0" applyFont="1" applyFill="1" applyBorder="1"/>
    <xf numFmtId="0" fontId="104" fillId="24" borderId="47" xfId="0" applyFont="1" applyFill="1" applyBorder="1"/>
    <xf numFmtId="0" fontId="104" fillId="24" borderId="48" xfId="0" applyFont="1" applyFill="1" applyBorder="1" applyAlignment="1">
      <alignment horizontal="center"/>
    </xf>
    <xf numFmtId="0" fontId="104" fillId="24" borderId="49" xfId="0" applyFont="1" applyFill="1" applyBorder="1" applyAlignment="1">
      <alignment horizontal="center"/>
    </xf>
    <xf numFmtId="0" fontId="104" fillId="24" borderId="50" xfId="0" applyFont="1" applyFill="1" applyBorder="1" applyAlignment="1">
      <alignment horizontal="center"/>
    </xf>
    <xf numFmtId="164" fontId="104" fillId="25" borderId="47" xfId="0" applyNumberFormat="1" applyFont="1" applyFill="1" applyBorder="1" applyAlignment="1">
      <alignment horizontal="center"/>
    </xf>
    <xf numFmtId="2" fontId="104" fillId="25" borderId="51" xfId="0" applyNumberFormat="1" applyFont="1" applyFill="1" applyBorder="1" applyAlignment="1">
      <alignment horizontal="right"/>
    </xf>
    <xf numFmtId="168" fontId="104" fillId="25" borderId="47" xfId="0" applyNumberFormat="1" applyFont="1" applyFill="1" applyBorder="1" applyAlignment="1">
      <alignment horizontal="center"/>
    </xf>
    <xf numFmtId="167" fontId="104" fillId="25" borderId="51" xfId="0" applyNumberFormat="1" applyFont="1" applyFill="1" applyBorder="1" applyAlignment="1">
      <alignment horizontal="center"/>
    </xf>
    <xf numFmtId="167" fontId="104" fillId="25" borderId="47" xfId="0" applyNumberFormat="1" applyFont="1" applyFill="1" applyBorder="1" applyAlignment="1">
      <alignment horizontal="center"/>
    </xf>
    <xf numFmtId="0" fontId="63" fillId="5" borderId="54" xfId="0" applyFont="1" applyFill="1" applyBorder="1"/>
    <xf numFmtId="0" fontId="63" fillId="5" borderId="37" xfId="0" applyFont="1" applyFill="1" applyBorder="1"/>
    <xf numFmtId="0" fontId="63" fillId="5" borderId="38" xfId="0" applyFont="1" applyFill="1" applyBorder="1"/>
    <xf numFmtId="165" fontId="97" fillId="5" borderId="10" xfId="0" applyNumberFormat="1" applyFont="1" applyFill="1" applyBorder="1" applyAlignment="1">
      <alignment horizontal="right"/>
    </xf>
    <xf numFmtId="43" fontId="97" fillId="5" borderId="10" xfId="19" applyFont="1" applyFill="1" applyBorder="1" applyAlignment="1">
      <alignment horizontal="right"/>
    </xf>
  </cellXfs>
  <cellStyles count="20">
    <cellStyle name="จุลภาค" xfId="19" builtinId="3"/>
    <cellStyle name="จุลภาค 2" xfId="2" xr:uid="{94AB9D62-F3B8-4C00-AB35-F4EA4A6E46E8}"/>
    <cellStyle name="จุลภาค 3" xfId="4" xr:uid="{5E39B4C2-0E70-4795-BA80-30214FE9A4D0}"/>
    <cellStyle name="จุลภาค 4" xfId="7" xr:uid="{154C7BF1-2993-4C47-BF24-B0BAFD735E5D}"/>
    <cellStyle name="จุลภาค 5" xfId="9" xr:uid="{79E8D752-BD3F-4096-86C8-6A633CF1DB84}"/>
    <cellStyle name="จุลภาค 6" xfId="11" xr:uid="{A4EEFB47-8723-4EE3-B382-6FD430B83143}"/>
    <cellStyle name="จุลภาค 7" xfId="13" xr:uid="{E2904781-7C98-4308-91A5-09EAFD53EA48}"/>
    <cellStyle name="จุลภาค 8" xfId="16" xr:uid="{E61AE69E-1996-412B-BFD7-CEDF926E9AF6}"/>
    <cellStyle name="จุลภาค 9" xfId="18" xr:uid="{F95703BA-2146-4DF5-B05E-E98390368203}"/>
    <cellStyle name="ปกติ" xfId="0" builtinId="0"/>
    <cellStyle name="ปกติ 10" xfId="17" xr:uid="{EC81907B-A8D4-446C-8620-22D46233C8D1}"/>
    <cellStyle name="ปกติ 2" xfId="1" xr:uid="{43C1FDDC-8E24-49A9-BB8C-AC1C6FB3B572}"/>
    <cellStyle name="ปกติ 3" xfId="3" xr:uid="{8CEC85E3-726C-4E78-877B-3CBC7954F827}"/>
    <cellStyle name="ปกติ 4" xfId="6" xr:uid="{53E0E595-5879-4DC0-8E38-8EFE601D40EE}"/>
    <cellStyle name="ปกติ 5" xfId="8" xr:uid="{B4EFFDE5-DA13-4ED4-B276-A68C71FF62AC}"/>
    <cellStyle name="ปกติ 6" xfId="10" xr:uid="{6B968FA6-6AB4-42B7-B386-A6732F331FE5}"/>
    <cellStyle name="ปกติ 7" xfId="12" xr:uid="{45583039-25E4-4046-A431-A4C2CCBC7157}"/>
    <cellStyle name="ปกติ 8" xfId="14" xr:uid="{97728176-5228-4278-BCAC-8EB0EF72ECFD}"/>
    <cellStyle name="ปกติ 9" xfId="15" xr:uid="{4B29A3B1-8524-427D-A273-0756F49F337A}"/>
    <cellStyle name="標準 2" xfId="5" xr:uid="{8B205935-A3EB-4CE3-886B-508E680E9172}"/>
  </cellStyles>
  <dxfs count="18"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5"/>
          <bgColor theme="5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>
    <tableStyle name="PK1.-รอแพ๊ค-ป้าติ๋ม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1A1C-EBD8-4962-98A7-9200FA2A7AC8}">
  <sheetPr>
    <pageSetUpPr fitToPage="1"/>
  </sheetPr>
  <dimension ref="A1:AR431"/>
  <sheetViews>
    <sheetView zoomScale="70" zoomScaleNormal="70" workbookViewId="0">
      <pane xSplit="7" ySplit="2" topLeftCell="AH417" activePane="bottomRight" state="frozen"/>
      <selection activeCell="AV254" sqref="AV254"/>
      <selection pane="topRight" activeCell="AV254" sqref="AV254"/>
      <selection pane="bottomLeft" activeCell="AV254" sqref="AV254"/>
      <selection pane="bottomRight" activeCell="AN429" sqref="AN429"/>
    </sheetView>
  </sheetViews>
  <sheetFormatPr defaultColWidth="8.90625" defaultRowHeight="14.5"/>
  <cols>
    <col min="1" max="1" width="18" style="346" bestFit="1" customWidth="1"/>
    <col min="2" max="4" width="8.90625" style="321"/>
    <col min="5" max="5" width="9.81640625" style="321" customWidth="1"/>
    <col min="6" max="6" width="32.6328125" style="347" bestFit="1" customWidth="1"/>
    <col min="7" max="7" width="14.90625" style="321" customWidth="1"/>
    <col min="8" max="8" width="7.54296875" style="321" customWidth="1"/>
    <col min="9" max="9" width="8.81640625" style="321" customWidth="1"/>
    <col min="10" max="10" width="9" style="321" customWidth="1"/>
    <col min="11" max="18" width="9.81640625" style="321" customWidth="1"/>
    <col min="19" max="19" width="10.6328125" style="321" customWidth="1"/>
    <col min="20" max="22" width="9.81640625" style="321" customWidth="1"/>
    <col min="23" max="23" width="10.08984375" style="321" customWidth="1"/>
    <col min="24" max="35" width="9.81640625" style="321" customWidth="1"/>
    <col min="36" max="37" width="9.90625" style="321" customWidth="1"/>
    <col min="38" max="38" width="10" style="321" customWidth="1"/>
    <col min="39" max="39" width="15.6328125" style="321" customWidth="1"/>
    <col min="40" max="40" width="10.1796875" style="321" customWidth="1"/>
    <col min="41" max="41" width="15.6328125" style="321" customWidth="1"/>
    <col min="42" max="42" width="14.90625" style="321" customWidth="1"/>
    <col min="43" max="43" width="19.453125" style="348" customWidth="1"/>
    <col min="44" max="16384" width="8.90625" style="321"/>
  </cols>
  <sheetData>
    <row r="1" spans="1:43" ht="25.25" customHeight="1">
      <c r="A1" s="446" t="s">
        <v>146</v>
      </c>
      <c r="B1" s="439" t="s">
        <v>147</v>
      </c>
      <c r="C1" s="439" t="s">
        <v>1</v>
      </c>
      <c r="D1" s="439" t="s">
        <v>2</v>
      </c>
      <c r="E1" s="439" t="s">
        <v>148</v>
      </c>
      <c r="F1" s="439" t="s">
        <v>149</v>
      </c>
      <c r="G1" s="439" t="s">
        <v>150</v>
      </c>
      <c r="H1" s="441" t="s">
        <v>151</v>
      </c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2" t="s">
        <v>152</v>
      </c>
      <c r="AN1" s="443" t="s">
        <v>153</v>
      </c>
      <c r="AO1" s="444" t="s">
        <v>154</v>
      </c>
      <c r="AP1" s="443" t="s">
        <v>155</v>
      </c>
      <c r="AQ1" s="438" t="s">
        <v>156</v>
      </c>
    </row>
    <row r="2" spans="1:43" ht="13.75" customHeight="1">
      <c r="A2" s="446"/>
      <c r="B2" s="440"/>
      <c r="C2" s="440"/>
      <c r="D2" s="440"/>
      <c r="E2" s="440"/>
      <c r="F2" s="440"/>
      <c r="G2" s="440"/>
      <c r="H2" s="320">
        <v>1</v>
      </c>
      <c r="I2" s="320">
        <v>2</v>
      </c>
      <c r="J2" s="320">
        <v>3</v>
      </c>
      <c r="K2" s="320">
        <v>4</v>
      </c>
      <c r="L2" s="320">
        <v>5</v>
      </c>
      <c r="M2" s="320">
        <v>6</v>
      </c>
      <c r="N2" s="320">
        <v>7</v>
      </c>
      <c r="O2" s="320">
        <v>8</v>
      </c>
      <c r="P2" s="320">
        <v>9</v>
      </c>
      <c r="Q2" s="320">
        <v>10</v>
      </c>
      <c r="R2" s="320">
        <v>11</v>
      </c>
      <c r="S2" s="320">
        <v>12</v>
      </c>
      <c r="T2" s="320">
        <v>13</v>
      </c>
      <c r="U2" s="320">
        <v>14</v>
      </c>
      <c r="V2" s="320">
        <v>15</v>
      </c>
      <c r="W2" s="320">
        <v>16</v>
      </c>
      <c r="X2" s="320">
        <v>17</v>
      </c>
      <c r="Y2" s="320">
        <v>18</v>
      </c>
      <c r="Z2" s="320">
        <v>19</v>
      </c>
      <c r="AA2" s="320">
        <v>20</v>
      </c>
      <c r="AB2" s="320">
        <v>21</v>
      </c>
      <c r="AC2" s="320">
        <v>22</v>
      </c>
      <c r="AD2" s="320">
        <v>23</v>
      </c>
      <c r="AE2" s="320">
        <v>24</v>
      </c>
      <c r="AF2" s="320">
        <v>25</v>
      </c>
      <c r="AG2" s="320">
        <v>26</v>
      </c>
      <c r="AH2" s="320">
        <v>27</v>
      </c>
      <c r="AI2" s="320">
        <v>28</v>
      </c>
      <c r="AJ2" s="320">
        <v>29</v>
      </c>
      <c r="AK2" s="320">
        <v>30</v>
      </c>
      <c r="AL2" s="320">
        <v>31</v>
      </c>
      <c r="AM2" s="442"/>
      <c r="AN2" s="443"/>
      <c r="AO2" s="445"/>
      <c r="AP2" s="443"/>
      <c r="AQ2" s="438"/>
    </row>
    <row r="3" spans="1:43">
      <c r="A3" s="322">
        <v>22122</v>
      </c>
      <c r="B3" s="323">
        <v>12.7</v>
      </c>
      <c r="C3" s="323">
        <v>57.2</v>
      </c>
      <c r="D3" s="323">
        <v>1219.2</v>
      </c>
      <c r="E3" s="323">
        <v>104</v>
      </c>
      <c r="F3" s="324" t="s">
        <v>157</v>
      </c>
      <c r="G3" s="325">
        <v>45706</v>
      </c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6">
        <f t="shared" ref="AM3:AM66" si="0">E3-H3-I3-J3-K3-L3-M3-N3-O3-P3-Q3-R3-S3-T3-U3-V3-W3-X3-Y3-Z3-AA3-AB3-AC3-AD3-AE3-AF3-AG3-AH3-AI3-AJ3-AK3-AL3</f>
        <v>104</v>
      </c>
      <c r="AN3" s="327">
        <f t="shared" ref="AN3:AN66" si="1">B3*C3*D3*AM3/1000000000</f>
        <v>9.2110267391999984E-2</v>
      </c>
      <c r="AO3" s="327">
        <v>0.65</v>
      </c>
      <c r="AP3" s="327"/>
      <c r="AQ3" s="328">
        <f>AO3*AM3*34.3391</f>
        <v>2321.3231600000004</v>
      </c>
    </row>
    <row r="4" spans="1:43">
      <c r="A4" s="322">
        <v>22122</v>
      </c>
      <c r="B4" s="323">
        <v>12.7</v>
      </c>
      <c r="C4" s="323">
        <v>57.2</v>
      </c>
      <c r="D4" s="323">
        <v>1219.2</v>
      </c>
      <c r="E4" s="323">
        <v>120</v>
      </c>
      <c r="F4" s="324" t="s">
        <v>158</v>
      </c>
      <c r="G4" s="325">
        <v>45744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6">
        <f t="shared" si="0"/>
        <v>120</v>
      </c>
      <c r="AN4" s="327">
        <f t="shared" si="1"/>
        <v>0.10628107776</v>
      </c>
      <c r="AO4" s="323">
        <v>0.64700000000000002</v>
      </c>
      <c r="AP4" s="323"/>
      <c r="AQ4" s="328">
        <f>AO4*AM4*33.8617</f>
        <v>2629.0223879999999</v>
      </c>
    </row>
    <row r="5" spans="1:43">
      <c r="A5" s="329">
        <v>22123</v>
      </c>
      <c r="B5" s="323">
        <v>12.7</v>
      </c>
      <c r="C5" s="323">
        <v>82.55</v>
      </c>
      <c r="D5" s="323">
        <v>1219.2</v>
      </c>
      <c r="E5" s="323">
        <v>1092</v>
      </c>
      <c r="F5" s="330" t="s">
        <v>159</v>
      </c>
      <c r="G5" s="331">
        <v>46057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6">
        <f t="shared" si="0"/>
        <v>1092</v>
      </c>
      <c r="AN5" s="327">
        <f t="shared" si="1"/>
        <v>1.3957845632640002</v>
      </c>
      <c r="AO5" s="323"/>
      <c r="AP5" s="323">
        <v>650</v>
      </c>
      <c r="AQ5" s="328">
        <f>AN5*AP5*31.4666</f>
        <v>28548.386449961945</v>
      </c>
    </row>
    <row r="6" spans="1:43">
      <c r="A6" s="332">
        <v>22123</v>
      </c>
      <c r="B6" s="323">
        <v>12.7</v>
      </c>
      <c r="C6" s="323">
        <v>82.55</v>
      </c>
      <c r="D6" s="323">
        <v>1219.2</v>
      </c>
      <c r="E6" s="323">
        <v>202</v>
      </c>
      <c r="F6" s="330" t="s">
        <v>159</v>
      </c>
      <c r="G6" s="331">
        <v>46057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6">
        <f t="shared" si="0"/>
        <v>202</v>
      </c>
      <c r="AN6" s="327">
        <f t="shared" si="1"/>
        <v>0.25819458038400001</v>
      </c>
      <c r="AO6" s="323"/>
      <c r="AP6" s="323">
        <v>650</v>
      </c>
      <c r="AQ6" s="328">
        <f>AN6*AP6*31.4666</f>
        <v>5280.9286290222635</v>
      </c>
    </row>
    <row r="7" spans="1:43">
      <c r="A7" s="332">
        <v>22123</v>
      </c>
      <c r="B7" s="323">
        <v>12.7</v>
      </c>
      <c r="C7" s="323">
        <v>82.55</v>
      </c>
      <c r="D7" s="323">
        <v>1219.2</v>
      </c>
      <c r="E7" s="323">
        <v>1092</v>
      </c>
      <c r="F7" s="330" t="s">
        <v>159</v>
      </c>
      <c r="G7" s="331">
        <v>46057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6">
        <f t="shared" si="0"/>
        <v>1092</v>
      </c>
      <c r="AN7" s="327">
        <f t="shared" si="1"/>
        <v>1.3957845632640002</v>
      </c>
      <c r="AO7" s="323"/>
      <c r="AP7" s="323">
        <v>650</v>
      </c>
      <c r="AQ7" s="328">
        <f>AN7*AP7*31.4666</f>
        <v>28548.386449961945</v>
      </c>
    </row>
    <row r="8" spans="1:43">
      <c r="A8" s="332">
        <v>22123</v>
      </c>
      <c r="B8" s="323">
        <v>12.7</v>
      </c>
      <c r="C8" s="323">
        <v>82.55</v>
      </c>
      <c r="D8" s="323">
        <v>1219.2</v>
      </c>
      <c r="E8" s="323">
        <v>1092</v>
      </c>
      <c r="F8" s="330" t="s">
        <v>159</v>
      </c>
      <c r="G8" s="331">
        <v>46057</v>
      </c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6">
        <f t="shared" si="0"/>
        <v>1092</v>
      </c>
      <c r="AN8" s="327">
        <f t="shared" si="1"/>
        <v>1.3957845632640002</v>
      </c>
      <c r="AO8" s="323"/>
      <c r="AP8" s="323">
        <v>650</v>
      </c>
      <c r="AQ8" s="328">
        <f>AN8*AP8*31.4666</f>
        <v>28548.386449961945</v>
      </c>
    </row>
    <row r="9" spans="1:43">
      <c r="A9" s="333">
        <v>22124</v>
      </c>
      <c r="B9" s="323">
        <v>12.7</v>
      </c>
      <c r="C9" s="323">
        <v>107.95</v>
      </c>
      <c r="D9" s="323">
        <v>1219.2</v>
      </c>
      <c r="E9" s="323">
        <v>700</v>
      </c>
      <c r="F9" s="330" t="s">
        <v>159</v>
      </c>
      <c r="G9" s="331">
        <v>46057</v>
      </c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>
        <v>260</v>
      </c>
      <c r="AH9" s="323"/>
      <c r="AI9" s="323"/>
      <c r="AJ9" s="323"/>
      <c r="AK9" s="323"/>
      <c r="AL9" s="323"/>
      <c r="AM9" s="326">
        <f t="shared" si="0"/>
        <v>440</v>
      </c>
      <c r="AN9" s="327">
        <f t="shared" si="1"/>
        <v>0.73545143231999999</v>
      </c>
      <c r="AO9" s="323"/>
      <c r="AP9" s="323">
        <v>650</v>
      </c>
      <c r="AQ9" s="328">
        <f>AN9*AP9*31.4666</f>
        <v>15042.401426156332</v>
      </c>
    </row>
    <row r="10" spans="1:43">
      <c r="A10" s="334">
        <v>22124</v>
      </c>
      <c r="B10" s="323">
        <v>12.7</v>
      </c>
      <c r="C10" s="323">
        <v>108</v>
      </c>
      <c r="D10" s="323">
        <v>1219.2</v>
      </c>
      <c r="E10" s="323">
        <v>315</v>
      </c>
      <c r="F10" s="324" t="s">
        <v>157</v>
      </c>
      <c r="G10" s="325">
        <v>45706</v>
      </c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6">
        <f t="shared" si="0"/>
        <v>315</v>
      </c>
      <c r="AN10" s="327">
        <f t="shared" si="1"/>
        <v>0.52676023680000006</v>
      </c>
      <c r="AO10" s="327">
        <v>1.22</v>
      </c>
      <c r="AP10" s="327"/>
      <c r="AQ10" s="328">
        <f>AO10*AM10*34.3391</f>
        <v>13196.516130000002</v>
      </c>
    </row>
    <row r="11" spans="1:43">
      <c r="A11" s="334">
        <v>22124</v>
      </c>
      <c r="B11" s="323">
        <v>12.7</v>
      </c>
      <c r="C11" s="323">
        <v>108</v>
      </c>
      <c r="D11" s="323">
        <v>1219.2</v>
      </c>
      <c r="E11" s="323">
        <v>350</v>
      </c>
      <c r="F11" s="324" t="s">
        <v>158</v>
      </c>
      <c r="G11" s="325">
        <v>45744</v>
      </c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6">
        <f t="shared" si="0"/>
        <v>350</v>
      </c>
      <c r="AN11" s="327">
        <f t="shared" si="1"/>
        <v>0.58528915199999998</v>
      </c>
      <c r="AO11" s="323">
        <v>1.2210000000000001</v>
      </c>
      <c r="AP11" s="323"/>
      <c r="AQ11" s="328">
        <f>AO11*AM11*33.8617</f>
        <v>14470.797495000001</v>
      </c>
    </row>
    <row r="12" spans="1:43">
      <c r="A12" s="332">
        <v>22125</v>
      </c>
      <c r="B12" s="323">
        <v>12.7</v>
      </c>
      <c r="C12" s="323">
        <v>158.75</v>
      </c>
      <c r="D12" s="323">
        <v>1219.2</v>
      </c>
      <c r="E12" s="323">
        <v>550</v>
      </c>
      <c r="F12" s="330" t="s">
        <v>159</v>
      </c>
      <c r="G12" s="331">
        <v>46057</v>
      </c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6">
        <f t="shared" si="0"/>
        <v>550</v>
      </c>
      <c r="AN12" s="327">
        <f t="shared" si="1"/>
        <v>1.3519327800000001</v>
      </c>
      <c r="AO12" s="323"/>
      <c r="AP12" s="323">
        <v>650</v>
      </c>
      <c r="AQ12" s="328">
        <f t="shared" ref="AQ12:AQ26" si="2">AN12*AP12*31.4666</f>
        <v>27651.473209846201</v>
      </c>
    </row>
    <row r="13" spans="1:43">
      <c r="A13" s="332">
        <v>22125</v>
      </c>
      <c r="B13" s="323">
        <v>12.7</v>
      </c>
      <c r="C13" s="323">
        <v>158.75</v>
      </c>
      <c r="D13" s="323">
        <v>1219.2</v>
      </c>
      <c r="E13" s="323">
        <v>410</v>
      </c>
      <c r="F13" s="330" t="s">
        <v>159</v>
      </c>
      <c r="G13" s="331">
        <v>46057</v>
      </c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6">
        <f t="shared" si="0"/>
        <v>410</v>
      </c>
      <c r="AN13" s="327">
        <f t="shared" si="1"/>
        <v>1.007804436</v>
      </c>
      <c r="AO13" s="323"/>
      <c r="AP13" s="323">
        <v>650</v>
      </c>
      <c r="AQ13" s="328">
        <f t="shared" si="2"/>
        <v>20612.916392794439</v>
      </c>
    </row>
    <row r="14" spans="1:43">
      <c r="A14" s="332">
        <v>22126</v>
      </c>
      <c r="B14" s="323">
        <v>12.7</v>
      </c>
      <c r="C14" s="323">
        <v>209.55</v>
      </c>
      <c r="D14" s="323">
        <v>1219.2</v>
      </c>
      <c r="E14" s="323">
        <v>14</v>
      </c>
      <c r="F14" s="330" t="s">
        <v>159</v>
      </c>
      <c r="G14" s="331">
        <v>46057</v>
      </c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6">
        <f t="shared" si="0"/>
        <v>14</v>
      </c>
      <c r="AN14" s="327">
        <f t="shared" si="1"/>
        <v>4.5424941407999998E-2</v>
      </c>
      <c r="AO14" s="323"/>
      <c r="AP14" s="323">
        <v>650</v>
      </c>
      <c r="AQ14" s="328">
        <f t="shared" si="2"/>
        <v>929.08949985083223</v>
      </c>
    </row>
    <row r="15" spans="1:43">
      <c r="A15" s="332">
        <v>22126</v>
      </c>
      <c r="B15" s="323">
        <v>12.7</v>
      </c>
      <c r="C15" s="323">
        <v>209.55</v>
      </c>
      <c r="D15" s="323">
        <v>1219.2</v>
      </c>
      <c r="E15" s="323">
        <v>445</v>
      </c>
      <c r="F15" s="330" t="s">
        <v>159</v>
      </c>
      <c r="G15" s="331">
        <v>46057</v>
      </c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6">
        <f t="shared" si="0"/>
        <v>445</v>
      </c>
      <c r="AN15" s="327">
        <f t="shared" si="1"/>
        <v>1.44386420904</v>
      </c>
      <c r="AO15" s="323"/>
      <c r="AP15" s="323">
        <v>650</v>
      </c>
      <c r="AQ15" s="328">
        <f t="shared" si="2"/>
        <v>29531.77338811574</v>
      </c>
    </row>
    <row r="16" spans="1:43">
      <c r="A16" s="332">
        <v>22126</v>
      </c>
      <c r="B16" s="323">
        <v>12.7</v>
      </c>
      <c r="C16" s="323">
        <v>209.55</v>
      </c>
      <c r="D16" s="323">
        <v>1219.2</v>
      </c>
      <c r="E16" s="323">
        <v>445</v>
      </c>
      <c r="F16" s="330" t="s">
        <v>159</v>
      </c>
      <c r="G16" s="331">
        <v>46057</v>
      </c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6">
        <f t="shared" si="0"/>
        <v>445</v>
      </c>
      <c r="AN16" s="327">
        <f t="shared" si="1"/>
        <v>1.44386420904</v>
      </c>
      <c r="AO16" s="323"/>
      <c r="AP16" s="323">
        <v>650</v>
      </c>
      <c r="AQ16" s="328">
        <f t="shared" si="2"/>
        <v>29531.77338811574</v>
      </c>
    </row>
    <row r="17" spans="1:43">
      <c r="A17" s="332">
        <v>22126</v>
      </c>
      <c r="B17" s="323">
        <v>12.7</v>
      </c>
      <c r="C17" s="323">
        <v>209.55</v>
      </c>
      <c r="D17" s="323">
        <v>1219.2</v>
      </c>
      <c r="E17" s="323">
        <v>327</v>
      </c>
      <c r="F17" s="330" t="s">
        <v>159</v>
      </c>
      <c r="G17" s="331">
        <v>46057</v>
      </c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6">
        <f t="shared" si="0"/>
        <v>327</v>
      </c>
      <c r="AN17" s="327">
        <f t="shared" si="1"/>
        <v>1.060996845744</v>
      </c>
      <c r="AO17" s="323"/>
      <c r="AP17" s="323">
        <v>650</v>
      </c>
      <c r="AQ17" s="328">
        <f t="shared" si="2"/>
        <v>21700.876175087295</v>
      </c>
    </row>
    <row r="18" spans="1:43">
      <c r="A18" s="332">
        <v>22126</v>
      </c>
      <c r="B18" s="323">
        <v>12.7</v>
      </c>
      <c r="C18" s="323">
        <v>209.55</v>
      </c>
      <c r="D18" s="323">
        <v>1219.2</v>
      </c>
      <c r="E18" s="323">
        <v>327</v>
      </c>
      <c r="F18" s="330" t="s">
        <v>159</v>
      </c>
      <c r="G18" s="331">
        <v>46057</v>
      </c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6">
        <f t="shared" si="0"/>
        <v>327</v>
      </c>
      <c r="AN18" s="327">
        <f t="shared" si="1"/>
        <v>1.060996845744</v>
      </c>
      <c r="AO18" s="323"/>
      <c r="AP18" s="323">
        <v>650</v>
      </c>
      <c r="AQ18" s="328">
        <f t="shared" si="2"/>
        <v>21700.876175087295</v>
      </c>
    </row>
    <row r="19" spans="1:43">
      <c r="A19" s="332">
        <v>22126</v>
      </c>
      <c r="B19" s="323">
        <v>12.7</v>
      </c>
      <c r="C19" s="323">
        <v>209.55</v>
      </c>
      <c r="D19" s="323">
        <v>1219.2</v>
      </c>
      <c r="E19" s="323">
        <v>327</v>
      </c>
      <c r="F19" s="330" t="s">
        <v>159</v>
      </c>
      <c r="G19" s="331">
        <v>46057</v>
      </c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6">
        <f t="shared" si="0"/>
        <v>327</v>
      </c>
      <c r="AN19" s="327">
        <f t="shared" si="1"/>
        <v>1.060996845744</v>
      </c>
      <c r="AO19" s="323"/>
      <c r="AP19" s="323">
        <v>650</v>
      </c>
      <c r="AQ19" s="328">
        <f t="shared" si="2"/>
        <v>21700.876175087295</v>
      </c>
    </row>
    <row r="20" spans="1:43">
      <c r="A20" s="332">
        <v>22126</v>
      </c>
      <c r="B20" s="323">
        <v>12.7</v>
      </c>
      <c r="C20" s="323">
        <v>209.55</v>
      </c>
      <c r="D20" s="323">
        <v>1219.2</v>
      </c>
      <c r="E20" s="323">
        <v>327</v>
      </c>
      <c r="F20" s="330" t="s">
        <v>159</v>
      </c>
      <c r="G20" s="331">
        <v>46057</v>
      </c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6">
        <f t="shared" si="0"/>
        <v>327</v>
      </c>
      <c r="AN20" s="327">
        <f t="shared" si="1"/>
        <v>1.060996845744</v>
      </c>
      <c r="AO20" s="323"/>
      <c r="AP20" s="323">
        <v>650</v>
      </c>
      <c r="AQ20" s="328">
        <f t="shared" si="2"/>
        <v>21700.876175087295</v>
      </c>
    </row>
    <row r="21" spans="1:43">
      <c r="A21" s="332">
        <v>22126</v>
      </c>
      <c r="B21" s="323">
        <v>12.7</v>
      </c>
      <c r="C21" s="323">
        <v>209.55</v>
      </c>
      <c r="D21" s="323">
        <v>1219.2</v>
      </c>
      <c r="E21" s="323">
        <v>166</v>
      </c>
      <c r="F21" s="330" t="s">
        <v>159</v>
      </c>
      <c r="G21" s="331">
        <v>46057</v>
      </c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6">
        <f t="shared" si="0"/>
        <v>166</v>
      </c>
      <c r="AN21" s="327">
        <f t="shared" si="1"/>
        <v>0.53861001955199994</v>
      </c>
      <c r="AO21" s="323"/>
      <c r="AP21" s="323">
        <v>650</v>
      </c>
      <c r="AQ21" s="328">
        <f t="shared" si="2"/>
        <v>11016.346926802724</v>
      </c>
    </row>
    <row r="22" spans="1:43">
      <c r="A22" s="332">
        <v>22126</v>
      </c>
      <c r="B22" s="323">
        <v>12.7</v>
      </c>
      <c r="C22" s="323">
        <v>209.55</v>
      </c>
      <c r="D22" s="323">
        <v>1219.2</v>
      </c>
      <c r="E22" s="323">
        <v>166</v>
      </c>
      <c r="F22" s="330" t="s">
        <v>159</v>
      </c>
      <c r="G22" s="331">
        <v>46057</v>
      </c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  <c r="AK22" s="323"/>
      <c r="AL22" s="323"/>
      <c r="AM22" s="326">
        <f t="shared" si="0"/>
        <v>166</v>
      </c>
      <c r="AN22" s="327">
        <f t="shared" si="1"/>
        <v>0.53861001955199994</v>
      </c>
      <c r="AO22" s="323"/>
      <c r="AP22" s="323">
        <v>650</v>
      </c>
      <c r="AQ22" s="328">
        <f t="shared" si="2"/>
        <v>11016.346926802724</v>
      </c>
    </row>
    <row r="23" spans="1:43">
      <c r="A23" s="332">
        <v>22126</v>
      </c>
      <c r="B23" s="323">
        <v>12.7</v>
      </c>
      <c r="C23" s="323">
        <v>209.55</v>
      </c>
      <c r="D23" s="323">
        <v>1219.2</v>
      </c>
      <c r="E23" s="323">
        <v>166</v>
      </c>
      <c r="F23" s="330" t="s">
        <v>159</v>
      </c>
      <c r="G23" s="331">
        <v>46057</v>
      </c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6">
        <f t="shared" si="0"/>
        <v>166</v>
      </c>
      <c r="AN23" s="327">
        <f t="shared" si="1"/>
        <v>0.53861001955199994</v>
      </c>
      <c r="AO23" s="323"/>
      <c r="AP23" s="323">
        <v>650</v>
      </c>
      <c r="AQ23" s="328">
        <f t="shared" si="2"/>
        <v>11016.346926802724</v>
      </c>
    </row>
    <row r="24" spans="1:43">
      <c r="A24" s="332">
        <v>22126</v>
      </c>
      <c r="B24" s="323">
        <v>12.7</v>
      </c>
      <c r="C24" s="323">
        <v>209.55</v>
      </c>
      <c r="D24" s="323">
        <v>1219.2</v>
      </c>
      <c r="E24" s="323">
        <v>166</v>
      </c>
      <c r="F24" s="330" t="s">
        <v>159</v>
      </c>
      <c r="G24" s="331">
        <v>46057</v>
      </c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323"/>
      <c r="AK24" s="323"/>
      <c r="AL24" s="323"/>
      <c r="AM24" s="326">
        <f t="shared" si="0"/>
        <v>166</v>
      </c>
      <c r="AN24" s="327">
        <f t="shared" si="1"/>
        <v>0.53861001955199994</v>
      </c>
      <c r="AO24" s="323"/>
      <c r="AP24" s="323">
        <v>650</v>
      </c>
      <c r="AQ24" s="328">
        <f t="shared" si="2"/>
        <v>11016.346926802724</v>
      </c>
    </row>
    <row r="25" spans="1:43">
      <c r="A25" s="332">
        <v>22126</v>
      </c>
      <c r="B25" s="323">
        <v>12.7</v>
      </c>
      <c r="C25" s="323">
        <v>209.55</v>
      </c>
      <c r="D25" s="323">
        <v>1219.2</v>
      </c>
      <c r="E25" s="323">
        <v>332</v>
      </c>
      <c r="F25" s="330" t="s">
        <v>160</v>
      </c>
      <c r="G25" s="331">
        <v>46057</v>
      </c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323"/>
      <c r="AJ25" s="323"/>
      <c r="AK25" s="323"/>
      <c r="AL25" s="323"/>
      <c r="AM25" s="326">
        <f t="shared" si="0"/>
        <v>332</v>
      </c>
      <c r="AN25" s="327">
        <f t="shared" si="1"/>
        <v>1.0772200391039999</v>
      </c>
      <c r="AO25" s="323"/>
      <c r="AP25" s="323">
        <v>650</v>
      </c>
      <c r="AQ25" s="328">
        <f t="shared" si="2"/>
        <v>22032.693853605448</v>
      </c>
    </row>
    <row r="26" spans="1:43">
      <c r="A26" s="332">
        <v>22126</v>
      </c>
      <c r="B26" s="323">
        <v>12.7</v>
      </c>
      <c r="C26" s="323">
        <v>209.55</v>
      </c>
      <c r="D26" s="323">
        <v>1219.2</v>
      </c>
      <c r="E26" s="323">
        <v>332</v>
      </c>
      <c r="F26" s="330" t="s">
        <v>160</v>
      </c>
      <c r="G26" s="331">
        <v>46057</v>
      </c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  <c r="AK26" s="323"/>
      <c r="AL26" s="323"/>
      <c r="AM26" s="326">
        <f t="shared" si="0"/>
        <v>332</v>
      </c>
      <c r="AN26" s="327">
        <f t="shared" si="1"/>
        <v>1.0772200391039999</v>
      </c>
      <c r="AO26" s="323"/>
      <c r="AP26" s="323">
        <v>650</v>
      </c>
      <c r="AQ26" s="328">
        <f t="shared" si="2"/>
        <v>22032.693853605448</v>
      </c>
    </row>
    <row r="27" spans="1:43">
      <c r="A27" s="333">
        <v>22128</v>
      </c>
      <c r="B27" s="323">
        <v>12.7</v>
      </c>
      <c r="C27" s="323">
        <v>1100</v>
      </c>
      <c r="D27" s="323">
        <v>450.85</v>
      </c>
      <c r="E27" s="323">
        <v>172</v>
      </c>
      <c r="F27" s="330" t="s">
        <v>161</v>
      </c>
      <c r="G27" s="331">
        <v>45846</v>
      </c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>
        <v>82</v>
      </c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L27" s="323"/>
      <c r="AM27" s="326">
        <f t="shared" si="0"/>
        <v>90</v>
      </c>
      <c r="AN27" s="327">
        <f t="shared" si="1"/>
        <v>0.56685370499999999</v>
      </c>
      <c r="AO27" s="323"/>
      <c r="AP27" s="323">
        <v>630</v>
      </c>
      <c r="AQ27" s="328">
        <f>AN27*AP27*33.162</f>
        <v>11842.741616082298</v>
      </c>
    </row>
    <row r="28" spans="1:43">
      <c r="A28" s="333">
        <v>22128</v>
      </c>
      <c r="B28" s="323">
        <v>12.7</v>
      </c>
      <c r="C28" s="323">
        <v>1100</v>
      </c>
      <c r="D28" s="323">
        <v>450.85</v>
      </c>
      <c r="E28" s="323">
        <v>108</v>
      </c>
      <c r="F28" s="330" t="s">
        <v>161</v>
      </c>
      <c r="G28" s="335">
        <v>45846</v>
      </c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3"/>
      <c r="AM28" s="326">
        <f t="shared" si="0"/>
        <v>108</v>
      </c>
      <c r="AN28" s="327">
        <f t="shared" si="1"/>
        <v>0.68022444599999998</v>
      </c>
      <c r="AO28" s="323"/>
      <c r="AP28" s="323">
        <v>630</v>
      </c>
      <c r="AQ28" s="328">
        <f>AN28*AP28*33.162</f>
        <v>14211.28993929876</v>
      </c>
    </row>
    <row r="29" spans="1:43">
      <c r="A29" s="334">
        <v>22131</v>
      </c>
      <c r="B29" s="323">
        <v>12.7</v>
      </c>
      <c r="C29" s="323">
        <v>209.6</v>
      </c>
      <c r="D29" s="323">
        <v>450.9</v>
      </c>
      <c r="E29" s="323">
        <v>500</v>
      </c>
      <c r="F29" s="324" t="s">
        <v>158</v>
      </c>
      <c r="G29" s="336">
        <v>45744</v>
      </c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6">
        <f t="shared" si="0"/>
        <v>500</v>
      </c>
      <c r="AN29" s="327">
        <f t="shared" si="1"/>
        <v>0.6001298639999999</v>
      </c>
      <c r="AO29" s="323">
        <v>0.876</v>
      </c>
      <c r="AP29" s="323"/>
      <c r="AQ29" s="328">
        <f>AO29*AM29*33.8617</f>
        <v>14831.4246</v>
      </c>
    </row>
    <row r="30" spans="1:43">
      <c r="A30" s="334">
        <v>22131</v>
      </c>
      <c r="B30" s="323">
        <v>12.7</v>
      </c>
      <c r="C30" s="323">
        <v>209.6</v>
      </c>
      <c r="D30" s="323">
        <v>450.9</v>
      </c>
      <c r="E30" s="323">
        <v>500</v>
      </c>
      <c r="F30" s="324" t="s">
        <v>158</v>
      </c>
      <c r="G30" s="336">
        <v>45744</v>
      </c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6">
        <f t="shared" si="0"/>
        <v>500</v>
      </c>
      <c r="AN30" s="327">
        <f t="shared" si="1"/>
        <v>0.6001298639999999</v>
      </c>
      <c r="AO30" s="323">
        <v>0.876</v>
      </c>
      <c r="AP30" s="323"/>
      <c r="AQ30" s="328">
        <f>AO30*AM30*33.8617</f>
        <v>14831.4246</v>
      </c>
    </row>
    <row r="31" spans="1:43">
      <c r="A31" s="334">
        <v>22133</v>
      </c>
      <c r="B31" s="323">
        <v>12.7</v>
      </c>
      <c r="C31" s="323">
        <v>108</v>
      </c>
      <c r="D31" s="323">
        <v>527.1</v>
      </c>
      <c r="E31" s="323">
        <v>750</v>
      </c>
      <c r="F31" s="324" t="s">
        <v>158</v>
      </c>
      <c r="G31" s="336">
        <v>45744</v>
      </c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23"/>
      <c r="AJ31" s="323"/>
      <c r="AK31" s="323"/>
      <c r="AL31" s="323"/>
      <c r="AM31" s="326">
        <f t="shared" si="0"/>
        <v>750</v>
      </c>
      <c r="AN31" s="327">
        <f t="shared" si="1"/>
        <v>0.54222777</v>
      </c>
      <c r="AO31" s="323">
        <v>0.52800000000000002</v>
      </c>
      <c r="AP31" s="323"/>
      <c r="AQ31" s="328">
        <f>AO31*AM31*33.8617</f>
        <v>13409.233199999999</v>
      </c>
    </row>
    <row r="32" spans="1:43">
      <c r="A32" s="334">
        <v>22134</v>
      </c>
      <c r="B32" s="323">
        <v>12.7</v>
      </c>
      <c r="C32" s="323">
        <v>158.80000000000001</v>
      </c>
      <c r="D32" s="323">
        <v>527.1</v>
      </c>
      <c r="E32" s="323">
        <v>480</v>
      </c>
      <c r="F32" s="324" t="s">
        <v>157</v>
      </c>
      <c r="G32" s="336">
        <v>45706</v>
      </c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  <c r="AK32" s="323"/>
      <c r="AL32" s="323"/>
      <c r="AM32" s="326">
        <f t="shared" si="0"/>
        <v>480</v>
      </c>
      <c r="AN32" s="327">
        <f t="shared" si="1"/>
        <v>0.51025641408</v>
      </c>
      <c r="AO32" s="327">
        <v>0.78</v>
      </c>
      <c r="AP32" s="327"/>
      <c r="AQ32" s="328">
        <f>AO32*AM32*34.3391</f>
        <v>12856.559040000002</v>
      </c>
    </row>
    <row r="33" spans="1:43">
      <c r="A33" s="333">
        <v>22135</v>
      </c>
      <c r="B33" s="323">
        <v>12.7</v>
      </c>
      <c r="C33" s="323">
        <v>1100</v>
      </c>
      <c r="D33" s="323">
        <v>527.04999999999995</v>
      </c>
      <c r="E33" s="323">
        <v>78</v>
      </c>
      <c r="F33" s="330" t="s">
        <v>161</v>
      </c>
      <c r="G33" s="335">
        <v>45846</v>
      </c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>
        <v>10</v>
      </c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6">
        <f t="shared" si="0"/>
        <v>68</v>
      </c>
      <c r="AN33" s="327">
        <f t="shared" si="1"/>
        <v>0.50067641799999996</v>
      </c>
      <c r="AO33" s="323"/>
      <c r="AP33" s="323">
        <v>630</v>
      </c>
      <c r="AQ33" s="328">
        <f>AN33*AP33*33.162</f>
        <v>10460.161765441078</v>
      </c>
    </row>
    <row r="34" spans="1:43">
      <c r="A34" s="337">
        <v>6028573</v>
      </c>
      <c r="B34" s="323">
        <v>15.9</v>
      </c>
      <c r="C34" s="323">
        <v>76.2</v>
      </c>
      <c r="D34" s="323">
        <v>762</v>
      </c>
      <c r="E34" s="323">
        <v>560</v>
      </c>
      <c r="F34" s="324" t="s">
        <v>162</v>
      </c>
      <c r="G34" s="338">
        <v>45681</v>
      </c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>
        <v>480</v>
      </c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6">
        <f t="shared" si="0"/>
        <v>80</v>
      </c>
      <c r="AN34" s="327">
        <f t="shared" si="1"/>
        <v>7.3857916800000006E-2</v>
      </c>
      <c r="AO34" s="327">
        <v>0.69</v>
      </c>
      <c r="AP34" s="327"/>
      <c r="AQ34" s="328">
        <f t="shared" ref="AQ34:AQ39" si="3">AO34*AM34*34.5438</f>
        <v>1906.8177599999997</v>
      </c>
    </row>
    <row r="35" spans="1:43">
      <c r="A35" s="337">
        <v>6028606</v>
      </c>
      <c r="B35" s="323">
        <v>15.9</v>
      </c>
      <c r="C35" s="323">
        <v>101.6</v>
      </c>
      <c r="D35" s="323">
        <v>762</v>
      </c>
      <c r="E35" s="323">
        <v>400</v>
      </c>
      <c r="F35" s="324" t="s">
        <v>162</v>
      </c>
      <c r="G35" s="338">
        <v>45681</v>
      </c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6">
        <f t="shared" si="0"/>
        <v>400</v>
      </c>
      <c r="AN35" s="327">
        <f t="shared" si="1"/>
        <v>0.49238611199999999</v>
      </c>
      <c r="AO35" s="327">
        <v>0.92</v>
      </c>
      <c r="AP35" s="327"/>
      <c r="AQ35" s="328">
        <f t="shared" si="3"/>
        <v>12712.118399999999</v>
      </c>
    </row>
    <row r="36" spans="1:43">
      <c r="A36" s="337">
        <v>6028606</v>
      </c>
      <c r="B36" s="323">
        <v>15.9</v>
      </c>
      <c r="C36" s="323">
        <v>101.6</v>
      </c>
      <c r="D36" s="323">
        <v>762</v>
      </c>
      <c r="E36" s="323">
        <v>400</v>
      </c>
      <c r="F36" s="324" t="s">
        <v>162</v>
      </c>
      <c r="G36" s="338">
        <v>45681</v>
      </c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  <c r="AK36" s="323"/>
      <c r="AL36" s="323"/>
      <c r="AM36" s="326">
        <f t="shared" si="0"/>
        <v>400</v>
      </c>
      <c r="AN36" s="327">
        <f t="shared" si="1"/>
        <v>0.49238611199999999</v>
      </c>
      <c r="AO36" s="327">
        <v>0.92</v>
      </c>
      <c r="AP36" s="327"/>
      <c r="AQ36" s="328">
        <f t="shared" si="3"/>
        <v>12712.118399999999</v>
      </c>
    </row>
    <row r="37" spans="1:43">
      <c r="A37" s="337">
        <v>6028606</v>
      </c>
      <c r="B37" s="323">
        <v>15.9</v>
      </c>
      <c r="C37" s="323">
        <v>101.6</v>
      </c>
      <c r="D37" s="323">
        <v>762</v>
      </c>
      <c r="E37" s="323">
        <v>400</v>
      </c>
      <c r="F37" s="324" t="s">
        <v>162</v>
      </c>
      <c r="G37" s="338">
        <v>45681</v>
      </c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  <c r="AK37" s="323"/>
      <c r="AL37" s="323"/>
      <c r="AM37" s="326">
        <f t="shared" si="0"/>
        <v>400</v>
      </c>
      <c r="AN37" s="327">
        <f t="shared" si="1"/>
        <v>0.49238611199999999</v>
      </c>
      <c r="AO37" s="327">
        <v>0.92</v>
      </c>
      <c r="AP37" s="327"/>
      <c r="AQ37" s="328">
        <f t="shared" si="3"/>
        <v>12712.118399999999</v>
      </c>
    </row>
    <row r="38" spans="1:43">
      <c r="A38" s="337">
        <v>6028606</v>
      </c>
      <c r="B38" s="323">
        <v>15.9</v>
      </c>
      <c r="C38" s="323">
        <v>101.6</v>
      </c>
      <c r="D38" s="323">
        <v>762</v>
      </c>
      <c r="E38" s="323">
        <v>400</v>
      </c>
      <c r="F38" s="323" t="s">
        <v>162</v>
      </c>
      <c r="G38" s="338">
        <v>45681</v>
      </c>
      <c r="H38" s="323"/>
      <c r="I38" s="323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323"/>
      <c r="AK38" s="323"/>
      <c r="AL38" s="323"/>
      <c r="AM38" s="326">
        <f t="shared" si="0"/>
        <v>400</v>
      </c>
      <c r="AN38" s="327">
        <f t="shared" si="1"/>
        <v>0.49238611199999999</v>
      </c>
      <c r="AO38" s="327">
        <v>0.92</v>
      </c>
      <c r="AP38" s="327"/>
      <c r="AQ38" s="328">
        <f t="shared" si="3"/>
        <v>12712.118399999999</v>
      </c>
    </row>
    <row r="39" spans="1:43">
      <c r="A39" s="337">
        <v>6028622</v>
      </c>
      <c r="B39" s="323">
        <v>15.9</v>
      </c>
      <c r="C39" s="323">
        <v>101.6</v>
      </c>
      <c r="D39" s="323">
        <v>939.8</v>
      </c>
      <c r="E39" s="323">
        <v>240</v>
      </c>
      <c r="F39" s="323" t="s">
        <v>162</v>
      </c>
      <c r="G39" s="338">
        <v>45681</v>
      </c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M39" s="326">
        <f t="shared" si="0"/>
        <v>240</v>
      </c>
      <c r="AN39" s="327">
        <f t="shared" si="1"/>
        <v>0.36436572288000002</v>
      </c>
      <c r="AO39" s="327">
        <v>1.1399999999999999</v>
      </c>
      <c r="AP39" s="327"/>
      <c r="AQ39" s="328">
        <f t="shared" si="3"/>
        <v>9451.1836799999983</v>
      </c>
    </row>
    <row r="40" spans="1:43">
      <c r="A40" s="333">
        <v>6028633</v>
      </c>
      <c r="B40" s="323">
        <v>15.9</v>
      </c>
      <c r="C40" s="323">
        <v>177.8</v>
      </c>
      <c r="D40" s="323">
        <v>939.8</v>
      </c>
      <c r="E40" s="323">
        <v>104</v>
      </c>
      <c r="F40" s="323" t="s">
        <v>163</v>
      </c>
      <c r="G40" s="335">
        <v>45888</v>
      </c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  <c r="AK40" s="323"/>
      <c r="AL40" s="323"/>
      <c r="AM40" s="326">
        <f t="shared" si="0"/>
        <v>104</v>
      </c>
      <c r="AN40" s="327">
        <f t="shared" si="1"/>
        <v>0.27631067318399999</v>
      </c>
      <c r="AO40" s="323"/>
      <c r="AP40" s="323">
        <v>735</v>
      </c>
      <c r="AQ40" s="328">
        <f>AN40*AP40*32.4608</f>
        <v>6592.4101425670224</v>
      </c>
    </row>
    <row r="41" spans="1:43">
      <c r="A41" s="337">
        <v>6028676</v>
      </c>
      <c r="B41" s="323">
        <v>15.9</v>
      </c>
      <c r="C41" s="323">
        <v>254</v>
      </c>
      <c r="D41" s="323">
        <v>762</v>
      </c>
      <c r="E41" s="323">
        <v>160</v>
      </c>
      <c r="F41" s="323" t="s">
        <v>162</v>
      </c>
      <c r="G41" s="338">
        <v>45681</v>
      </c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  <c r="AK41" s="323"/>
      <c r="AL41" s="323"/>
      <c r="AM41" s="326">
        <f t="shared" si="0"/>
        <v>160</v>
      </c>
      <c r="AN41" s="327">
        <f t="shared" si="1"/>
        <v>0.49238611199999993</v>
      </c>
      <c r="AO41" s="327">
        <v>2.31</v>
      </c>
      <c r="AP41" s="327"/>
      <c r="AQ41" s="328">
        <f>AO41*AM41*34.5438</f>
        <v>12767.38848</v>
      </c>
    </row>
    <row r="42" spans="1:43">
      <c r="A42" s="337">
        <v>6028676</v>
      </c>
      <c r="B42" s="323">
        <v>15.9</v>
      </c>
      <c r="C42" s="323">
        <v>254</v>
      </c>
      <c r="D42" s="323">
        <v>762</v>
      </c>
      <c r="E42" s="323">
        <v>160</v>
      </c>
      <c r="F42" s="323" t="s">
        <v>162</v>
      </c>
      <c r="G42" s="338">
        <v>45681</v>
      </c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  <c r="AE42" s="323"/>
      <c r="AF42" s="323"/>
      <c r="AG42" s="323"/>
      <c r="AH42" s="323"/>
      <c r="AI42" s="323"/>
      <c r="AJ42" s="323"/>
      <c r="AK42" s="323"/>
      <c r="AL42" s="323"/>
      <c r="AM42" s="326">
        <f t="shared" si="0"/>
        <v>160</v>
      </c>
      <c r="AN42" s="327">
        <f t="shared" si="1"/>
        <v>0.49238611199999993</v>
      </c>
      <c r="AO42" s="327">
        <v>2.31</v>
      </c>
      <c r="AP42" s="327"/>
      <c r="AQ42" s="328">
        <f>AO42*AM42*34.5438</f>
        <v>12767.38848</v>
      </c>
    </row>
    <row r="43" spans="1:43">
      <c r="A43" s="337">
        <v>6028676</v>
      </c>
      <c r="B43" s="323">
        <v>15.9</v>
      </c>
      <c r="C43" s="323">
        <v>254</v>
      </c>
      <c r="D43" s="323">
        <v>762</v>
      </c>
      <c r="E43" s="323">
        <v>160</v>
      </c>
      <c r="F43" s="323" t="s">
        <v>162</v>
      </c>
      <c r="G43" s="338">
        <v>45681</v>
      </c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3"/>
      <c r="AM43" s="326">
        <f t="shared" si="0"/>
        <v>160</v>
      </c>
      <c r="AN43" s="327">
        <f t="shared" si="1"/>
        <v>0.49238611199999993</v>
      </c>
      <c r="AO43" s="327">
        <v>2.31</v>
      </c>
      <c r="AP43" s="327"/>
      <c r="AQ43" s="328">
        <f>AO43*AM43*34.5438</f>
        <v>12767.38848</v>
      </c>
    </row>
    <row r="44" spans="1:43">
      <c r="A44" s="337">
        <v>6028676</v>
      </c>
      <c r="B44" s="323">
        <v>15.9</v>
      </c>
      <c r="C44" s="323">
        <v>254</v>
      </c>
      <c r="D44" s="323">
        <v>762</v>
      </c>
      <c r="E44" s="323">
        <v>160</v>
      </c>
      <c r="F44" s="323" t="s">
        <v>162</v>
      </c>
      <c r="G44" s="338">
        <v>45681</v>
      </c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  <c r="AK44" s="323"/>
      <c r="AL44" s="323"/>
      <c r="AM44" s="326">
        <f t="shared" si="0"/>
        <v>160</v>
      </c>
      <c r="AN44" s="327">
        <f t="shared" si="1"/>
        <v>0.49238611199999993</v>
      </c>
      <c r="AO44" s="327">
        <v>2.31</v>
      </c>
      <c r="AP44" s="327"/>
      <c r="AQ44" s="328">
        <f>AO44*AM44*34.5438</f>
        <v>12767.38848</v>
      </c>
    </row>
    <row r="45" spans="1:43">
      <c r="A45" s="333">
        <v>6028676</v>
      </c>
      <c r="B45" s="323">
        <v>15.9</v>
      </c>
      <c r="C45" s="323">
        <v>254</v>
      </c>
      <c r="D45" s="323">
        <v>762</v>
      </c>
      <c r="E45" s="323">
        <v>308</v>
      </c>
      <c r="F45" s="323" t="s">
        <v>163</v>
      </c>
      <c r="G45" s="335">
        <v>45888</v>
      </c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6">
        <f t="shared" si="0"/>
        <v>308</v>
      </c>
      <c r="AN45" s="327">
        <f t="shared" si="1"/>
        <v>0.94784326559999987</v>
      </c>
      <c r="AO45" s="323"/>
      <c r="AP45" s="323">
        <v>735</v>
      </c>
      <c r="AQ45" s="328">
        <f>AN45*AP45*32.4608</f>
        <v>22614.296746851527</v>
      </c>
    </row>
    <row r="46" spans="1:43">
      <c r="A46" s="333">
        <v>6028676</v>
      </c>
      <c r="B46" s="323">
        <v>15.9</v>
      </c>
      <c r="C46" s="323">
        <v>254</v>
      </c>
      <c r="D46" s="323">
        <v>762</v>
      </c>
      <c r="E46" s="323">
        <v>12</v>
      </c>
      <c r="F46" s="323" t="s">
        <v>163</v>
      </c>
      <c r="G46" s="335">
        <v>45888</v>
      </c>
      <c r="H46" s="323"/>
      <c r="I46" s="323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323"/>
      <c r="AK46" s="323"/>
      <c r="AL46" s="323"/>
      <c r="AM46" s="326">
        <f t="shared" si="0"/>
        <v>12</v>
      </c>
      <c r="AN46" s="327">
        <f t="shared" si="1"/>
        <v>3.6928958399999996E-2</v>
      </c>
      <c r="AO46" s="323"/>
      <c r="AP46" s="323">
        <v>735</v>
      </c>
      <c r="AQ46" s="328">
        <f>AN46*AP46*32.4608</f>
        <v>881.07649663057907</v>
      </c>
    </row>
    <row r="47" spans="1:43">
      <c r="A47" s="337">
        <v>6062020</v>
      </c>
      <c r="B47" s="323">
        <v>15.9</v>
      </c>
      <c r="C47" s="323">
        <v>101.6</v>
      </c>
      <c r="D47" s="323">
        <v>444.5</v>
      </c>
      <c r="E47" s="323">
        <v>640</v>
      </c>
      <c r="F47" s="323" t="s">
        <v>162</v>
      </c>
      <c r="G47" s="338">
        <v>45681</v>
      </c>
      <c r="H47" s="323">
        <v>610</v>
      </c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323"/>
      <c r="AK47" s="323"/>
      <c r="AL47" s="323"/>
      <c r="AM47" s="339">
        <f t="shared" si="0"/>
        <v>30</v>
      </c>
      <c r="AN47" s="327">
        <f t="shared" si="1"/>
        <v>2.1541892400000002E-2</v>
      </c>
      <c r="AO47" s="327">
        <v>0.54</v>
      </c>
      <c r="AP47" s="327"/>
      <c r="AQ47" s="328">
        <f>AO47*AM47*34.5438</f>
        <v>559.6095600000001</v>
      </c>
    </row>
    <row r="48" spans="1:43">
      <c r="A48" s="337">
        <v>6062034</v>
      </c>
      <c r="B48" s="323">
        <v>15.9</v>
      </c>
      <c r="C48" s="323">
        <v>177.8</v>
      </c>
      <c r="D48" s="323">
        <v>520.70000000000005</v>
      </c>
      <c r="E48" s="323">
        <v>320</v>
      </c>
      <c r="F48" s="323" t="s">
        <v>162</v>
      </c>
      <c r="G48" s="338">
        <v>45681</v>
      </c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  <c r="AG48" s="323"/>
      <c r="AH48" s="323"/>
      <c r="AI48" s="323"/>
      <c r="AJ48" s="323"/>
      <c r="AK48" s="323"/>
      <c r="AL48" s="323"/>
      <c r="AM48" s="326">
        <f t="shared" si="0"/>
        <v>320</v>
      </c>
      <c r="AN48" s="327">
        <f t="shared" si="1"/>
        <v>0.47104938048000006</v>
      </c>
      <c r="AO48" s="327">
        <v>1.1000000000000001</v>
      </c>
      <c r="AP48" s="327"/>
      <c r="AQ48" s="328">
        <f>AO48*AM48*34.5438</f>
        <v>12159.417599999999</v>
      </c>
    </row>
    <row r="49" spans="1:43">
      <c r="A49" s="337">
        <v>6062044</v>
      </c>
      <c r="B49" s="323">
        <v>15.9</v>
      </c>
      <c r="C49" s="323">
        <v>254</v>
      </c>
      <c r="D49" s="323">
        <v>520.70000000000005</v>
      </c>
      <c r="E49" s="323">
        <v>240</v>
      </c>
      <c r="F49" s="323" t="s">
        <v>162</v>
      </c>
      <c r="G49" s="338">
        <v>45681</v>
      </c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323"/>
      <c r="AK49" s="323"/>
      <c r="AL49" s="323"/>
      <c r="AM49" s="326">
        <f t="shared" si="0"/>
        <v>240</v>
      </c>
      <c r="AN49" s="327">
        <f t="shared" si="1"/>
        <v>0.5046957648</v>
      </c>
      <c r="AO49" s="327">
        <v>1.58</v>
      </c>
      <c r="AP49" s="327"/>
      <c r="AQ49" s="328">
        <f>AO49*AM49*34.5438</f>
        <v>13099.008960000001</v>
      </c>
    </row>
    <row r="50" spans="1:43">
      <c r="A50" s="323" t="s">
        <v>164</v>
      </c>
      <c r="B50" s="323">
        <v>15.9</v>
      </c>
      <c r="C50" s="323">
        <v>1100</v>
      </c>
      <c r="D50" s="323">
        <v>620</v>
      </c>
      <c r="E50" s="323">
        <v>6</v>
      </c>
      <c r="F50" s="323" t="s">
        <v>165</v>
      </c>
      <c r="G50" s="336">
        <v>45828</v>
      </c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3"/>
      <c r="AM50" s="326">
        <f t="shared" si="0"/>
        <v>6</v>
      </c>
      <c r="AN50" s="327">
        <f t="shared" si="1"/>
        <v>6.5062800000000004E-2</v>
      </c>
      <c r="AO50" s="323"/>
      <c r="AP50" s="323">
        <v>680</v>
      </c>
      <c r="AQ50" s="328">
        <f>AP50*AN50*33.162</f>
        <v>1467.1765500480001</v>
      </c>
    </row>
    <row r="51" spans="1:43">
      <c r="A51" s="323" t="s">
        <v>166</v>
      </c>
      <c r="B51" s="323">
        <v>15.9</v>
      </c>
      <c r="C51" s="323">
        <v>1100</v>
      </c>
      <c r="D51" s="323">
        <v>647.70000000000005</v>
      </c>
      <c r="E51" s="323">
        <v>14</v>
      </c>
      <c r="F51" s="333" t="s">
        <v>167</v>
      </c>
      <c r="G51" s="335">
        <v>45846</v>
      </c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  <c r="AK51" s="323"/>
      <c r="AL51" s="323"/>
      <c r="AM51" s="326">
        <f t="shared" si="0"/>
        <v>14</v>
      </c>
      <c r="AN51" s="327">
        <f t="shared" si="1"/>
        <v>0.158595822</v>
      </c>
      <c r="AO51" s="323"/>
      <c r="AP51" s="323">
        <v>680</v>
      </c>
      <c r="AQ51" s="328">
        <f>AN51*AP51*33.162</f>
        <v>3576.3611614315196</v>
      </c>
    </row>
    <row r="52" spans="1:43">
      <c r="A52" s="323" t="s">
        <v>166</v>
      </c>
      <c r="B52" s="323">
        <v>15.9</v>
      </c>
      <c r="C52" s="323">
        <v>1100</v>
      </c>
      <c r="D52" s="323">
        <v>647.70000000000005</v>
      </c>
      <c r="E52" s="323">
        <v>95</v>
      </c>
      <c r="F52" s="333" t="s">
        <v>167</v>
      </c>
      <c r="G52" s="335">
        <v>45846</v>
      </c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3"/>
      <c r="AE52" s="323"/>
      <c r="AF52" s="323"/>
      <c r="AG52" s="323"/>
      <c r="AH52" s="323"/>
      <c r="AI52" s="323"/>
      <c r="AJ52" s="323"/>
      <c r="AK52" s="323"/>
      <c r="AL52" s="323"/>
      <c r="AM52" s="326">
        <f t="shared" si="0"/>
        <v>95</v>
      </c>
      <c r="AN52" s="327">
        <f t="shared" si="1"/>
        <v>1.076185935</v>
      </c>
      <c r="AO52" s="323"/>
      <c r="AP52" s="323">
        <v>680</v>
      </c>
      <c r="AQ52" s="328">
        <f>AN52*AP52*33.162</f>
        <v>24268.165023999602</v>
      </c>
    </row>
    <row r="53" spans="1:43">
      <c r="A53" s="323" t="s">
        <v>166</v>
      </c>
      <c r="B53" s="323">
        <v>15.9</v>
      </c>
      <c r="C53" s="323">
        <v>1100</v>
      </c>
      <c r="D53" s="323">
        <v>647.70000000000005</v>
      </c>
      <c r="E53" s="323">
        <v>6</v>
      </c>
      <c r="F53" s="333" t="s">
        <v>167</v>
      </c>
      <c r="G53" s="335">
        <v>45846</v>
      </c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323"/>
      <c r="AK53" s="323"/>
      <c r="AL53" s="323"/>
      <c r="AM53" s="326">
        <f t="shared" si="0"/>
        <v>6</v>
      </c>
      <c r="AN53" s="327">
        <f t="shared" si="1"/>
        <v>6.7969637999999999E-2</v>
      </c>
      <c r="AO53" s="323"/>
      <c r="AP53" s="323">
        <v>680</v>
      </c>
      <c r="AQ53" s="328">
        <f>AN53*AP53*33.162</f>
        <v>1532.7262120420799</v>
      </c>
    </row>
    <row r="54" spans="1:43">
      <c r="A54" s="323" t="s">
        <v>168</v>
      </c>
      <c r="B54" s="323">
        <v>15.9</v>
      </c>
      <c r="C54" s="323">
        <v>1100</v>
      </c>
      <c r="D54" s="323">
        <v>294.8</v>
      </c>
      <c r="E54" s="323">
        <v>25</v>
      </c>
      <c r="F54" s="333" t="s">
        <v>167</v>
      </c>
      <c r="G54" s="335">
        <v>45846</v>
      </c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>
        <v>4</v>
      </c>
      <c r="Z54" s="323"/>
      <c r="AA54" s="323"/>
      <c r="AB54" s="323"/>
      <c r="AC54" s="323"/>
      <c r="AD54" s="323"/>
      <c r="AE54" s="323"/>
      <c r="AF54" s="323"/>
      <c r="AG54" s="323"/>
      <c r="AH54" s="323"/>
      <c r="AI54" s="323"/>
      <c r="AJ54" s="323"/>
      <c r="AK54" s="323"/>
      <c r="AL54" s="323"/>
      <c r="AM54" s="326">
        <f t="shared" si="0"/>
        <v>21</v>
      </c>
      <c r="AN54" s="327">
        <f t="shared" si="1"/>
        <v>0.10827709200000001</v>
      </c>
      <c r="AO54" s="323"/>
      <c r="AP54" s="323">
        <v>680</v>
      </c>
      <c r="AQ54" s="328">
        <f>AN54*AP54*33.162</f>
        <v>2441.6657489347199</v>
      </c>
    </row>
    <row r="55" spans="1:43">
      <c r="A55" s="323" t="s">
        <v>169</v>
      </c>
      <c r="B55" s="323">
        <v>15.9</v>
      </c>
      <c r="C55" s="323">
        <v>1100</v>
      </c>
      <c r="D55" s="323">
        <v>620</v>
      </c>
      <c r="E55" s="323">
        <v>56</v>
      </c>
      <c r="F55" s="333" t="s">
        <v>167</v>
      </c>
      <c r="G55" s="335">
        <v>45846</v>
      </c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>
        <v>19</v>
      </c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3"/>
      <c r="AL55" s="323"/>
      <c r="AM55" s="326">
        <f t="shared" si="0"/>
        <v>37</v>
      </c>
      <c r="AN55" s="327">
        <f t="shared" si="1"/>
        <v>0.40122059999999998</v>
      </c>
      <c r="AO55" s="323"/>
      <c r="AP55" s="323">
        <v>680</v>
      </c>
      <c r="AQ55" s="328">
        <f>AN55*AP55*33.162</f>
        <v>9047.5887252959983</v>
      </c>
    </row>
    <row r="56" spans="1:43">
      <c r="A56" s="333" t="s">
        <v>170</v>
      </c>
      <c r="B56" s="323">
        <v>15.9</v>
      </c>
      <c r="C56" s="323">
        <v>203</v>
      </c>
      <c r="D56" s="323">
        <v>447.2</v>
      </c>
      <c r="E56" s="340">
        <v>350</v>
      </c>
      <c r="F56" s="340" t="s">
        <v>171</v>
      </c>
      <c r="G56" s="336">
        <v>45723</v>
      </c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  <c r="AF56" s="323"/>
      <c r="AG56" s="323"/>
      <c r="AH56" s="323"/>
      <c r="AI56" s="323">
        <v>304</v>
      </c>
      <c r="AJ56" s="323"/>
      <c r="AK56" s="323"/>
      <c r="AL56" s="323"/>
      <c r="AM56" s="326">
        <f t="shared" si="0"/>
        <v>46</v>
      </c>
      <c r="AN56" s="327">
        <f t="shared" si="1"/>
        <v>6.6397662240000016E-2</v>
      </c>
      <c r="AO56" s="323">
        <v>1.08</v>
      </c>
      <c r="AP56" s="323"/>
      <c r="AQ56" s="328">
        <f>AO56*AM56*34.3391</f>
        <v>1705.9664880000003</v>
      </c>
    </row>
    <row r="57" spans="1:43">
      <c r="A57" s="323" t="s">
        <v>172</v>
      </c>
      <c r="B57" s="323">
        <v>15.9</v>
      </c>
      <c r="C57" s="323">
        <v>1100</v>
      </c>
      <c r="D57" s="323">
        <v>752</v>
      </c>
      <c r="E57" s="323">
        <v>71</v>
      </c>
      <c r="F57" s="333" t="s">
        <v>167</v>
      </c>
      <c r="G57" s="335">
        <v>45846</v>
      </c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323"/>
      <c r="AK57" s="323"/>
      <c r="AL57" s="323"/>
      <c r="AM57" s="326">
        <f t="shared" si="0"/>
        <v>71</v>
      </c>
      <c r="AN57" s="327">
        <f t="shared" si="1"/>
        <v>0.93382608</v>
      </c>
      <c r="AO57" s="323"/>
      <c r="AP57" s="323">
        <v>680</v>
      </c>
      <c r="AQ57" s="328">
        <f>AN57*AP57*33.162</f>
        <v>21057.9275161728</v>
      </c>
    </row>
    <row r="58" spans="1:43">
      <c r="A58" s="323" t="s">
        <v>172</v>
      </c>
      <c r="B58" s="323">
        <v>15.9</v>
      </c>
      <c r="C58" s="323">
        <v>1100</v>
      </c>
      <c r="D58" s="323">
        <v>752</v>
      </c>
      <c r="E58" s="323">
        <v>8</v>
      </c>
      <c r="F58" s="333" t="s">
        <v>167</v>
      </c>
      <c r="G58" s="335">
        <v>45846</v>
      </c>
      <c r="H58" s="323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323"/>
      <c r="AK58" s="323"/>
      <c r="AL58" s="323"/>
      <c r="AM58" s="326">
        <f t="shared" si="0"/>
        <v>8</v>
      </c>
      <c r="AN58" s="327">
        <f t="shared" si="1"/>
        <v>0.10521984</v>
      </c>
      <c r="AO58" s="323"/>
      <c r="AP58" s="323">
        <v>680</v>
      </c>
      <c r="AQ58" s="328">
        <f>AN58*AP58*33.162</f>
        <v>2372.7242271743999</v>
      </c>
    </row>
    <row r="59" spans="1:43">
      <c r="A59" s="323" t="s">
        <v>173</v>
      </c>
      <c r="B59" s="323">
        <v>15.9</v>
      </c>
      <c r="C59" s="323">
        <v>1100</v>
      </c>
      <c r="D59" s="323">
        <v>570</v>
      </c>
      <c r="E59" s="323">
        <v>15</v>
      </c>
      <c r="F59" s="323" t="s">
        <v>165</v>
      </c>
      <c r="G59" s="336">
        <v>45828</v>
      </c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  <c r="AK59" s="323"/>
      <c r="AL59" s="323"/>
      <c r="AM59" s="326">
        <f t="shared" si="0"/>
        <v>15</v>
      </c>
      <c r="AN59" s="327">
        <f t="shared" si="1"/>
        <v>0.14953949999999999</v>
      </c>
      <c r="AO59" s="323"/>
      <c r="AP59" s="323">
        <v>680</v>
      </c>
      <c r="AQ59" s="328">
        <f>AP59*AN59*33.162</f>
        <v>3372.1396513199998</v>
      </c>
    </row>
    <row r="60" spans="1:43">
      <c r="A60" s="323" t="s">
        <v>173</v>
      </c>
      <c r="B60" s="323">
        <v>15.9</v>
      </c>
      <c r="C60" s="323">
        <v>1100</v>
      </c>
      <c r="D60" s="323">
        <v>570</v>
      </c>
      <c r="E60" s="323">
        <v>15</v>
      </c>
      <c r="F60" s="323" t="s">
        <v>165</v>
      </c>
      <c r="G60" s="336">
        <v>45828</v>
      </c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  <c r="AE60" s="323"/>
      <c r="AF60" s="323"/>
      <c r="AG60" s="323"/>
      <c r="AH60" s="323"/>
      <c r="AI60" s="323"/>
      <c r="AJ60" s="323"/>
      <c r="AK60" s="323"/>
      <c r="AL60" s="323"/>
      <c r="AM60" s="326">
        <f t="shared" si="0"/>
        <v>15</v>
      </c>
      <c r="AN60" s="327">
        <f t="shared" si="1"/>
        <v>0.14953949999999999</v>
      </c>
      <c r="AO60" s="323"/>
      <c r="AP60" s="323">
        <v>680</v>
      </c>
      <c r="AQ60" s="328">
        <f>AP60*AN60*33.162</f>
        <v>3372.1396513199998</v>
      </c>
    </row>
    <row r="61" spans="1:43">
      <c r="A61" s="341" t="s">
        <v>174</v>
      </c>
      <c r="B61" s="323">
        <v>15.875</v>
      </c>
      <c r="C61" s="323">
        <v>1100</v>
      </c>
      <c r="D61" s="323">
        <v>1524</v>
      </c>
      <c r="E61" s="323">
        <v>11</v>
      </c>
      <c r="F61" s="333" t="s">
        <v>160</v>
      </c>
      <c r="G61" s="335">
        <v>46057</v>
      </c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  <c r="AG61" s="323"/>
      <c r="AH61" s="323"/>
      <c r="AI61" s="323"/>
      <c r="AJ61" s="323"/>
      <c r="AK61" s="323"/>
      <c r="AL61" s="323"/>
      <c r="AM61" s="326">
        <f t="shared" si="0"/>
        <v>11</v>
      </c>
      <c r="AN61" s="327">
        <f t="shared" si="1"/>
        <v>0.29274135000000001</v>
      </c>
      <c r="AO61" s="323"/>
      <c r="AP61" s="323">
        <v>850</v>
      </c>
      <c r="AQ61" s="328">
        <f>AN61*AP61*31.4666</f>
        <v>7829.8387193235003</v>
      </c>
    </row>
    <row r="62" spans="1:43">
      <c r="A62" s="341" t="s">
        <v>175</v>
      </c>
      <c r="B62" s="323">
        <v>15.875</v>
      </c>
      <c r="C62" s="323">
        <v>152.4</v>
      </c>
      <c r="D62" s="323">
        <v>1524</v>
      </c>
      <c r="E62" s="323">
        <v>497</v>
      </c>
      <c r="F62" s="333" t="s">
        <v>160</v>
      </c>
      <c r="G62" s="335">
        <v>46057</v>
      </c>
      <c r="H62" s="323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3"/>
      <c r="AE62" s="323"/>
      <c r="AF62" s="323"/>
      <c r="AG62" s="323"/>
      <c r="AH62" s="323"/>
      <c r="AI62" s="323"/>
      <c r="AJ62" s="323"/>
      <c r="AK62" s="323"/>
      <c r="AL62" s="323"/>
      <c r="AM62" s="326">
        <f t="shared" si="0"/>
        <v>497</v>
      </c>
      <c r="AN62" s="327">
        <f t="shared" si="1"/>
        <v>1.8324834318000001</v>
      </c>
      <c r="AO62" s="323"/>
      <c r="AP62" s="323">
        <v>850</v>
      </c>
      <c r="AQ62" s="328">
        <f>AN62*AP62*31.4666</f>
        <v>49012.719681816197</v>
      </c>
    </row>
    <row r="63" spans="1:43">
      <c r="A63" s="341" t="s">
        <v>176</v>
      </c>
      <c r="B63" s="323">
        <v>15.875</v>
      </c>
      <c r="C63" s="323">
        <v>1100</v>
      </c>
      <c r="D63" s="323">
        <v>1524</v>
      </c>
      <c r="E63" s="323">
        <v>60</v>
      </c>
      <c r="F63" s="333" t="s">
        <v>160</v>
      </c>
      <c r="G63" s="335">
        <v>46057</v>
      </c>
      <c r="H63" s="323"/>
      <c r="I63" s="323"/>
      <c r="J63" s="323"/>
      <c r="K63" s="323"/>
      <c r="L63" s="323"/>
      <c r="M63" s="323"/>
      <c r="N63" s="323"/>
      <c r="O63" s="323"/>
      <c r="P63" s="323"/>
      <c r="Q63" s="323"/>
      <c r="R63" s="323">
        <v>42</v>
      </c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  <c r="AE63" s="323"/>
      <c r="AF63" s="323"/>
      <c r="AG63" s="323"/>
      <c r="AH63" s="323"/>
      <c r="AI63" s="323"/>
      <c r="AJ63" s="323"/>
      <c r="AK63" s="323"/>
      <c r="AL63" s="323"/>
      <c r="AM63" s="326">
        <f t="shared" si="0"/>
        <v>18</v>
      </c>
      <c r="AN63" s="327">
        <f t="shared" si="1"/>
        <v>0.47903129999999999</v>
      </c>
      <c r="AO63" s="323"/>
      <c r="AP63" s="323">
        <v>850</v>
      </c>
      <c r="AQ63" s="328">
        <f>AN63*AP63*31.4666</f>
        <v>12812.463358892999</v>
      </c>
    </row>
    <row r="64" spans="1:43">
      <c r="A64" s="341" t="s">
        <v>177</v>
      </c>
      <c r="B64" s="323">
        <v>9</v>
      </c>
      <c r="C64" s="323">
        <v>78.8</v>
      </c>
      <c r="D64" s="323">
        <v>216.6</v>
      </c>
      <c r="E64" s="323">
        <v>560</v>
      </c>
      <c r="F64" s="323" t="s">
        <v>178</v>
      </c>
      <c r="G64" s="335">
        <v>45962</v>
      </c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  <c r="AB64" s="323"/>
      <c r="AC64" s="323"/>
      <c r="AD64" s="323"/>
      <c r="AE64" s="323"/>
      <c r="AF64" s="323"/>
      <c r="AG64" s="323"/>
      <c r="AH64" s="323"/>
      <c r="AI64" s="323"/>
      <c r="AJ64" s="323"/>
      <c r="AK64" s="323"/>
      <c r="AL64" s="323"/>
      <c r="AM64" s="326">
        <f t="shared" si="0"/>
        <v>560</v>
      </c>
      <c r="AN64" s="327">
        <f t="shared" si="1"/>
        <v>8.6023123199999982E-2</v>
      </c>
      <c r="AO64" s="323"/>
      <c r="AP64" s="323">
        <v>996.74540000000002</v>
      </c>
      <c r="AQ64" s="328">
        <f>AP64*AN64*31.9788</f>
        <v>2741.9631201537877</v>
      </c>
    </row>
    <row r="65" spans="1:43">
      <c r="A65" s="341" t="s">
        <v>177</v>
      </c>
      <c r="B65" s="323">
        <v>13</v>
      </c>
      <c r="C65" s="323">
        <v>86.12</v>
      </c>
      <c r="D65" s="323">
        <v>216.6</v>
      </c>
      <c r="E65" s="323">
        <v>400</v>
      </c>
      <c r="F65" s="323" t="s">
        <v>178</v>
      </c>
      <c r="G65" s="335">
        <v>45962</v>
      </c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  <c r="AE65" s="323"/>
      <c r="AF65" s="323"/>
      <c r="AG65" s="323"/>
      <c r="AH65" s="323"/>
      <c r="AI65" s="323"/>
      <c r="AJ65" s="323"/>
      <c r="AK65" s="323"/>
      <c r="AL65" s="323"/>
      <c r="AM65" s="326">
        <f t="shared" si="0"/>
        <v>400</v>
      </c>
      <c r="AN65" s="327">
        <f t="shared" si="1"/>
        <v>9.699867840000001E-2</v>
      </c>
      <c r="AO65" s="323"/>
      <c r="AP65" s="323">
        <v>996.74540000000002</v>
      </c>
      <c r="AQ65" s="328">
        <f>AP65*AN65*31.9788</f>
        <v>3091.8058887271127</v>
      </c>
    </row>
    <row r="66" spans="1:43">
      <c r="A66" s="341" t="s">
        <v>177</v>
      </c>
      <c r="B66" s="323">
        <v>79.8</v>
      </c>
      <c r="C66" s="323">
        <v>9</v>
      </c>
      <c r="D66" s="323">
        <v>292.8</v>
      </c>
      <c r="E66" s="323">
        <v>580</v>
      </c>
      <c r="F66" s="333" t="s">
        <v>179</v>
      </c>
      <c r="G66" s="335">
        <v>46044</v>
      </c>
      <c r="H66" s="323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  <c r="AE66" s="323"/>
      <c r="AF66" s="323"/>
      <c r="AG66" s="323"/>
      <c r="AH66" s="323"/>
      <c r="AI66" s="323"/>
      <c r="AJ66" s="323"/>
      <c r="AK66" s="323"/>
      <c r="AL66" s="323"/>
      <c r="AM66" s="326">
        <f t="shared" si="0"/>
        <v>580</v>
      </c>
      <c r="AN66" s="327">
        <f t="shared" si="1"/>
        <v>0.12196759679999999</v>
      </c>
      <c r="AO66" s="323"/>
      <c r="AP66" s="323">
        <v>1010</v>
      </c>
      <c r="AQ66" s="328">
        <f>AN66*AP66*31.4666</f>
        <v>3876.2846372815488</v>
      </c>
    </row>
    <row r="67" spans="1:43">
      <c r="A67" s="341" t="s">
        <v>177</v>
      </c>
      <c r="B67" s="323">
        <v>86.12</v>
      </c>
      <c r="C67" s="323">
        <v>13</v>
      </c>
      <c r="D67" s="323">
        <v>292.8</v>
      </c>
      <c r="E67" s="323">
        <v>400</v>
      </c>
      <c r="F67" s="333" t="s">
        <v>179</v>
      </c>
      <c r="G67" s="335">
        <v>46044</v>
      </c>
      <c r="H67" s="323"/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26">
        <f t="shared" ref="AM67:AM130" si="4">E67-H67-I67-J67-K67-L67-M67-N67-O67-P67-Q67-R67-S67-T67-U67-V67-W67-X67-Y67-Z67-AA67-AB67-AC67-AD67-AE67-AF67-AG67-AH67-AI67-AJ67-AK67-AL67</f>
        <v>400</v>
      </c>
      <c r="AN67" s="327">
        <f t="shared" ref="AN67:AN130" si="5">B67*C67*D67*AM67/1000000000</f>
        <v>0.13112286719999999</v>
      </c>
      <c r="AO67" s="323"/>
      <c r="AP67" s="323">
        <v>1010</v>
      </c>
      <c r="AQ67" s="328">
        <f>AN67*AP67*31.4666</f>
        <v>4167.2507211658749</v>
      </c>
    </row>
    <row r="68" spans="1:43">
      <c r="A68" s="341" t="s">
        <v>177</v>
      </c>
      <c r="B68" s="323">
        <v>9</v>
      </c>
      <c r="C68" s="323">
        <v>78.8</v>
      </c>
      <c r="D68" s="323">
        <v>292.8</v>
      </c>
      <c r="E68" s="323">
        <v>600</v>
      </c>
      <c r="F68" s="323" t="s">
        <v>178</v>
      </c>
      <c r="G68" s="335">
        <v>45962</v>
      </c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  <c r="AE68" s="323"/>
      <c r="AF68" s="323"/>
      <c r="AG68" s="323">
        <v>40</v>
      </c>
      <c r="AH68" s="323">
        <v>120</v>
      </c>
      <c r="AI68" s="323"/>
      <c r="AJ68" s="323"/>
      <c r="AK68" s="323"/>
      <c r="AL68" s="323"/>
      <c r="AM68" s="326">
        <f t="shared" si="4"/>
        <v>440</v>
      </c>
      <c r="AN68" s="327">
        <f t="shared" si="5"/>
        <v>9.1367654399999998E-2</v>
      </c>
      <c r="AO68" s="323"/>
      <c r="AP68" s="323">
        <v>996.74540000000002</v>
      </c>
      <c r="AQ68" s="328">
        <f>AP68*AN68*31.9788</f>
        <v>2912.3185652919542</v>
      </c>
    </row>
    <row r="69" spans="1:43">
      <c r="A69" s="341" t="s">
        <v>177</v>
      </c>
      <c r="B69" s="323">
        <v>13</v>
      </c>
      <c r="C69" s="323">
        <v>86.12</v>
      </c>
      <c r="D69" s="323">
        <v>292.8</v>
      </c>
      <c r="E69" s="323">
        <v>400</v>
      </c>
      <c r="F69" s="323" t="s">
        <v>178</v>
      </c>
      <c r="G69" s="335">
        <v>45962</v>
      </c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>
        <v>359</v>
      </c>
      <c r="Y69" s="323"/>
      <c r="Z69" s="323"/>
      <c r="AA69" s="323"/>
      <c r="AB69" s="323"/>
      <c r="AC69" s="323"/>
      <c r="AD69" s="323"/>
      <c r="AE69" s="323"/>
      <c r="AF69" s="323"/>
      <c r="AG69" s="323"/>
      <c r="AH69" s="323"/>
      <c r="AI69" s="323"/>
      <c r="AJ69" s="323"/>
      <c r="AK69" s="323"/>
      <c r="AL69" s="323"/>
      <c r="AM69" s="326">
        <f t="shared" si="4"/>
        <v>41</v>
      </c>
      <c r="AN69" s="327">
        <f t="shared" si="5"/>
        <v>1.3440093888E-2</v>
      </c>
      <c r="AO69" s="323"/>
      <c r="AP69" s="323">
        <v>996.74540000000002</v>
      </c>
      <c r="AQ69" s="328">
        <f>AP69*AN69*31.9788</f>
        <v>428.39925361254893</v>
      </c>
    </row>
    <row r="70" spans="1:43">
      <c r="A70" s="341" t="s">
        <v>177</v>
      </c>
      <c r="B70" s="342">
        <v>12.2</v>
      </c>
      <c r="C70" s="343">
        <v>31.75</v>
      </c>
      <c r="D70" s="343">
        <v>330</v>
      </c>
      <c r="E70" s="343">
        <v>4206</v>
      </c>
      <c r="F70" s="344" t="s">
        <v>180</v>
      </c>
      <c r="G70" s="335">
        <v>45846</v>
      </c>
      <c r="H70" s="323"/>
      <c r="I70" s="323"/>
      <c r="J70" s="323"/>
      <c r="K70" s="323"/>
      <c r="L70" s="323"/>
      <c r="M70" s="323"/>
      <c r="N70" s="323"/>
      <c r="O70" s="323"/>
      <c r="P70" s="323"/>
      <c r="Q70" s="323">
        <v>1941</v>
      </c>
      <c r="R70" s="323">
        <v>2032</v>
      </c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  <c r="AG70" s="323"/>
      <c r="AH70" s="323"/>
      <c r="AI70" s="323"/>
      <c r="AJ70" s="323"/>
      <c r="AK70" s="323"/>
      <c r="AL70" s="323"/>
      <c r="AM70" s="326">
        <f t="shared" si="4"/>
        <v>233</v>
      </c>
      <c r="AN70" s="327">
        <f t="shared" si="5"/>
        <v>2.9783341499999998E-2</v>
      </c>
      <c r="AO70" s="323"/>
      <c r="AP70" s="323">
        <v>974.22850000000005</v>
      </c>
      <c r="AQ70" s="328">
        <f>AN70*AP70*32.8864</f>
        <v>954.22455115856985</v>
      </c>
    </row>
    <row r="71" spans="1:43">
      <c r="A71" s="341" t="s">
        <v>177</v>
      </c>
      <c r="B71" s="323">
        <v>12.2</v>
      </c>
      <c r="C71" s="323">
        <v>31.75</v>
      </c>
      <c r="D71" s="323">
        <v>330</v>
      </c>
      <c r="E71" s="323">
        <v>6500</v>
      </c>
      <c r="F71" s="333" t="s">
        <v>181</v>
      </c>
      <c r="G71" s="335">
        <v>46178</v>
      </c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3"/>
      <c r="AE71" s="323"/>
      <c r="AF71" s="323"/>
      <c r="AG71" s="323"/>
      <c r="AH71" s="323"/>
      <c r="AI71" s="323"/>
      <c r="AJ71" s="323"/>
      <c r="AK71" s="323"/>
      <c r="AL71" s="323"/>
      <c r="AM71" s="326">
        <f t="shared" si="4"/>
        <v>6500</v>
      </c>
      <c r="AN71" s="327">
        <f t="shared" si="5"/>
        <v>0.83086574999999985</v>
      </c>
      <c r="AO71" s="323"/>
      <c r="AP71" s="323">
        <v>1010</v>
      </c>
      <c r="AQ71" s="328">
        <f>AN71*AP71*32.2938</f>
        <v>27100.13048092349</v>
      </c>
    </row>
    <row r="72" spans="1:43">
      <c r="A72" s="341" t="s">
        <v>177</v>
      </c>
      <c r="B72" s="323">
        <v>12.2</v>
      </c>
      <c r="C72" s="323">
        <v>36</v>
      </c>
      <c r="D72" s="323">
        <v>330</v>
      </c>
      <c r="E72" s="323">
        <v>200</v>
      </c>
      <c r="F72" s="333" t="s">
        <v>181</v>
      </c>
      <c r="G72" s="335">
        <v>46178</v>
      </c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  <c r="AK72" s="323"/>
      <c r="AL72" s="323"/>
      <c r="AM72" s="326">
        <f t="shared" si="4"/>
        <v>200</v>
      </c>
      <c r="AN72" s="327">
        <f t="shared" si="5"/>
        <v>2.8987200000000001E-2</v>
      </c>
      <c r="AO72" s="323"/>
      <c r="AP72" s="323">
        <v>1010</v>
      </c>
      <c r="AQ72" s="328">
        <f>AN72*AP72*32.2938</f>
        <v>945.46790775359989</v>
      </c>
    </row>
    <row r="73" spans="1:43">
      <c r="A73" s="341" t="s">
        <v>177</v>
      </c>
      <c r="B73" s="323">
        <v>12.2</v>
      </c>
      <c r="C73" s="323">
        <v>36</v>
      </c>
      <c r="D73" s="323">
        <v>330</v>
      </c>
      <c r="E73" s="323">
        <v>7300</v>
      </c>
      <c r="F73" s="333" t="s">
        <v>181</v>
      </c>
      <c r="G73" s="335">
        <v>46178</v>
      </c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  <c r="AG73" s="323"/>
      <c r="AH73" s="323"/>
      <c r="AI73" s="323"/>
      <c r="AJ73" s="323"/>
      <c r="AK73" s="323"/>
      <c r="AL73" s="323"/>
      <c r="AM73" s="326">
        <f t="shared" si="4"/>
        <v>7300</v>
      </c>
      <c r="AN73" s="327">
        <f t="shared" si="5"/>
        <v>1.0580328000000001</v>
      </c>
      <c r="AO73" s="323"/>
      <c r="AP73" s="323">
        <v>1010</v>
      </c>
      <c r="AQ73" s="328">
        <f>AN73*AP73*32.2938</f>
        <v>34509.5786330064</v>
      </c>
    </row>
    <row r="74" spans="1:43">
      <c r="A74" s="341" t="s">
        <v>177</v>
      </c>
      <c r="B74" s="342">
        <v>12.2</v>
      </c>
      <c r="C74" s="343">
        <v>41.3</v>
      </c>
      <c r="D74" s="343">
        <v>330</v>
      </c>
      <c r="E74" s="343">
        <v>2300</v>
      </c>
      <c r="F74" s="344" t="s">
        <v>180</v>
      </c>
      <c r="G74" s="335">
        <v>45846</v>
      </c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6">
        <f t="shared" si="4"/>
        <v>2300</v>
      </c>
      <c r="AN74" s="327">
        <f t="shared" si="5"/>
        <v>0.38242974000000002</v>
      </c>
      <c r="AO74" s="323"/>
      <c r="AP74" s="323">
        <v>974.22850000000005</v>
      </c>
      <c r="AQ74" s="328">
        <f>AN74*AP74*32.8864</f>
        <v>12252.616013592316</v>
      </c>
    </row>
    <row r="75" spans="1:43">
      <c r="A75" s="341" t="s">
        <v>177</v>
      </c>
      <c r="B75" s="323">
        <v>13</v>
      </c>
      <c r="C75" s="323">
        <v>41.3</v>
      </c>
      <c r="D75" s="323">
        <v>330</v>
      </c>
      <c r="E75" s="323">
        <v>2200</v>
      </c>
      <c r="F75" s="323" t="s">
        <v>178</v>
      </c>
      <c r="G75" s="335">
        <v>45962</v>
      </c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26">
        <f t="shared" si="4"/>
        <v>2200</v>
      </c>
      <c r="AN75" s="327">
        <f t="shared" si="5"/>
        <v>0.38978940000000001</v>
      </c>
      <c r="AO75" s="323"/>
      <c r="AP75" s="323">
        <v>996.74540000000002</v>
      </c>
      <c r="AQ75" s="328">
        <f>AP75*AN75*31.9788</f>
        <v>12424.428684622244</v>
      </c>
    </row>
    <row r="76" spans="1:43">
      <c r="A76" s="341" t="s">
        <v>177</v>
      </c>
      <c r="B76" s="323">
        <v>9.5299999999999994</v>
      </c>
      <c r="C76" s="323">
        <v>63.5</v>
      </c>
      <c r="D76" s="323">
        <v>350</v>
      </c>
      <c r="E76" s="323">
        <v>1740</v>
      </c>
      <c r="F76" s="333" t="s">
        <v>179</v>
      </c>
      <c r="G76" s="335">
        <v>46044</v>
      </c>
      <c r="H76" s="323"/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  <c r="AG76" s="323"/>
      <c r="AH76" s="323"/>
      <c r="AI76" s="323"/>
      <c r="AJ76" s="323"/>
      <c r="AK76" s="323"/>
      <c r="AL76" s="323"/>
      <c r="AM76" s="326">
        <f t="shared" si="4"/>
        <v>1740</v>
      </c>
      <c r="AN76" s="327">
        <f t="shared" si="5"/>
        <v>0.36853939499999999</v>
      </c>
      <c r="AO76" s="323"/>
      <c r="AP76" s="323">
        <v>1010</v>
      </c>
      <c r="AQ76" s="328">
        <f>AN76*AP76*31.4666</f>
        <v>11712.64854397407</v>
      </c>
    </row>
    <row r="77" spans="1:43">
      <c r="A77" s="341" t="s">
        <v>177</v>
      </c>
      <c r="B77" s="323">
        <v>9.5299999999999994</v>
      </c>
      <c r="C77" s="323">
        <v>63.5</v>
      </c>
      <c r="D77" s="323">
        <v>350</v>
      </c>
      <c r="E77" s="323">
        <v>5600</v>
      </c>
      <c r="F77" s="333" t="s">
        <v>181</v>
      </c>
      <c r="G77" s="335">
        <v>46178</v>
      </c>
      <c r="H77" s="323"/>
      <c r="I77" s="323"/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  <c r="AE77" s="323"/>
      <c r="AF77" s="323"/>
      <c r="AG77" s="323"/>
      <c r="AH77" s="323"/>
      <c r="AI77" s="323"/>
      <c r="AJ77" s="323"/>
      <c r="AK77" s="323"/>
      <c r="AL77" s="323"/>
      <c r="AM77" s="326">
        <f t="shared" si="4"/>
        <v>5600</v>
      </c>
      <c r="AN77" s="327">
        <f t="shared" si="5"/>
        <v>1.1861037999999999</v>
      </c>
      <c r="AO77" s="323"/>
      <c r="AP77" s="323">
        <v>1010</v>
      </c>
      <c r="AQ77" s="328">
        <f>AN77*AP77*32.2938</f>
        <v>38686.836885404395</v>
      </c>
    </row>
    <row r="78" spans="1:43">
      <c r="A78" s="341" t="s">
        <v>177</v>
      </c>
      <c r="B78" s="323">
        <v>79.8</v>
      </c>
      <c r="C78" s="323">
        <v>9</v>
      </c>
      <c r="D78" s="323">
        <v>369</v>
      </c>
      <c r="E78" s="323">
        <v>400</v>
      </c>
      <c r="F78" s="333" t="s">
        <v>179</v>
      </c>
      <c r="G78" s="335">
        <v>46044</v>
      </c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  <c r="AG78" s="323"/>
      <c r="AH78" s="323"/>
      <c r="AI78" s="323"/>
      <c r="AJ78" s="323"/>
      <c r="AK78" s="323"/>
      <c r="AL78" s="323"/>
      <c r="AM78" s="326">
        <f t="shared" si="4"/>
        <v>400</v>
      </c>
      <c r="AN78" s="327">
        <f t="shared" si="5"/>
        <v>0.10600632</v>
      </c>
      <c r="AO78" s="323"/>
      <c r="AP78" s="323">
        <v>1010</v>
      </c>
      <c r="AQ78" s="328">
        <f>AN78*AP78*31.4666</f>
        <v>3369.0150536011201</v>
      </c>
    </row>
    <row r="79" spans="1:43">
      <c r="A79" s="341" t="s">
        <v>177</v>
      </c>
      <c r="B79" s="323">
        <v>86.12</v>
      </c>
      <c r="C79" s="323">
        <v>13</v>
      </c>
      <c r="D79" s="323">
        <v>369</v>
      </c>
      <c r="E79" s="323">
        <v>280</v>
      </c>
      <c r="F79" s="333" t="s">
        <v>179</v>
      </c>
      <c r="G79" s="335">
        <v>46044</v>
      </c>
      <c r="H79" s="323"/>
      <c r="I79" s="323"/>
      <c r="J79" s="323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  <c r="AE79" s="323"/>
      <c r="AF79" s="323"/>
      <c r="AG79" s="323"/>
      <c r="AH79" s="323"/>
      <c r="AI79" s="323"/>
      <c r="AJ79" s="323"/>
      <c r="AK79" s="323"/>
      <c r="AL79" s="323"/>
      <c r="AM79" s="326">
        <f t="shared" si="4"/>
        <v>280</v>
      </c>
      <c r="AN79" s="327">
        <f t="shared" si="5"/>
        <v>0.11567293919999999</v>
      </c>
      <c r="AO79" s="323"/>
      <c r="AP79" s="323">
        <v>1010</v>
      </c>
      <c r="AQ79" s="328">
        <f>AN79*AP79*31.4666</f>
        <v>3676.2324497170271</v>
      </c>
    </row>
    <row r="80" spans="1:43">
      <c r="A80" s="341" t="s">
        <v>177</v>
      </c>
      <c r="B80" s="323">
        <v>13</v>
      </c>
      <c r="C80" s="323">
        <v>86.12</v>
      </c>
      <c r="D80" s="323">
        <v>369</v>
      </c>
      <c r="E80" s="323">
        <v>230</v>
      </c>
      <c r="F80" s="323" t="s">
        <v>178</v>
      </c>
      <c r="G80" s="335">
        <v>45962</v>
      </c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323"/>
      <c r="AK80" s="323"/>
      <c r="AL80" s="323"/>
      <c r="AM80" s="326">
        <f t="shared" si="4"/>
        <v>230</v>
      </c>
      <c r="AN80" s="327">
        <f t="shared" si="5"/>
        <v>9.5017057199999991E-2</v>
      </c>
      <c r="AO80" s="323"/>
      <c r="AP80" s="323">
        <v>996.74540000000002</v>
      </c>
      <c r="AQ80" s="328">
        <f>AP80*AN80*31.9788</f>
        <v>3028.6422642690445</v>
      </c>
    </row>
    <row r="81" spans="1:43">
      <c r="A81" s="341" t="s">
        <v>177</v>
      </c>
      <c r="B81" s="323">
        <v>20</v>
      </c>
      <c r="C81" s="323">
        <v>97</v>
      </c>
      <c r="D81" s="323">
        <v>380</v>
      </c>
      <c r="E81" s="323">
        <v>200</v>
      </c>
      <c r="F81" s="333" t="s">
        <v>179</v>
      </c>
      <c r="G81" s="335">
        <v>46044</v>
      </c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  <c r="AG81" s="323"/>
      <c r="AH81" s="323"/>
      <c r="AI81" s="323"/>
      <c r="AJ81" s="323"/>
      <c r="AK81" s="323"/>
      <c r="AL81" s="323"/>
      <c r="AM81" s="326">
        <f t="shared" si="4"/>
        <v>200</v>
      </c>
      <c r="AN81" s="327">
        <f t="shared" si="5"/>
        <v>0.14743999999999999</v>
      </c>
      <c r="AO81" s="323"/>
      <c r="AP81" s="323">
        <v>910</v>
      </c>
      <c r="AQ81" s="328">
        <f>AN81*AP81*31.4666</f>
        <v>4221.8863086399997</v>
      </c>
    </row>
    <row r="82" spans="1:43">
      <c r="A82" s="341" t="s">
        <v>177</v>
      </c>
      <c r="B82" s="323">
        <v>20</v>
      </c>
      <c r="C82" s="323">
        <v>97</v>
      </c>
      <c r="D82" s="323">
        <v>380</v>
      </c>
      <c r="E82" s="323">
        <v>200</v>
      </c>
      <c r="F82" s="333" t="s">
        <v>179</v>
      </c>
      <c r="G82" s="335">
        <v>46044</v>
      </c>
      <c r="H82" s="323"/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  <c r="AG82" s="323"/>
      <c r="AH82" s="323"/>
      <c r="AI82" s="323"/>
      <c r="AJ82" s="323"/>
      <c r="AK82" s="323"/>
      <c r="AL82" s="323"/>
      <c r="AM82" s="326">
        <f t="shared" si="4"/>
        <v>200</v>
      </c>
      <c r="AN82" s="327">
        <f t="shared" si="5"/>
        <v>0.14743999999999999</v>
      </c>
      <c r="AO82" s="323"/>
      <c r="AP82" s="323">
        <v>910</v>
      </c>
      <c r="AQ82" s="328">
        <f>AN82*AP82*31.4666</f>
        <v>4221.8863086399997</v>
      </c>
    </row>
    <row r="83" spans="1:43">
      <c r="A83" s="341" t="s">
        <v>177</v>
      </c>
      <c r="B83" s="323">
        <v>20</v>
      </c>
      <c r="C83" s="323">
        <v>97</v>
      </c>
      <c r="D83" s="323">
        <v>380</v>
      </c>
      <c r="E83" s="323">
        <v>230</v>
      </c>
      <c r="F83" s="333" t="s">
        <v>179</v>
      </c>
      <c r="G83" s="335">
        <v>46044</v>
      </c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26">
        <f t="shared" si="4"/>
        <v>230</v>
      </c>
      <c r="AN83" s="327">
        <f t="shared" si="5"/>
        <v>0.16955600000000001</v>
      </c>
      <c r="AO83" s="323"/>
      <c r="AP83" s="323">
        <v>910</v>
      </c>
      <c r="AQ83" s="328">
        <f>AN83*AP83*31.4666</f>
        <v>4855.1692549360005</v>
      </c>
    </row>
    <row r="84" spans="1:43">
      <c r="A84" s="341" t="s">
        <v>177</v>
      </c>
      <c r="B84" s="323">
        <v>20</v>
      </c>
      <c r="C84" s="323">
        <v>97</v>
      </c>
      <c r="D84" s="323">
        <v>380</v>
      </c>
      <c r="E84" s="323">
        <v>140</v>
      </c>
      <c r="F84" s="333" t="s">
        <v>179</v>
      </c>
      <c r="G84" s="335">
        <v>46044</v>
      </c>
      <c r="H84" s="323"/>
      <c r="I84" s="323"/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  <c r="AE84" s="323"/>
      <c r="AF84" s="323"/>
      <c r="AG84" s="323"/>
      <c r="AH84" s="323"/>
      <c r="AI84" s="323"/>
      <c r="AJ84" s="323"/>
      <c r="AK84" s="323"/>
      <c r="AL84" s="323"/>
      <c r="AM84" s="326">
        <f t="shared" si="4"/>
        <v>140</v>
      </c>
      <c r="AN84" s="327">
        <f t="shared" si="5"/>
        <v>0.10320799999999999</v>
      </c>
      <c r="AO84" s="323"/>
      <c r="AP84" s="323">
        <v>910</v>
      </c>
      <c r="AQ84" s="328">
        <f>AN84*AP84*31.4666</f>
        <v>2955.320416048</v>
      </c>
    </row>
    <row r="85" spans="1:43">
      <c r="A85" s="341" t="s">
        <v>177</v>
      </c>
      <c r="B85" s="323">
        <v>20</v>
      </c>
      <c r="C85" s="323">
        <v>97</v>
      </c>
      <c r="D85" s="323">
        <v>380</v>
      </c>
      <c r="E85" s="323">
        <v>1030</v>
      </c>
      <c r="F85" s="333" t="s">
        <v>179</v>
      </c>
      <c r="G85" s="335">
        <v>46044</v>
      </c>
      <c r="H85" s="323"/>
      <c r="I85" s="323"/>
      <c r="J85" s="323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  <c r="AE85" s="323"/>
      <c r="AF85" s="323"/>
      <c r="AG85" s="323"/>
      <c r="AH85" s="323"/>
      <c r="AI85" s="323"/>
      <c r="AJ85" s="323"/>
      <c r="AK85" s="323"/>
      <c r="AL85" s="323"/>
      <c r="AM85" s="326">
        <f t="shared" si="4"/>
        <v>1030</v>
      </c>
      <c r="AN85" s="327">
        <f t="shared" si="5"/>
        <v>0.75931599999999999</v>
      </c>
      <c r="AO85" s="323"/>
      <c r="AP85" s="323">
        <v>910</v>
      </c>
      <c r="AQ85" s="328">
        <f>AN85*AP85*31.4666</f>
        <v>21742.714489496</v>
      </c>
    </row>
    <row r="86" spans="1:43">
      <c r="A86" s="341" t="s">
        <v>177</v>
      </c>
      <c r="B86" s="323">
        <v>20</v>
      </c>
      <c r="C86" s="323">
        <v>97</v>
      </c>
      <c r="D86" s="323">
        <v>380</v>
      </c>
      <c r="E86" s="323">
        <v>594</v>
      </c>
      <c r="F86" s="333" t="s">
        <v>182</v>
      </c>
      <c r="G86" s="335">
        <v>46129</v>
      </c>
      <c r="H86" s="323"/>
      <c r="I86" s="323"/>
      <c r="J86" s="323"/>
      <c r="K86" s="323"/>
      <c r="L86" s="323"/>
      <c r="M86" s="323"/>
      <c r="N86" s="323"/>
      <c r="O86" s="323"/>
      <c r="P86" s="323"/>
      <c r="Q86" s="323">
        <v>417</v>
      </c>
      <c r="R86" s="323"/>
      <c r="S86" s="323"/>
      <c r="T86" s="323"/>
      <c r="U86" s="323"/>
      <c r="V86" s="323"/>
      <c r="W86" s="323"/>
      <c r="X86" s="323"/>
      <c r="Y86" s="323"/>
      <c r="Z86" s="323"/>
      <c r="AA86" s="323"/>
      <c r="AB86" s="323"/>
      <c r="AC86" s="323"/>
      <c r="AD86" s="323"/>
      <c r="AE86" s="323"/>
      <c r="AF86" s="323"/>
      <c r="AG86" s="323"/>
      <c r="AH86" s="323"/>
      <c r="AI86" s="323"/>
      <c r="AJ86" s="323"/>
      <c r="AK86" s="323"/>
      <c r="AL86" s="323"/>
      <c r="AM86" s="326">
        <f t="shared" si="4"/>
        <v>177</v>
      </c>
      <c r="AN86" s="327">
        <f t="shared" si="5"/>
        <v>0.1304844</v>
      </c>
      <c r="AO86" s="323"/>
      <c r="AP86" s="323">
        <v>920.74689999999998</v>
      </c>
      <c r="AQ86" s="328">
        <f>AN86*AP86*32.763</f>
        <v>3936.2486080346685</v>
      </c>
    </row>
    <row r="87" spans="1:43">
      <c r="A87" s="341" t="s">
        <v>177</v>
      </c>
      <c r="B87" s="323">
        <v>20</v>
      </c>
      <c r="C87" s="323">
        <v>97</v>
      </c>
      <c r="D87" s="323">
        <v>380</v>
      </c>
      <c r="E87" s="323">
        <v>606</v>
      </c>
      <c r="F87" s="333" t="s">
        <v>182</v>
      </c>
      <c r="G87" s="335">
        <v>46129</v>
      </c>
      <c r="H87" s="323"/>
      <c r="I87" s="323"/>
      <c r="J87" s="323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3"/>
      <c r="AE87" s="323"/>
      <c r="AF87" s="323"/>
      <c r="AG87" s="323"/>
      <c r="AH87" s="323"/>
      <c r="AI87" s="323"/>
      <c r="AJ87" s="323"/>
      <c r="AK87" s="323"/>
      <c r="AL87" s="323"/>
      <c r="AM87" s="326">
        <f t="shared" si="4"/>
        <v>606</v>
      </c>
      <c r="AN87" s="327">
        <f t="shared" si="5"/>
        <v>0.44674320000000001</v>
      </c>
      <c r="AO87" s="323"/>
      <c r="AP87" s="323">
        <v>920.74689999999998</v>
      </c>
      <c r="AQ87" s="328">
        <f>AN87*AP87*32.763</f>
        <v>13476.647776661068</v>
      </c>
    </row>
    <row r="88" spans="1:43">
      <c r="A88" s="341" t="s">
        <v>177</v>
      </c>
      <c r="B88" s="342">
        <v>12.2</v>
      </c>
      <c r="C88" s="343">
        <v>41.3</v>
      </c>
      <c r="D88" s="343">
        <v>400</v>
      </c>
      <c r="E88" s="343">
        <v>1370</v>
      </c>
      <c r="F88" s="344" t="s">
        <v>180</v>
      </c>
      <c r="G88" s="335">
        <v>45846</v>
      </c>
      <c r="H88" s="323"/>
      <c r="I88" s="323"/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>
        <v>746</v>
      </c>
      <c r="AA88" s="323"/>
      <c r="AB88" s="323"/>
      <c r="AC88" s="323"/>
      <c r="AD88" s="323"/>
      <c r="AE88" s="323"/>
      <c r="AF88" s="323"/>
      <c r="AG88" s="323"/>
      <c r="AH88" s="323"/>
      <c r="AI88" s="323"/>
      <c r="AJ88" s="323"/>
      <c r="AK88" s="323"/>
      <c r="AL88" s="323"/>
      <c r="AM88" s="326">
        <f t="shared" si="4"/>
        <v>624</v>
      </c>
      <c r="AN88" s="327">
        <f t="shared" si="5"/>
        <v>0.125763456</v>
      </c>
      <c r="AO88" s="323"/>
      <c r="AP88" s="323">
        <v>974.22850000000005</v>
      </c>
      <c r="AQ88" s="328">
        <f>AN88*AP88*32.8864</f>
        <v>4029.3187839165248</v>
      </c>
    </row>
    <row r="89" spans="1:43">
      <c r="A89" s="341" t="s">
        <v>177</v>
      </c>
      <c r="B89" s="342">
        <v>12.2</v>
      </c>
      <c r="C89" s="343">
        <v>41.3</v>
      </c>
      <c r="D89" s="343">
        <v>400</v>
      </c>
      <c r="E89" s="343">
        <v>40</v>
      </c>
      <c r="F89" s="344" t="s">
        <v>180</v>
      </c>
      <c r="G89" s="335">
        <v>45846</v>
      </c>
      <c r="H89" s="323"/>
      <c r="I89" s="323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  <c r="AE89" s="323"/>
      <c r="AF89" s="323"/>
      <c r="AG89" s="323"/>
      <c r="AH89" s="323"/>
      <c r="AI89" s="323"/>
      <c r="AJ89" s="323"/>
      <c r="AK89" s="323"/>
      <c r="AL89" s="323"/>
      <c r="AM89" s="326">
        <f t="shared" si="4"/>
        <v>40</v>
      </c>
      <c r="AN89" s="327">
        <f t="shared" si="5"/>
        <v>8.0617599999999994E-3</v>
      </c>
      <c r="AO89" s="323"/>
      <c r="AP89" s="323">
        <v>974.22850000000005</v>
      </c>
      <c r="AQ89" s="328">
        <f>AN89*AP89*32.8864</f>
        <v>258.28966563567462</v>
      </c>
    </row>
    <row r="90" spans="1:43">
      <c r="A90" s="341" t="s">
        <v>177</v>
      </c>
      <c r="B90" s="342">
        <v>12.2</v>
      </c>
      <c r="C90" s="343">
        <v>31.75</v>
      </c>
      <c r="D90" s="343">
        <v>410</v>
      </c>
      <c r="E90" s="343">
        <v>3020</v>
      </c>
      <c r="F90" s="344" t="s">
        <v>180</v>
      </c>
      <c r="G90" s="335">
        <v>45846</v>
      </c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>
        <v>1232</v>
      </c>
      <c r="AF90" s="323"/>
      <c r="AG90" s="323"/>
      <c r="AH90" s="323"/>
      <c r="AI90" s="323"/>
      <c r="AJ90" s="323"/>
      <c r="AK90" s="323"/>
      <c r="AL90" s="323"/>
      <c r="AM90" s="326">
        <f t="shared" si="4"/>
        <v>1788</v>
      </c>
      <c r="AN90" s="327">
        <f t="shared" si="5"/>
        <v>0.28395853799999998</v>
      </c>
      <c r="AO90" s="323"/>
      <c r="AP90" s="323">
        <v>974.22850000000005</v>
      </c>
      <c r="AQ90" s="328">
        <f>AN90*AP90*32.8864</f>
        <v>9097.7101568906801</v>
      </c>
    </row>
    <row r="91" spans="1:43">
      <c r="A91" s="341" t="s">
        <v>177</v>
      </c>
      <c r="B91" s="342">
        <v>12.2</v>
      </c>
      <c r="C91" s="343">
        <v>31.75</v>
      </c>
      <c r="D91" s="343">
        <v>410</v>
      </c>
      <c r="E91" s="343">
        <v>854</v>
      </c>
      <c r="F91" s="344" t="s">
        <v>180</v>
      </c>
      <c r="G91" s="335">
        <v>45846</v>
      </c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6">
        <f t="shared" si="4"/>
        <v>854</v>
      </c>
      <c r="AN91" s="327">
        <f t="shared" si="5"/>
        <v>0.135626729</v>
      </c>
      <c r="AO91" s="323"/>
      <c r="AP91" s="323">
        <v>974.22850000000005</v>
      </c>
      <c r="AQ91" s="328">
        <f>AN91*AP91*32.8864</f>
        <v>4345.3268870160191</v>
      </c>
    </row>
    <row r="92" spans="1:43">
      <c r="A92" s="341" t="s">
        <v>177</v>
      </c>
      <c r="B92" s="323">
        <v>10</v>
      </c>
      <c r="C92" s="323">
        <v>63.5</v>
      </c>
      <c r="D92" s="323">
        <v>414</v>
      </c>
      <c r="E92" s="323">
        <v>800</v>
      </c>
      <c r="F92" s="323" t="s">
        <v>178</v>
      </c>
      <c r="G92" s="335">
        <v>45962</v>
      </c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  <c r="AE92" s="323"/>
      <c r="AF92" s="323"/>
      <c r="AG92" s="323"/>
      <c r="AH92" s="323"/>
      <c r="AI92" s="323"/>
      <c r="AJ92" s="323"/>
      <c r="AK92" s="323"/>
      <c r="AL92" s="323"/>
      <c r="AM92" s="326">
        <f t="shared" si="4"/>
        <v>800</v>
      </c>
      <c r="AN92" s="327">
        <f t="shared" si="5"/>
        <v>0.210312</v>
      </c>
      <c r="AO92" s="323"/>
      <c r="AP92" s="323">
        <v>996.74540000000002</v>
      </c>
      <c r="AQ92" s="328">
        <f>AP92*AN92*31.9788</f>
        <v>6703.6364906800263</v>
      </c>
    </row>
    <row r="93" spans="1:43">
      <c r="A93" s="341" t="s">
        <v>177</v>
      </c>
      <c r="B93" s="323">
        <v>79.8</v>
      </c>
      <c r="C93" s="323">
        <v>9</v>
      </c>
      <c r="D93" s="323">
        <v>445.2</v>
      </c>
      <c r="E93" s="323">
        <v>1840</v>
      </c>
      <c r="F93" s="333" t="s">
        <v>179</v>
      </c>
      <c r="G93" s="335">
        <v>46044</v>
      </c>
      <c r="H93" s="323"/>
      <c r="I93" s="323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  <c r="AG93" s="323"/>
      <c r="AH93" s="323"/>
      <c r="AI93" s="323"/>
      <c r="AJ93" s="323"/>
      <c r="AK93" s="323"/>
      <c r="AL93" s="323"/>
      <c r="AM93" s="326">
        <f t="shared" si="4"/>
        <v>1840</v>
      </c>
      <c r="AN93" s="327">
        <f t="shared" si="5"/>
        <v>0.58832645759999991</v>
      </c>
      <c r="AO93" s="323"/>
      <c r="AP93" s="323">
        <v>1010</v>
      </c>
      <c r="AQ93" s="328">
        <f>AN93*AP93*31.4666</f>
        <v>18697.759643823319</v>
      </c>
    </row>
    <row r="94" spans="1:43">
      <c r="A94" s="341" t="s">
        <v>177</v>
      </c>
      <c r="B94" s="323">
        <v>79.8</v>
      </c>
      <c r="C94" s="323">
        <v>9</v>
      </c>
      <c r="D94" s="323">
        <v>445.2</v>
      </c>
      <c r="E94" s="323">
        <v>560</v>
      </c>
      <c r="F94" s="333" t="s">
        <v>179</v>
      </c>
      <c r="G94" s="335">
        <v>46044</v>
      </c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/>
      <c r="AF94" s="323"/>
      <c r="AG94" s="323"/>
      <c r="AH94" s="323"/>
      <c r="AI94" s="323"/>
      <c r="AJ94" s="323"/>
      <c r="AK94" s="323"/>
      <c r="AL94" s="323"/>
      <c r="AM94" s="326">
        <f t="shared" si="4"/>
        <v>560</v>
      </c>
      <c r="AN94" s="327">
        <f t="shared" si="5"/>
        <v>0.17905587839999998</v>
      </c>
      <c r="AO94" s="323"/>
      <c r="AP94" s="323">
        <v>1010</v>
      </c>
      <c r="AQ94" s="328">
        <f>AN94*AP94*31.4666</f>
        <v>5690.6225002940537</v>
      </c>
    </row>
    <row r="95" spans="1:43">
      <c r="A95" s="341" t="s">
        <v>177</v>
      </c>
      <c r="B95" s="323">
        <v>86.12</v>
      </c>
      <c r="C95" s="323">
        <v>13</v>
      </c>
      <c r="D95" s="323">
        <v>445.2</v>
      </c>
      <c r="E95" s="323">
        <v>1500</v>
      </c>
      <c r="F95" s="333" t="s">
        <v>179</v>
      </c>
      <c r="G95" s="335">
        <v>46044</v>
      </c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  <c r="AK95" s="323"/>
      <c r="AL95" s="323"/>
      <c r="AM95" s="326">
        <f t="shared" si="4"/>
        <v>1500</v>
      </c>
      <c r="AN95" s="327">
        <f t="shared" si="5"/>
        <v>0.74764216800000005</v>
      </c>
      <c r="AO95" s="323"/>
      <c r="AP95" s="323">
        <v>1010</v>
      </c>
      <c r="AQ95" s="328">
        <f>AN95*AP95*31.4666</f>
        <v>23761.014614024687</v>
      </c>
    </row>
    <row r="96" spans="1:43">
      <c r="A96" s="341" t="s">
        <v>177</v>
      </c>
      <c r="B96" s="323">
        <v>9</v>
      </c>
      <c r="C96" s="323">
        <v>79.8</v>
      </c>
      <c r="D96" s="323">
        <v>445.2</v>
      </c>
      <c r="E96" s="323">
        <v>440</v>
      </c>
      <c r="F96" s="323" t="s">
        <v>178</v>
      </c>
      <c r="G96" s="335">
        <v>45962</v>
      </c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  <c r="AG96" s="323">
        <v>100</v>
      </c>
      <c r="AH96" s="323"/>
      <c r="AI96" s="323"/>
      <c r="AJ96" s="323"/>
      <c r="AK96" s="323"/>
      <c r="AL96" s="323"/>
      <c r="AM96" s="326">
        <f t="shared" si="4"/>
        <v>340</v>
      </c>
      <c r="AN96" s="327">
        <f t="shared" si="5"/>
        <v>0.10871249759999999</v>
      </c>
      <c r="AO96" s="323"/>
      <c r="AP96" s="323">
        <v>996.74540000000002</v>
      </c>
      <c r="AQ96" s="328">
        <f>AP96*AN96*31.9788</f>
        <v>3465.1806169135602</v>
      </c>
    </row>
    <row r="97" spans="1:43">
      <c r="A97" s="341" t="s">
        <v>177</v>
      </c>
      <c r="B97" s="323">
        <v>13</v>
      </c>
      <c r="C97" s="323">
        <v>86.12</v>
      </c>
      <c r="D97" s="323">
        <v>445.2</v>
      </c>
      <c r="E97" s="323">
        <v>230</v>
      </c>
      <c r="F97" s="323" t="s">
        <v>178</v>
      </c>
      <c r="G97" s="335">
        <v>45962</v>
      </c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  <c r="AG97" s="323"/>
      <c r="AH97" s="323"/>
      <c r="AI97" s="323"/>
      <c r="AJ97" s="323"/>
      <c r="AK97" s="323"/>
      <c r="AL97" s="323"/>
      <c r="AM97" s="326">
        <f t="shared" si="4"/>
        <v>230</v>
      </c>
      <c r="AN97" s="327">
        <f t="shared" si="5"/>
        <v>0.11463846575999999</v>
      </c>
      <c r="AO97" s="323"/>
      <c r="AP97" s="323">
        <v>996.74540000000002</v>
      </c>
      <c r="AQ97" s="328">
        <f>AP97*AN97*31.9788</f>
        <v>3654.069203394522</v>
      </c>
    </row>
    <row r="98" spans="1:43">
      <c r="A98" s="341" t="s">
        <v>177</v>
      </c>
      <c r="B98" s="323">
        <v>9.5299999999999994</v>
      </c>
      <c r="C98" s="323">
        <v>63.5</v>
      </c>
      <c r="D98" s="323">
        <v>450</v>
      </c>
      <c r="E98" s="323">
        <v>1010</v>
      </c>
      <c r="F98" s="333" t="s">
        <v>179</v>
      </c>
      <c r="G98" s="335">
        <v>46044</v>
      </c>
      <c r="H98" s="323"/>
      <c r="I98" s="323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3"/>
      <c r="AE98" s="323"/>
      <c r="AF98" s="323"/>
      <c r="AG98" s="323"/>
      <c r="AH98" s="323"/>
      <c r="AI98" s="323"/>
      <c r="AJ98" s="323"/>
      <c r="AK98" s="323"/>
      <c r="AL98" s="323"/>
      <c r="AM98" s="326">
        <f t="shared" si="4"/>
        <v>1010</v>
      </c>
      <c r="AN98" s="327">
        <f t="shared" si="5"/>
        <v>0.27504294750000002</v>
      </c>
      <c r="AO98" s="323"/>
      <c r="AP98" s="323">
        <v>1010</v>
      </c>
      <c r="AQ98" s="328">
        <f>AN98*AP98*31.4666</f>
        <v>8741.2130759215343</v>
      </c>
    </row>
    <row r="99" spans="1:43">
      <c r="A99" s="341" t="s">
        <v>177</v>
      </c>
      <c r="B99" s="323">
        <v>9.5299999999999994</v>
      </c>
      <c r="C99" s="323">
        <v>63.5</v>
      </c>
      <c r="D99" s="323">
        <v>450</v>
      </c>
      <c r="E99" s="323">
        <v>4600</v>
      </c>
      <c r="F99" s="333" t="s">
        <v>181</v>
      </c>
      <c r="G99" s="335">
        <v>46178</v>
      </c>
      <c r="H99" s="323"/>
      <c r="I99" s="323"/>
      <c r="J99" s="323"/>
      <c r="K99" s="323"/>
      <c r="L99" s="323"/>
      <c r="M99" s="323"/>
      <c r="N99" s="323"/>
      <c r="O99" s="323"/>
      <c r="P99" s="323"/>
      <c r="Q99" s="323"/>
      <c r="R99" s="323">
        <v>2358</v>
      </c>
      <c r="S99" s="323"/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3"/>
      <c r="AE99" s="323"/>
      <c r="AF99" s="323"/>
      <c r="AG99" s="323"/>
      <c r="AH99" s="323"/>
      <c r="AI99" s="323"/>
      <c r="AJ99" s="323"/>
      <c r="AK99" s="323"/>
      <c r="AL99" s="323"/>
      <c r="AM99" s="326">
        <f t="shared" si="4"/>
        <v>2242</v>
      </c>
      <c r="AN99" s="327">
        <f t="shared" si="5"/>
        <v>0.61054087950000002</v>
      </c>
      <c r="AO99" s="323"/>
      <c r="AP99" s="323">
        <v>1010</v>
      </c>
      <c r="AQ99" s="328">
        <f>AN99*AP99*32.2938</f>
        <v>19913.851904941068</v>
      </c>
    </row>
    <row r="100" spans="1:43">
      <c r="A100" s="341" t="s">
        <v>177</v>
      </c>
      <c r="B100" s="342">
        <v>20</v>
      </c>
      <c r="C100" s="343">
        <v>54</v>
      </c>
      <c r="D100" s="343">
        <v>460</v>
      </c>
      <c r="E100" s="343">
        <v>400</v>
      </c>
      <c r="F100" s="344" t="s">
        <v>180</v>
      </c>
      <c r="G100" s="335">
        <v>45846</v>
      </c>
      <c r="H100" s="323"/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3"/>
      <c r="AE100" s="323"/>
      <c r="AF100" s="323"/>
      <c r="AG100" s="323"/>
      <c r="AH100" s="323"/>
      <c r="AI100" s="323"/>
      <c r="AJ100" s="323"/>
      <c r="AK100" s="323"/>
      <c r="AL100" s="323"/>
      <c r="AM100" s="326">
        <f t="shared" si="4"/>
        <v>400</v>
      </c>
      <c r="AN100" s="327">
        <f t="shared" si="5"/>
        <v>0.19872000000000001</v>
      </c>
      <c r="AO100" s="323"/>
      <c r="AP100" s="323">
        <v>974.22850000000005</v>
      </c>
      <c r="AQ100" s="328">
        <f>AN100*AP100*32.8864</f>
        <v>6366.7638772577293</v>
      </c>
    </row>
    <row r="101" spans="1:43">
      <c r="A101" s="341" t="s">
        <v>177</v>
      </c>
      <c r="B101" s="342">
        <v>20</v>
      </c>
      <c r="C101" s="343">
        <v>62</v>
      </c>
      <c r="D101" s="343">
        <v>460</v>
      </c>
      <c r="E101" s="343">
        <v>400</v>
      </c>
      <c r="F101" s="344" t="s">
        <v>180</v>
      </c>
      <c r="G101" s="335">
        <v>45846</v>
      </c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  <c r="AG101" s="323"/>
      <c r="AH101" s="323"/>
      <c r="AI101" s="323"/>
      <c r="AJ101" s="323"/>
      <c r="AK101" s="323"/>
      <c r="AL101" s="323"/>
      <c r="AM101" s="326">
        <f t="shared" si="4"/>
        <v>400</v>
      </c>
      <c r="AN101" s="327">
        <f t="shared" si="5"/>
        <v>0.22816</v>
      </c>
      <c r="AO101" s="323"/>
      <c r="AP101" s="323">
        <v>974.22850000000005</v>
      </c>
      <c r="AQ101" s="328">
        <f>AN101*AP101*32.8864</f>
        <v>7309.9881553699852</v>
      </c>
    </row>
    <row r="102" spans="1:43">
      <c r="A102" s="341" t="s">
        <v>177</v>
      </c>
      <c r="B102" s="323">
        <v>12.2</v>
      </c>
      <c r="C102" s="323">
        <v>79</v>
      </c>
      <c r="D102" s="323">
        <v>490</v>
      </c>
      <c r="E102" s="323">
        <v>1745</v>
      </c>
      <c r="F102" s="333" t="s">
        <v>181</v>
      </c>
      <c r="G102" s="335">
        <v>46178</v>
      </c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3"/>
      <c r="AE102" s="323"/>
      <c r="AF102" s="323"/>
      <c r="AG102" s="323"/>
      <c r="AH102" s="323"/>
      <c r="AI102" s="323"/>
      <c r="AJ102" s="323"/>
      <c r="AK102" s="323"/>
      <c r="AL102" s="323"/>
      <c r="AM102" s="326">
        <f t="shared" si="4"/>
        <v>1745</v>
      </c>
      <c r="AN102" s="327">
        <f t="shared" si="5"/>
        <v>0.82409719000000003</v>
      </c>
      <c r="AO102" s="323"/>
      <c r="AP102" s="323">
        <v>1010</v>
      </c>
      <c r="AQ102" s="328">
        <f>AN102*AP102*32.2938</f>
        <v>26879.362132766219</v>
      </c>
    </row>
    <row r="103" spans="1:43">
      <c r="A103" s="341" t="s">
        <v>177</v>
      </c>
      <c r="B103" s="342">
        <v>18</v>
      </c>
      <c r="C103" s="343">
        <v>97</v>
      </c>
      <c r="D103" s="343">
        <v>490</v>
      </c>
      <c r="E103" s="343">
        <v>1000</v>
      </c>
      <c r="F103" s="344" t="s">
        <v>180</v>
      </c>
      <c r="G103" s="335">
        <v>45846</v>
      </c>
      <c r="H103" s="323"/>
      <c r="I103" s="323"/>
      <c r="J103" s="323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3"/>
      <c r="AE103" s="323"/>
      <c r="AF103" s="323"/>
      <c r="AG103" s="323"/>
      <c r="AH103" s="323"/>
      <c r="AI103" s="323"/>
      <c r="AJ103" s="323"/>
      <c r="AK103" s="323"/>
      <c r="AL103" s="323"/>
      <c r="AM103" s="326">
        <f t="shared" si="4"/>
        <v>1000</v>
      </c>
      <c r="AN103" s="327">
        <f t="shared" si="5"/>
        <v>0.85553999999999997</v>
      </c>
      <c r="AO103" s="323"/>
      <c r="AP103" s="323">
        <v>974.22850000000005</v>
      </c>
      <c r="AQ103" s="328">
        <f>AN103*AP103*32.8864</f>
        <v>27410.533250548899</v>
      </c>
    </row>
    <row r="104" spans="1:43">
      <c r="A104" s="341" t="s">
        <v>177</v>
      </c>
      <c r="B104" s="323">
        <v>12.2</v>
      </c>
      <c r="C104" s="323">
        <v>36</v>
      </c>
      <c r="D104" s="323">
        <v>495</v>
      </c>
      <c r="E104" s="323">
        <v>2060</v>
      </c>
      <c r="F104" s="333" t="s">
        <v>181</v>
      </c>
      <c r="G104" s="335">
        <v>46178</v>
      </c>
      <c r="H104" s="323"/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3"/>
      <c r="AE104" s="323"/>
      <c r="AF104" s="323"/>
      <c r="AG104" s="323"/>
      <c r="AH104" s="323"/>
      <c r="AI104" s="323"/>
      <c r="AJ104" s="323"/>
      <c r="AK104" s="323"/>
      <c r="AL104" s="323"/>
      <c r="AM104" s="326">
        <f t="shared" si="4"/>
        <v>2060</v>
      </c>
      <c r="AN104" s="327">
        <f t="shared" si="5"/>
        <v>0.44785224000000001</v>
      </c>
      <c r="AO104" s="323"/>
      <c r="AP104" s="323">
        <v>1010</v>
      </c>
      <c r="AQ104" s="328">
        <f>AN104*AP104*32.2938</f>
        <v>14607.479174793119</v>
      </c>
    </row>
    <row r="105" spans="1:43">
      <c r="A105" s="341" t="s">
        <v>177</v>
      </c>
      <c r="B105" s="323">
        <v>12.2</v>
      </c>
      <c r="C105" s="323">
        <v>36</v>
      </c>
      <c r="D105" s="323">
        <v>495</v>
      </c>
      <c r="E105" s="323">
        <v>1290</v>
      </c>
      <c r="F105" s="333" t="s">
        <v>181</v>
      </c>
      <c r="G105" s="335">
        <v>46178</v>
      </c>
      <c r="H105" s="323"/>
      <c r="I105" s="323"/>
      <c r="J105" s="323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3"/>
      <c r="AE105" s="323"/>
      <c r="AF105" s="323"/>
      <c r="AG105" s="323"/>
      <c r="AH105" s="323"/>
      <c r="AI105" s="323"/>
      <c r="AJ105" s="323"/>
      <c r="AK105" s="323"/>
      <c r="AL105" s="323"/>
      <c r="AM105" s="326">
        <f t="shared" si="4"/>
        <v>1290</v>
      </c>
      <c r="AN105" s="327">
        <f t="shared" si="5"/>
        <v>0.28045115999999998</v>
      </c>
      <c r="AO105" s="323"/>
      <c r="AP105" s="323">
        <v>1010</v>
      </c>
      <c r="AQ105" s="328">
        <f>AN105*AP105*32.2938</f>
        <v>9147.4020075160788</v>
      </c>
    </row>
    <row r="106" spans="1:43">
      <c r="A106" s="341" t="s">
        <v>177</v>
      </c>
      <c r="B106" s="323">
        <v>12.2</v>
      </c>
      <c r="C106" s="323">
        <v>36</v>
      </c>
      <c r="D106" s="323">
        <v>495</v>
      </c>
      <c r="E106" s="323">
        <v>502</v>
      </c>
      <c r="F106" s="333" t="s">
        <v>181</v>
      </c>
      <c r="G106" s="335">
        <v>46178</v>
      </c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3"/>
      <c r="AE106" s="323"/>
      <c r="AF106" s="323"/>
      <c r="AG106" s="323"/>
      <c r="AH106" s="323"/>
      <c r="AI106" s="323"/>
      <c r="AJ106" s="323"/>
      <c r="AK106" s="323"/>
      <c r="AL106" s="323"/>
      <c r="AM106" s="326">
        <f t="shared" si="4"/>
        <v>502</v>
      </c>
      <c r="AN106" s="327">
        <f t="shared" si="5"/>
        <v>0.109136808</v>
      </c>
      <c r="AO106" s="323"/>
      <c r="AP106" s="323">
        <v>1010</v>
      </c>
      <c r="AQ106" s="328">
        <f>AN106*AP106*32.2938</f>
        <v>3559.6866726923035</v>
      </c>
    </row>
    <row r="107" spans="1:43">
      <c r="A107" s="341" t="s">
        <v>177</v>
      </c>
      <c r="B107" s="323">
        <v>12.2</v>
      </c>
      <c r="C107" s="323">
        <v>36</v>
      </c>
      <c r="D107" s="323">
        <v>495</v>
      </c>
      <c r="E107" s="323">
        <v>1610</v>
      </c>
      <c r="F107" s="333" t="s">
        <v>181</v>
      </c>
      <c r="G107" s="335">
        <v>46178</v>
      </c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6">
        <f t="shared" si="4"/>
        <v>1610</v>
      </c>
      <c r="AN107" s="327">
        <f t="shared" si="5"/>
        <v>0.35002043999999999</v>
      </c>
      <c r="AO107" s="323"/>
      <c r="AP107" s="323">
        <v>1010</v>
      </c>
      <c r="AQ107" s="328">
        <f>AN107*AP107*32.2938</f>
        <v>11416.524986124718</v>
      </c>
    </row>
    <row r="108" spans="1:43">
      <c r="A108" s="341" t="s">
        <v>177</v>
      </c>
      <c r="B108" s="323">
        <v>12.2</v>
      </c>
      <c r="C108" s="323">
        <v>36</v>
      </c>
      <c r="D108" s="323">
        <v>495</v>
      </c>
      <c r="E108" s="323">
        <v>2538</v>
      </c>
      <c r="F108" s="333" t="s">
        <v>181</v>
      </c>
      <c r="G108" s="335">
        <v>46178</v>
      </c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  <c r="AE108" s="323"/>
      <c r="AF108" s="323"/>
      <c r="AG108" s="323"/>
      <c r="AH108" s="323"/>
      <c r="AI108" s="323"/>
      <c r="AJ108" s="323"/>
      <c r="AK108" s="323"/>
      <c r="AL108" s="323"/>
      <c r="AM108" s="326">
        <f t="shared" si="4"/>
        <v>2538</v>
      </c>
      <c r="AN108" s="327">
        <f t="shared" si="5"/>
        <v>0.55177135200000005</v>
      </c>
      <c r="AO108" s="323"/>
      <c r="AP108" s="323">
        <v>1010</v>
      </c>
      <c r="AQ108" s="328">
        <f>AN108*AP108*32.2938</f>
        <v>17996.981624089774</v>
      </c>
    </row>
    <row r="109" spans="1:43">
      <c r="A109" s="341" t="s">
        <v>177</v>
      </c>
      <c r="B109" s="323">
        <v>13</v>
      </c>
      <c r="C109" s="323">
        <v>36</v>
      </c>
      <c r="D109" s="323">
        <v>495</v>
      </c>
      <c r="E109" s="323">
        <v>440</v>
      </c>
      <c r="F109" s="323" t="s">
        <v>178</v>
      </c>
      <c r="G109" s="335">
        <v>45962</v>
      </c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3"/>
      <c r="AE109" s="323"/>
      <c r="AF109" s="323"/>
      <c r="AG109" s="323"/>
      <c r="AH109" s="323"/>
      <c r="AI109" s="323"/>
      <c r="AJ109" s="323"/>
      <c r="AK109" s="323"/>
      <c r="AL109" s="323"/>
      <c r="AM109" s="326">
        <f t="shared" si="4"/>
        <v>440</v>
      </c>
      <c r="AN109" s="327">
        <f t="shared" si="5"/>
        <v>0.1019304</v>
      </c>
      <c r="AO109" s="323"/>
      <c r="AP109" s="323">
        <v>996.74540000000002</v>
      </c>
      <c r="AQ109" s="328">
        <f>AP109*AN109*31.9788</f>
        <v>3249.0031427099325</v>
      </c>
    </row>
    <row r="110" spans="1:43">
      <c r="A110" s="341" t="s">
        <v>177</v>
      </c>
      <c r="B110" s="323">
        <v>12.2</v>
      </c>
      <c r="C110" s="323">
        <v>79</v>
      </c>
      <c r="D110" s="323">
        <v>495</v>
      </c>
      <c r="E110" s="323">
        <v>1255</v>
      </c>
      <c r="F110" s="333" t="s">
        <v>181</v>
      </c>
      <c r="G110" s="335">
        <v>46178</v>
      </c>
      <c r="H110" s="323"/>
      <c r="I110" s="323"/>
      <c r="J110" s="323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  <c r="AE110" s="323"/>
      <c r="AF110" s="323"/>
      <c r="AG110" s="323"/>
      <c r="AH110" s="323"/>
      <c r="AI110" s="323"/>
      <c r="AJ110" s="323"/>
      <c r="AK110" s="323"/>
      <c r="AL110" s="323"/>
      <c r="AM110" s="326">
        <f t="shared" si="4"/>
        <v>1255</v>
      </c>
      <c r="AN110" s="327">
        <f t="shared" si="5"/>
        <v>0.59873665499999995</v>
      </c>
      <c r="AO110" s="323"/>
      <c r="AP110" s="323">
        <v>1010</v>
      </c>
      <c r="AQ110" s="328">
        <f>AN110*AP110*32.2938</f>
        <v>19528.836607131387</v>
      </c>
    </row>
    <row r="111" spans="1:43">
      <c r="A111" s="341" t="s">
        <v>177</v>
      </c>
      <c r="B111" s="342">
        <v>12.2</v>
      </c>
      <c r="C111" s="343">
        <v>31.75</v>
      </c>
      <c r="D111" s="343">
        <v>500</v>
      </c>
      <c r="E111" s="343">
        <v>820</v>
      </c>
      <c r="F111" s="344" t="s">
        <v>180</v>
      </c>
      <c r="G111" s="335">
        <v>45846</v>
      </c>
      <c r="H111" s="323"/>
      <c r="I111" s="323"/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323"/>
      <c r="AK111" s="323"/>
      <c r="AL111" s="323"/>
      <c r="AM111" s="326">
        <f t="shared" si="4"/>
        <v>820</v>
      </c>
      <c r="AN111" s="327">
        <f t="shared" si="5"/>
        <v>0.15881349999999997</v>
      </c>
      <c r="AO111" s="323"/>
      <c r="AP111" s="323">
        <v>974.22850000000005</v>
      </c>
      <c r="AQ111" s="328">
        <f>AN111*AP111*32.8864</f>
        <v>5088.2047857330417</v>
      </c>
    </row>
    <row r="112" spans="1:43">
      <c r="A112" s="341" t="s">
        <v>177</v>
      </c>
      <c r="B112" s="342">
        <v>12.2</v>
      </c>
      <c r="C112" s="343">
        <v>31.75</v>
      </c>
      <c r="D112" s="343">
        <v>500</v>
      </c>
      <c r="E112" s="343">
        <v>1270</v>
      </c>
      <c r="F112" s="344" t="s">
        <v>180</v>
      </c>
      <c r="G112" s="335">
        <v>45846</v>
      </c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/>
      <c r="AB112" s="323"/>
      <c r="AC112" s="323"/>
      <c r="AD112" s="323"/>
      <c r="AE112" s="323"/>
      <c r="AF112" s="323"/>
      <c r="AG112" s="323"/>
      <c r="AH112" s="323"/>
      <c r="AI112" s="323"/>
      <c r="AJ112" s="323"/>
      <c r="AK112" s="323"/>
      <c r="AL112" s="323"/>
      <c r="AM112" s="326">
        <f t="shared" si="4"/>
        <v>1270</v>
      </c>
      <c r="AN112" s="327">
        <f t="shared" si="5"/>
        <v>0.24596724999999997</v>
      </c>
      <c r="AO112" s="323"/>
      <c r="AP112" s="323">
        <v>974.22850000000005</v>
      </c>
      <c r="AQ112" s="328">
        <f>AN112*AP112*32.8864</f>
        <v>7880.5122900987362</v>
      </c>
    </row>
    <row r="113" spans="1:43">
      <c r="A113" s="341" t="s">
        <v>177</v>
      </c>
      <c r="B113" s="323">
        <v>12.2</v>
      </c>
      <c r="C113" s="323">
        <v>31.75</v>
      </c>
      <c r="D113" s="323">
        <v>500</v>
      </c>
      <c r="E113" s="323">
        <v>3420</v>
      </c>
      <c r="F113" s="333" t="s">
        <v>181</v>
      </c>
      <c r="G113" s="335">
        <v>46178</v>
      </c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3"/>
      <c r="AE113" s="323"/>
      <c r="AF113" s="323"/>
      <c r="AG113" s="323"/>
      <c r="AH113" s="323"/>
      <c r="AI113" s="323"/>
      <c r="AJ113" s="323"/>
      <c r="AK113" s="323"/>
      <c r="AL113" s="323"/>
      <c r="AM113" s="326">
        <f t="shared" si="4"/>
        <v>3420</v>
      </c>
      <c r="AN113" s="327">
        <f t="shared" si="5"/>
        <v>0.66236849999999992</v>
      </c>
      <c r="AO113" s="323"/>
      <c r="AP113" s="323">
        <v>1010</v>
      </c>
      <c r="AQ113" s="328">
        <f>AN113*AP113*32.2938</f>
        <v>21604.299823952995</v>
      </c>
    </row>
    <row r="114" spans="1:43">
      <c r="A114" s="341" t="s">
        <v>177</v>
      </c>
      <c r="B114" s="323">
        <v>12.2</v>
      </c>
      <c r="C114" s="323">
        <v>31.75</v>
      </c>
      <c r="D114" s="323">
        <v>500</v>
      </c>
      <c r="E114" s="323">
        <v>380</v>
      </c>
      <c r="F114" s="333" t="s">
        <v>181</v>
      </c>
      <c r="G114" s="335">
        <v>46178</v>
      </c>
      <c r="H114" s="323"/>
      <c r="I114" s="323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  <c r="AE114" s="323"/>
      <c r="AF114" s="323"/>
      <c r="AG114" s="323"/>
      <c r="AH114" s="323"/>
      <c r="AI114" s="323"/>
      <c r="AJ114" s="323"/>
      <c r="AK114" s="323"/>
      <c r="AL114" s="323"/>
      <c r="AM114" s="326">
        <f t="shared" si="4"/>
        <v>380</v>
      </c>
      <c r="AN114" s="327">
        <f t="shared" si="5"/>
        <v>7.3596499999999981E-2</v>
      </c>
      <c r="AO114" s="323"/>
      <c r="AP114" s="323">
        <v>1010</v>
      </c>
      <c r="AQ114" s="328">
        <f>AN114*AP114*32.2938</f>
        <v>2400.4777582169995</v>
      </c>
    </row>
    <row r="115" spans="1:43">
      <c r="A115" s="341" t="s">
        <v>177</v>
      </c>
      <c r="B115" s="323">
        <v>13</v>
      </c>
      <c r="C115" s="323">
        <v>31.75</v>
      </c>
      <c r="D115" s="323">
        <v>500</v>
      </c>
      <c r="E115" s="323">
        <v>3800</v>
      </c>
      <c r="F115" s="323" t="s">
        <v>178</v>
      </c>
      <c r="G115" s="335">
        <v>45962</v>
      </c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323"/>
      <c r="AE115" s="323"/>
      <c r="AF115" s="323"/>
      <c r="AG115" s="323"/>
      <c r="AH115" s="323"/>
      <c r="AI115" s="323"/>
      <c r="AJ115" s="323"/>
      <c r="AK115" s="323"/>
      <c r="AL115" s="323"/>
      <c r="AM115" s="326">
        <f t="shared" si="4"/>
        <v>3800</v>
      </c>
      <c r="AN115" s="327">
        <f t="shared" si="5"/>
        <v>0.78422499999999995</v>
      </c>
      <c r="AO115" s="323"/>
      <c r="AP115" s="323">
        <v>996.74540000000002</v>
      </c>
      <c r="AQ115" s="328">
        <f>AP115*AN115*31.9788</f>
        <v>24996.953701660121</v>
      </c>
    </row>
    <row r="116" spans="1:43">
      <c r="A116" s="341" t="s">
        <v>177</v>
      </c>
      <c r="B116" s="323">
        <v>20</v>
      </c>
      <c r="C116" s="323">
        <v>52</v>
      </c>
      <c r="D116" s="323">
        <v>510</v>
      </c>
      <c r="E116" s="323">
        <v>500</v>
      </c>
      <c r="F116" s="333" t="s">
        <v>179</v>
      </c>
      <c r="G116" s="335">
        <v>46044</v>
      </c>
      <c r="H116" s="323"/>
      <c r="I116" s="323"/>
      <c r="J116" s="323"/>
      <c r="K116" s="323"/>
      <c r="L116" s="323"/>
      <c r="M116" s="323"/>
      <c r="N116" s="323"/>
      <c r="O116" s="323"/>
      <c r="P116" s="323"/>
      <c r="Q116" s="323">
        <v>76</v>
      </c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3"/>
      <c r="AE116" s="323"/>
      <c r="AF116" s="323"/>
      <c r="AG116" s="323"/>
      <c r="AH116" s="323"/>
      <c r="AI116" s="323"/>
      <c r="AJ116" s="323"/>
      <c r="AK116" s="323"/>
      <c r="AL116" s="323"/>
      <c r="AM116" s="326">
        <f t="shared" si="4"/>
        <v>424</v>
      </c>
      <c r="AN116" s="327">
        <f t="shared" si="5"/>
        <v>0.2248896</v>
      </c>
      <c r="AO116" s="323"/>
      <c r="AP116" s="323">
        <v>910</v>
      </c>
      <c r="AQ116" s="328">
        <f>AN116*AP116*31.4666</f>
        <v>6439.6250894975992</v>
      </c>
    </row>
    <row r="117" spans="1:43">
      <c r="A117" s="341" t="s">
        <v>177</v>
      </c>
      <c r="B117" s="323">
        <v>20</v>
      </c>
      <c r="C117" s="323">
        <v>52</v>
      </c>
      <c r="D117" s="323">
        <v>510</v>
      </c>
      <c r="E117" s="323">
        <v>1535</v>
      </c>
      <c r="F117" s="333" t="s">
        <v>182</v>
      </c>
      <c r="G117" s="335">
        <v>46129</v>
      </c>
      <c r="H117" s="323"/>
      <c r="I117" s="323"/>
      <c r="J117" s="323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  <c r="AE117" s="323"/>
      <c r="AF117" s="323"/>
      <c r="AG117" s="323"/>
      <c r="AH117" s="323"/>
      <c r="AI117" s="323"/>
      <c r="AJ117" s="323"/>
      <c r="AK117" s="323"/>
      <c r="AL117" s="323"/>
      <c r="AM117" s="326">
        <f t="shared" si="4"/>
        <v>1535</v>
      </c>
      <c r="AN117" s="327">
        <f t="shared" si="5"/>
        <v>0.814164</v>
      </c>
      <c r="AO117" s="323"/>
      <c r="AP117" s="323">
        <v>920.74689999999998</v>
      </c>
      <c r="AQ117" s="328">
        <f>AN117*AP117*32.763</f>
        <v>24560.421871978087</v>
      </c>
    </row>
    <row r="118" spans="1:43">
      <c r="A118" s="341" t="s">
        <v>177</v>
      </c>
      <c r="B118" s="323">
        <v>12.2</v>
      </c>
      <c r="C118" s="323">
        <v>41</v>
      </c>
      <c r="D118" s="323">
        <v>520</v>
      </c>
      <c r="E118" s="323">
        <v>3600</v>
      </c>
      <c r="F118" s="333" t="s">
        <v>181</v>
      </c>
      <c r="G118" s="335">
        <v>46178</v>
      </c>
      <c r="H118" s="323"/>
      <c r="I118" s="323"/>
      <c r="J118" s="323"/>
      <c r="K118" s="323"/>
      <c r="L118" s="323"/>
      <c r="M118" s="323"/>
      <c r="N118" s="323"/>
      <c r="O118" s="323"/>
      <c r="P118" s="323"/>
      <c r="Q118" s="323">
        <v>2095</v>
      </c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  <c r="AB118" s="323"/>
      <c r="AC118" s="323"/>
      <c r="AD118" s="323"/>
      <c r="AE118" s="323"/>
      <c r="AF118" s="323"/>
      <c r="AG118" s="323"/>
      <c r="AH118" s="323"/>
      <c r="AI118" s="323"/>
      <c r="AJ118" s="323"/>
      <c r="AK118" s="323"/>
      <c r="AL118" s="323"/>
      <c r="AM118" s="326">
        <f t="shared" si="4"/>
        <v>1505</v>
      </c>
      <c r="AN118" s="327">
        <f t="shared" si="5"/>
        <v>0.39145651999999997</v>
      </c>
      <c r="AO118" s="323"/>
      <c r="AP118" s="323">
        <v>1010</v>
      </c>
      <c r="AQ118" s="328">
        <f>AN118*AP118*32.2938</f>
        <v>12768.034751231758</v>
      </c>
    </row>
    <row r="119" spans="1:43">
      <c r="A119" s="341" t="s">
        <v>177</v>
      </c>
      <c r="B119" s="323">
        <v>12.2</v>
      </c>
      <c r="C119" s="323">
        <v>41</v>
      </c>
      <c r="D119" s="323">
        <v>520</v>
      </c>
      <c r="E119" s="323">
        <v>900</v>
      </c>
      <c r="F119" s="333" t="s">
        <v>181</v>
      </c>
      <c r="G119" s="335">
        <v>46178</v>
      </c>
      <c r="H119" s="323"/>
      <c r="I119" s="323"/>
      <c r="J119" s="323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  <c r="AB119" s="323"/>
      <c r="AC119" s="323"/>
      <c r="AD119" s="323"/>
      <c r="AE119" s="323"/>
      <c r="AF119" s="323"/>
      <c r="AG119" s="323"/>
      <c r="AH119" s="323"/>
      <c r="AI119" s="323"/>
      <c r="AJ119" s="323"/>
      <c r="AK119" s="323"/>
      <c r="AL119" s="323"/>
      <c r="AM119" s="326">
        <f t="shared" si="4"/>
        <v>900</v>
      </c>
      <c r="AN119" s="327">
        <f t="shared" si="5"/>
        <v>0.23409360000000001</v>
      </c>
      <c r="AO119" s="323"/>
      <c r="AP119" s="323">
        <v>1010</v>
      </c>
      <c r="AQ119" s="328">
        <f>AN119*AP119*32.2938</f>
        <v>7635.3696186767993</v>
      </c>
    </row>
    <row r="120" spans="1:43">
      <c r="A120" s="341" t="s">
        <v>177</v>
      </c>
      <c r="B120" s="342">
        <v>12.2</v>
      </c>
      <c r="C120" s="343">
        <v>41.3</v>
      </c>
      <c r="D120" s="343">
        <v>520</v>
      </c>
      <c r="E120" s="343">
        <v>2080</v>
      </c>
      <c r="F120" s="344" t="s">
        <v>180</v>
      </c>
      <c r="G120" s="335">
        <v>45846</v>
      </c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>
        <v>100</v>
      </c>
      <c r="Y120" s="323">
        <v>1023</v>
      </c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6">
        <f t="shared" si="4"/>
        <v>957</v>
      </c>
      <c r="AN120" s="327">
        <f t="shared" si="5"/>
        <v>0.25074089039999997</v>
      </c>
      <c r="AO120" s="323"/>
      <c r="AP120" s="323">
        <v>974.22850000000005</v>
      </c>
      <c r="AQ120" s="328">
        <f t="shared" ref="AQ120:AQ126" si="6">AN120*AP120*32.8864</f>
        <v>8033.4543254335704</v>
      </c>
    </row>
    <row r="121" spans="1:43">
      <c r="A121" s="341" t="s">
        <v>177</v>
      </c>
      <c r="B121" s="342">
        <v>12.2</v>
      </c>
      <c r="C121" s="343">
        <v>41.3</v>
      </c>
      <c r="D121" s="343">
        <v>520</v>
      </c>
      <c r="E121" s="343">
        <v>2440</v>
      </c>
      <c r="F121" s="344" t="s">
        <v>180</v>
      </c>
      <c r="G121" s="335">
        <v>45846</v>
      </c>
      <c r="H121" s="323"/>
      <c r="I121" s="323"/>
      <c r="J121" s="323"/>
      <c r="K121" s="323">
        <v>2280</v>
      </c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3"/>
      <c r="AE121" s="323"/>
      <c r="AF121" s="323"/>
      <c r="AG121" s="323"/>
      <c r="AH121" s="323"/>
      <c r="AI121" s="323"/>
      <c r="AJ121" s="323"/>
      <c r="AK121" s="323"/>
      <c r="AL121" s="323"/>
      <c r="AM121" s="326">
        <f t="shared" si="4"/>
        <v>160</v>
      </c>
      <c r="AN121" s="327">
        <f t="shared" si="5"/>
        <v>4.1921152000000003E-2</v>
      </c>
      <c r="AO121" s="323"/>
      <c r="AP121" s="323">
        <v>974.22850000000005</v>
      </c>
      <c r="AQ121" s="328">
        <f t="shared" si="6"/>
        <v>1343.1062613055083</v>
      </c>
    </row>
    <row r="122" spans="1:43">
      <c r="A122" s="341" t="s">
        <v>177</v>
      </c>
      <c r="B122" s="342">
        <v>20</v>
      </c>
      <c r="C122" s="343">
        <v>62</v>
      </c>
      <c r="D122" s="343">
        <v>530</v>
      </c>
      <c r="E122" s="343">
        <v>800</v>
      </c>
      <c r="F122" s="344" t="s">
        <v>180</v>
      </c>
      <c r="G122" s="335">
        <v>45846</v>
      </c>
      <c r="H122" s="323"/>
      <c r="I122" s="323"/>
      <c r="J122" s="323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  <c r="AE122" s="323"/>
      <c r="AF122" s="323"/>
      <c r="AG122" s="323"/>
      <c r="AH122" s="323"/>
      <c r="AI122" s="323"/>
      <c r="AJ122" s="323"/>
      <c r="AK122" s="323"/>
      <c r="AL122" s="323"/>
      <c r="AM122" s="326">
        <f t="shared" si="4"/>
        <v>800</v>
      </c>
      <c r="AN122" s="327">
        <f t="shared" si="5"/>
        <v>0.52576000000000001</v>
      </c>
      <c r="AO122" s="323"/>
      <c r="AP122" s="323">
        <v>974.22850000000005</v>
      </c>
      <c r="AQ122" s="328">
        <f t="shared" si="6"/>
        <v>16844.755314548227</v>
      </c>
    </row>
    <row r="123" spans="1:43">
      <c r="A123" s="341" t="s">
        <v>177</v>
      </c>
      <c r="B123" s="342">
        <v>9.5299999999999994</v>
      </c>
      <c r="C123" s="343">
        <v>63.5</v>
      </c>
      <c r="D123" s="343">
        <v>530</v>
      </c>
      <c r="E123" s="343">
        <v>800</v>
      </c>
      <c r="F123" s="344" t="s">
        <v>180</v>
      </c>
      <c r="G123" s="335">
        <v>45846</v>
      </c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323"/>
      <c r="AE123" s="323"/>
      <c r="AF123" s="323"/>
      <c r="AG123" s="323"/>
      <c r="AH123" s="323"/>
      <c r="AI123" s="323"/>
      <c r="AJ123" s="323"/>
      <c r="AK123" s="323"/>
      <c r="AL123" s="323"/>
      <c r="AM123" s="326">
        <f t="shared" si="4"/>
        <v>800</v>
      </c>
      <c r="AN123" s="327">
        <f t="shared" si="5"/>
        <v>0.25658571999999996</v>
      </c>
      <c r="AO123" s="323"/>
      <c r="AP123" s="323">
        <v>974.22850000000005</v>
      </c>
      <c r="AQ123" s="328">
        <f t="shared" si="6"/>
        <v>8220.7160503027662</v>
      </c>
    </row>
    <row r="124" spans="1:43">
      <c r="A124" s="341" t="s">
        <v>177</v>
      </c>
      <c r="B124" s="342">
        <v>9.5299999999999994</v>
      </c>
      <c r="C124" s="343">
        <v>63.5</v>
      </c>
      <c r="D124" s="343">
        <v>530</v>
      </c>
      <c r="E124" s="343">
        <v>3000</v>
      </c>
      <c r="F124" s="344" t="s">
        <v>180</v>
      </c>
      <c r="G124" s="335">
        <v>45846</v>
      </c>
      <c r="H124" s="323"/>
      <c r="I124" s="323"/>
      <c r="J124" s="323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>
        <v>1718</v>
      </c>
      <c r="Y124" s="323"/>
      <c r="Z124" s="323"/>
      <c r="AA124" s="323"/>
      <c r="AB124" s="323"/>
      <c r="AC124" s="323"/>
      <c r="AD124" s="323"/>
      <c r="AE124" s="323"/>
      <c r="AF124" s="323"/>
      <c r="AG124" s="323"/>
      <c r="AH124" s="323"/>
      <c r="AI124" s="323"/>
      <c r="AJ124" s="323"/>
      <c r="AK124" s="323"/>
      <c r="AL124" s="323"/>
      <c r="AM124" s="326">
        <f t="shared" si="4"/>
        <v>1282</v>
      </c>
      <c r="AN124" s="327">
        <f t="shared" si="5"/>
        <v>0.41117861629999997</v>
      </c>
      <c r="AO124" s="323"/>
      <c r="AP124" s="323">
        <v>974.22850000000005</v>
      </c>
      <c r="AQ124" s="328">
        <f t="shared" si="6"/>
        <v>13173.697470610183</v>
      </c>
    </row>
    <row r="125" spans="1:43">
      <c r="A125" s="341" t="s">
        <v>177</v>
      </c>
      <c r="B125" s="342">
        <v>20</v>
      </c>
      <c r="C125" s="343">
        <v>69</v>
      </c>
      <c r="D125" s="343">
        <v>530</v>
      </c>
      <c r="E125" s="343">
        <v>800</v>
      </c>
      <c r="F125" s="344" t="s">
        <v>180</v>
      </c>
      <c r="G125" s="335">
        <v>45846</v>
      </c>
      <c r="H125" s="323"/>
      <c r="I125" s="323"/>
      <c r="J125" s="323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  <c r="AB125" s="323"/>
      <c r="AC125" s="323"/>
      <c r="AD125" s="323"/>
      <c r="AE125" s="323"/>
      <c r="AF125" s="323"/>
      <c r="AG125" s="323"/>
      <c r="AH125" s="323"/>
      <c r="AI125" s="323"/>
      <c r="AJ125" s="323"/>
      <c r="AK125" s="323"/>
      <c r="AL125" s="323"/>
      <c r="AM125" s="326">
        <f t="shared" si="4"/>
        <v>800</v>
      </c>
      <c r="AN125" s="327">
        <f t="shared" si="5"/>
        <v>0.58511999999999997</v>
      </c>
      <c r="AO125" s="323"/>
      <c r="AP125" s="323">
        <v>974.22850000000005</v>
      </c>
      <c r="AQ125" s="328">
        <f t="shared" si="6"/>
        <v>18746.582527481089</v>
      </c>
    </row>
    <row r="126" spans="1:43">
      <c r="A126" s="341" t="s">
        <v>177</v>
      </c>
      <c r="B126" s="342">
        <v>18</v>
      </c>
      <c r="C126" s="343">
        <v>97</v>
      </c>
      <c r="D126" s="343">
        <v>530</v>
      </c>
      <c r="E126" s="343">
        <v>1210</v>
      </c>
      <c r="F126" s="344" t="s">
        <v>180</v>
      </c>
      <c r="G126" s="335">
        <v>45846</v>
      </c>
      <c r="H126" s="323"/>
      <c r="I126" s="323"/>
      <c r="J126" s="323"/>
      <c r="K126" s="323">
        <v>773</v>
      </c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3"/>
      <c r="AE126" s="323"/>
      <c r="AF126" s="323"/>
      <c r="AG126" s="323"/>
      <c r="AH126" s="323"/>
      <c r="AI126" s="323"/>
      <c r="AJ126" s="323"/>
      <c r="AK126" s="323"/>
      <c r="AL126" s="323"/>
      <c r="AM126" s="326">
        <f t="shared" si="4"/>
        <v>437</v>
      </c>
      <c r="AN126" s="327">
        <f t="shared" si="5"/>
        <v>0.40439106000000002</v>
      </c>
      <c r="AO126" s="323"/>
      <c r="AP126" s="323">
        <v>974.22850000000005</v>
      </c>
      <c r="AQ126" s="328">
        <f t="shared" si="6"/>
        <v>12956.23184930537</v>
      </c>
    </row>
    <row r="127" spans="1:43">
      <c r="A127" s="341" t="s">
        <v>177</v>
      </c>
      <c r="B127" s="323">
        <v>20</v>
      </c>
      <c r="C127" s="323">
        <v>97</v>
      </c>
      <c r="D127" s="323">
        <v>550</v>
      </c>
      <c r="E127" s="323">
        <v>1190</v>
      </c>
      <c r="F127" s="333" t="s">
        <v>182</v>
      </c>
      <c r="G127" s="335">
        <v>46129</v>
      </c>
      <c r="H127" s="323"/>
      <c r="I127" s="323"/>
      <c r="J127" s="323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3"/>
      <c r="AE127" s="323"/>
      <c r="AF127" s="323"/>
      <c r="AG127" s="323"/>
      <c r="AH127" s="323"/>
      <c r="AI127" s="323"/>
      <c r="AJ127" s="323"/>
      <c r="AK127" s="323"/>
      <c r="AL127" s="323"/>
      <c r="AM127" s="326">
        <f t="shared" si="4"/>
        <v>1190</v>
      </c>
      <c r="AN127" s="327">
        <f t="shared" si="5"/>
        <v>1.26973</v>
      </c>
      <c r="AO127" s="323"/>
      <c r="AP127" s="323">
        <v>920.74689999999998</v>
      </c>
      <c r="AQ127" s="328">
        <f t="shared" ref="AQ127:AQ132" si="7">AN127*AP127*32.763</f>
        <v>38303.222033284124</v>
      </c>
    </row>
    <row r="128" spans="1:43">
      <c r="A128" s="341" t="s">
        <v>177</v>
      </c>
      <c r="B128" s="323">
        <v>20</v>
      </c>
      <c r="C128" s="323">
        <v>97</v>
      </c>
      <c r="D128" s="323">
        <v>550</v>
      </c>
      <c r="E128" s="323">
        <v>594</v>
      </c>
      <c r="F128" s="333" t="s">
        <v>182</v>
      </c>
      <c r="G128" s="335">
        <v>46129</v>
      </c>
      <c r="H128" s="323"/>
      <c r="I128" s="323"/>
      <c r="J128" s="323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3"/>
      <c r="AG128" s="323"/>
      <c r="AH128" s="323"/>
      <c r="AI128" s="323"/>
      <c r="AJ128" s="323"/>
      <c r="AK128" s="323"/>
      <c r="AL128" s="323"/>
      <c r="AM128" s="326">
        <f t="shared" si="4"/>
        <v>594</v>
      </c>
      <c r="AN128" s="327">
        <f t="shared" si="5"/>
        <v>0.63379799999999997</v>
      </c>
      <c r="AO128" s="323"/>
      <c r="AP128" s="323">
        <v>920.74689999999998</v>
      </c>
      <c r="AQ128" s="328">
        <f t="shared" si="7"/>
        <v>19119.423435101486</v>
      </c>
    </row>
    <row r="129" spans="1:43">
      <c r="A129" s="341" t="s">
        <v>177</v>
      </c>
      <c r="B129" s="323">
        <v>20</v>
      </c>
      <c r="C129" s="323">
        <v>97</v>
      </c>
      <c r="D129" s="323">
        <v>550</v>
      </c>
      <c r="E129" s="323">
        <v>594</v>
      </c>
      <c r="F129" s="333" t="s">
        <v>182</v>
      </c>
      <c r="G129" s="335">
        <v>46129</v>
      </c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6">
        <f t="shared" si="4"/>
        <v>594</v>
      </c>
      <c r="AN129" s="327">
        <f t="shared" si="5"/>
        <v>0.63379799999999997</v>
      </c>
      <c r="AO129" s="323"/>
      <c r="AP129" s="323">
        <v>920.74689999999998</v>
      </c>
      <c r="AQ129" s="328">
        <f t="shared" si="7"/>
        <v>19119.423435101486</v>
      </c>
    </row>
    <row r="130" spans="1:43">
      <c r="A130" s="341" t="s">
        <v>177</v>
      </c>
      <c r="B130" s="323">
        <v>20</v>
      </c>
      <c r="C130" s="323">
        <v>97</v>
      </c>
      <c r="D130" s="323">
        <v>550</v>
      </c>
      <c r="E130" s="323">
        <v>1296</v>
      </c>
      <c r="F130" s="333" t="s">
        <v>182</v>
      </c>
      <c r="G130" s="335">
        <v>46129</v>
      </c>
      <c r="H130" s="323"/>
      <c r="I130" s="323"/>
      <c r="J130" s="323"/>
      <c r="K130" s="323"/>
      <c r="L130" s="323">
        <v>162</v>
      </c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  <c r="AB130" s="323"/>
      <c r="AC130" s="323"/>
      <c r="AD130" s="323"/>
      <c r="AE130" s="323"/>
      <c r="AF130" s="323"/>
      <c r="AG130" s="323"/>
      <c r="AH130" s="323"/>
      <c r="AI130" s="323"/>
      <c r="AJ130" s="323"/>
      <c r="AK130" s="323"/>
      <c r="AL130" s="323"/>
      <c r="AM130" s="326">
        <f t="shared" si="4"/>
        <v>1134</v>
      </c>
      <c r="AN130" s="327">
        <f t="shared" si="5"/>
        <v>1.209978</v>
      </c>
      <c r="AO130" s="323"/>
      <c r="AP130" s="323">
        <v>920.74689999999998</v>
      </c>
      <c r="AQ130" s="328">
        <f t="shared" si="7"/>
        <v>36500.717467011935</v>
      </c>
    </row>
    <row r="131" spans="1:43">
      <c r="A131" s="341" t="s">
        <v>177</v>
      </c>
      <c r="B131" s="323">
        <v>20</v>
      </c>
      <c r="C131" s="323">
        <v>97</v>
      </c>
      <c r="D131" s="323">
        <v>550</v>
      </c>
      <c r="E131" s="323">
        <v>594</v>
      </c>
      <c r="F131" s="333" t="s">
        <v>182</v>
      </c>
      <c r="G131" s="335">
        <v>46129</v>
      </c>
      <c r="H131" s="323"/>
      <c r="I131" s="323"/>
      <c r="J131" s="323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  <c r="AE131" s="323"/>
      <c r="AF131" s="323"/>
      <c r="AG131" s="323"/>
      <c r="AH131" s="323"/>
      <c r="AI131" s="323"/>
      <c r="AJ131" s="323"/>
      <c r="AK131" s="323"/>
      <c r="AL131" s="323"/>
      <c r="AM131" s="326">
        <f t="shared" ref="AM131:AM194" si="8">E131-H131-I131-J131-K131-L131-M131-N131-O131-P131-Q131-R131-S131-T131-U131-V131-W131-X131-Y131-Z131-AA131-AB131-AC131-AD131-AE131-AF131-AG131-AH131-AI131-AJ131-AK131-AL131</f>
        <v>594</v>
      </c>
      <c r="AN131" s="327">
        <f t="shared" ref="AN131:AN194" si="9">B131*C131*D131*AM131/1000000000</f>
        <v>0.63379799999999997</v>
      </c>
      <c r="AO131" s="323"/>
      <c r="AP131" s="323">
        <v>920.74689999999998</v>
      </c>
      <c r="AQ131" s="328">
        <f t="shared" si="7"/>
        <v>19119.423435101486</v>
      </c>
    </row>
    <row r="132" spans="1:43">
      <c r="A132" s="341" t="s">
        <v>177</v>
      </c>
      <c r="B132" s="323">
        <v>20</v>
      </c>
      <c r="C132" s="323">
        <v>97</v>
      </c>
      <c r="D132" s="323">
        <v>550</v>
      </c>
      <c r="E132" s="323">
        <v>1188</v>
      </c>
      <c r="F132" s="333" t="s">
        <v>182</v>
      </c>
      <c r="G132" s="335">
        <v>46129</v>
      </c>
      <c r="H132" s="323"/>
      <c r="I132" s="323"/>
      <c r="J132" s="323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  <c r="AE132" s="323"/>
      <c r="AF132" s="323"/>
      <c r="AG132" s="323"/>
      <c r="AH132" s="323"/>
      <c r="AI132" s="323"/>
      <c r="AJ132" s="323"/>
      <c r="AK132" s="323"/>
      <c r="AL132" s="323"/>
      <c r="AM132" s="326">
        <f t="shared" si="8"/>
        <v>1188</v>
      </c>
      <c r="AN132" s="327">
        <f t="shared" si="9"/>
        <v>1.2675959999999999</v>
      </c>
      <c r="AO132" s="323"/>
      <c r="AP132" s="323">
        <v>920.74689999999998</v>
      </c>
      <c r="AQ132" s="328">
        <f t="shared" si="7"/>
        <v>38238.846870202971</v>
      </c>
    </row>
    <row r="133" spans="1:43">
      <c r="A133" s="341" t="s">
        <v>177</v>
      </c>
      <c r="B133" s="323">
        <v>20</v>
      </c>
      <c r="C133" s="323">
        <v>97</v>
      </c>
      <c r="D133" s="323">
        <v>550</v>
      </c>
      <c r="E133" s="323">
        <v>874</v>
      </c>
      <c r="F133" s="333" t="s">
        <v>181</v>
      </c>
      <c r="G133" s="335">
        <v>46178</v>
      </c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  <c r="AB133" s="323"/>
      <c r="AC133" s="323"/>
      <c r="AD133" s="323"/>
      <c r="AE133" s="323"/>
      <c r="AF133" s="323"/>
      <c r="AG133" s="323"/>
      <c r="AH133" s="323"/>
      <c r="AI133" s="323"/>
      <c r="AJ133" s="323"/>
      <c r="AK133" s="323"/>
      <c r="AL133" s="323"/>
      <c r="AM133" s="326">
        <f t="shared" si="8"/>
        <v>874</v>
      </c>
      <c r="AN133" s="327">
        <f t="shared" si="9"/>
        <v>0.932558</v>
      </c>
      <c r="AO133" s="323"/>
      <c r="AP133" s="323">
        <v>910</v>
      </c>
      <c r="AQ133" s="328">
        <f>AN133*AP133*32.2938</f>
        <v>27405.415801764</v>
      </c>
    </row>
    <row r="134" spans="1:43">
      <c r="A134" s="341" t="s">
        <v>177</v>
      </c>
      <c r="B134" s="323">
        <v>20</v>
      </c>
      <c r="C134" s="323">
        <v>97</v>
      </c>
      <c r="D134" s="323">
        <v>550</v>
      </c>
      <c r="E134" s="323">
        <v>874</v>
      </c>
      <c r="F134" s="333" t="s">
        <v>181</v>
      </c>
      <c r="G134" s="335">
        <v>46178</v>
      </c>
      <c r="H134" s="323"/>
      <c r="I134" s="323"/>
      <c r="J134" s="323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  <c r="AB134" s="323"/>
      <c r="AC134" s="323"/>
      <c r="AD134" s="323"/>
      <c r="AE134" s="323"/>
      <c r="AF134" s="323"/>
      <c r="AG134" s="323"/>
      <c r="AH134" s="323"/>
      <c r="AI134" s="323"/>
      <c r="AJ134" s="323"/>
      <c r="AK134" s="323"/>
      <c r="AL134" s="323"/>
      <c r="AM134" s="326">
        <f t="shared" si="8"/>
        <v>874</v>
      </c>
      <c r="AN134" s="327">
        <f t="shared" si="9"/>
        <v>0.932558</v>
      </c>
      <c r="AO134" s="323"/>
      <c r="AP134" s="323">
        <v>910</v>
      </c>
      <c r="AQ134" s="328">
        <f>AN134*AP134*32.2938</f>
        <v>27405.415801764</v>
      </c>
    </row>
    <row r="135" spans="1:43">
      <c r="A135" s="341" t="s">
        <v>177</v>
      </c>
      <c r="B135" s="323">
        <v>20</v>
      </c>
      <c r="C135" s="323">
        <v>97</v>
      </c>
      <c r="D135" s="323">
        <v>550</v>
      </c>
      <c r="E135" s="323">
        <v>819</v>
      </c>
      <c r="F135" s="333" t="s">
        <v>181</v>
      </c>
      <c r="G135" s="335">
        <v>46178</v>
      </c>
      <c r="H135" s="323"/>
      <c r="I135" s="323"/>
      <c r="J135" s="323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  <c r="AB135" s="323"/>
      <c r="AC135" s="323"/>
      <c r="AD135" s="323"/>
      <c r="AE135" s="323"/>
      <c r="AF135" s="323"/>
      <c r="AG135" s="323"/>
      <c r="AH135" s="323"/>
      <c r="AI135" s="323"/>
      <c r="AJ135" s="323"/>
      <c r="AK135" s="323"/>
      <c r="AL135" s="323"/>
      <c r="AM135" s="326">
        <f t="shared" si="8"/>
        <v>819</v>
      </c>
      <c r="AN135" s="327">
        <f t="shared" si="9"/>
        <v>0.87387300000000001</v>
      </c>
      <c r="AO135" s="323"/>
      <c r="AP135" s="323">
        <v>910</v>
      </c>
      <c r="AQ135" s="328">
        <f>AN135*AP135*32.2938</f>
        <v>25680.818697533996</v>
      </c>
    </row>
    <row r="136" spans="1:43">
      <c r="A136" s="341" t="s">
        <v>177</v>
      </c>
      <c r="B136" s="323">
        <v>20</v>
      </c>
      <c r="C136" s="323">
        <v>97</v>
      </c>
      <c r="D136" s="323">
        <v>550</v>
      </c>
      <c r="E136" s="323">
        <v>1188</v>
      </c>
      <c r="F136" s="333" t="s">
        <v>181</v>
      </c>
      <c r="G136" s="335">
        <v>46178</v>
      </c>
      <c r="H136" s="323"/>
      <c r="I136" s="323"/>
      <c r="J136" s="323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  <c r="AB136" s="323"/>
      <c r="AC136" s="323"/>
      <c r="AD136" s="323"/>
      <c r="AE136" s="323"/>
      <c r="AF136" s="323"/>
      <c r="AG136" s="323"/>
      <c r="AH136" s="323"/>
      <c r="AI136" s="323"/>
      <c r="AJ136" s="323"/>
      <c r="AK136" s="323"/>
      <c r="AL136" s="323"/>
      <c r="AM136" s="326">
        <f t="shared" si="8"/>
        <v>1188</v>
      </c>
      <c r="AN136" s="327">
        <f t="shared" si="9"/>
        <v>1.2675959999999999</v>
      </c>
      <c r="AO136" s="323"/>
      <c r="AP136" s="323">
        <v>1010</v>
      </c>
      <c r="AQ136" s="328">
        <f>AN136*AP136*32.2938</f>
        <v>41344.846621847995</v>
      </c>
    </row>
    <row r="137" spans="1:43">
      <c r="A137" s="341" t="s">
        <v>177</v>
      </c>
      <c r="B137" s="323">
        <v>20</v>
      </c>
      <c r="C137" s="323">
        <v>97</v>
      </c>
      <c r="D137" s="323">
        <v>550</v>
      </c>
      <c r="E137" s="323">
        <v>481</v>
      </c>
      <c r="F137" s="333" t="s">
        <v>181</v>
      </c>
      <c r="G137" s="335">
        <v>46178</v>
      </c>
      <c r="H137" s="323"/>
      <c r="I137" s="323"/>
      <c r="J137" s="323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  <c r="AB137" s="323"/>
      <c r="AC137" s="323"/>
      <c r="AD137" s="323"/>
      <c r="AE137" s="323"/>
      <c r="AF137" s="323"/>
      <c r="AG137" s="323"/>
      <c r="AH137" s="323"/>
      <c r="AI137" s="323"/>
      <c r="AJ137" s="323"/>
      <c r="AK137" s="323"/>
      <c r="AL137" s="323"/>
      <c r="AM137" s="326">
        <f t="shared" si="8"/>
        <v>481</v>
      </c>
      <c r="AN137" s="327">
        <f t="shared" si="9"/>
        <v>0.51322699999999999</v>
      </c>
      <c r="AO137" s="323"/>
      <c r="AP137" s="323">
        <v>910</v>
      </c>
      <c r="AQ137" s="328">
        <f>AN137*AP137*32.2938</f>
        <v>15082.385584265998</v>
      </c>
    </row>
    <row r="138" spans="1:43">
      <c r="A138" s="341" t="s">
        <v>177</v>
      </c>
      <c r="B138" s="323">
        <v>10</v>
      </c>
      <c r="C138" s="323">
        <v>63.5</v>
      </c>
      <c r="D138" s="323">
        <v>567</v>
      </c>
      <c r="E138" s="323">
        <v>800</v>
      </c>
      <c r="F138" s="323" t="s">
        <v>178</v>
      </c>
      <c r="G138" s="335">
        <v>45962</v>
      </c>
      <c r="H138" s="323"/>
      <c r="I138" s="323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>
        <v>585</v>
      </c>
      <c r="Y138" s="323"/>
      <c r="Z138" s="323"/>
      <c r="AA138" s="323"/>
      <c r="AB138" s="323"/>
      <c r="AC138" s="323"/>
      <c r="AD138" s="323"/>
      <c r="AE138" s="323"/>
      <c r="AF138" s="323"/>
      <c r="AG138" s="323"/>
      <c r="AH138" s="323"/>
      <c r="AI138" s="323"/>
      <c r="AJ138" s="323"/>
      <c r="AK138" s="323"/>
      <c r="AL138" s="323"/>
      <c r="AM138" s="326">
        <f t="shared" si="8"/>
        <v>215</v>
      </c>
      <c r="AN138" s="327">
        <f t="shared" si="9"/>
        <v>7.7409674999999997E-2</v>
      </c>
      <c r="AO138" s="323"/>
      <c r="AP138" s="323">
        <v>996.74540000000002</v>
      </c>
      <c r="AQ138" s="328">
        <f>AP138*AN138*31.9788</f>
        <v>2467.4118550614389</v>
      </c>
    </row>
    <row r="139" spans="1:43">
      <c r="A139" s="341" t="s">
        <v>177</v>
      </c>
      <c r="B139" s="323">
        <v>9.5299999999999994</v>
      </c>
      <c r="C139" s="323">
        <v>63</v>
      </c>
      <c r="D139" s="323">
        <v>580</v>
      </c>
      <c r="E139" s="323">
        <v>1000</v>
      </c>
      <c r="F139" s="333" t="s">
        <v>181</v>
      </c>
      <c r="G139" s="335">
        <v>46178</v>
      </c>
      <c r="H139" s="323"/>
      <c r="I139" s="323"/>
      <c r="J139" s="323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C139" s="323"/>
      <c r="AD139" s="323"/>
      <c r="AE139" s="323"/>
      <c r="AF139" s="323"/>
      <c r="AG139" s="323"/>
      <c r="AH139" s="323"/>
      <c r="AI139" s="323"/>
      <c r="AJ139" s="323"/>
      <c r="AK139" s="323"/>
      <c r="AL139" s="323"/>
      <c r="AM139" s="326">
        <f t="shared" si="8"/>
        <v>1000</v>
      </c>
      <c r="AN139" s="327">
        <f t="shared" si="9"/>
        <v>0.34822619999999999</v>
      </c>
      <c r="AO139" s="323"/>
      <c r="AP139" s="323">
        <v>1010</v>
      </c>
      <c r="AQ139" s="328">
        <f>AN139*AP139*32.2938</f>
        <v>11358.002730135599</v>
      </c>
    </row>
    <row r="140" spans="1:43">
      <c r="A140" s="341" t="s">
        <v>177</v>
      </c>
      <c r="B140" s="342">
        <v>9.5299999999999994</v>
      </c>
      <c r="C140" s="343">
        <v>63.5</v>
      </c>
      <c r="D140" s="343">
        <v>580</v>
      </c>
      <c r="E140" s="343">
        <v>1500</v>
      </c>
      <c r="F140" s="344" t="s">
        <v>180</v>
      </c>
      <c r="G140" s="335">
        <v>45846</v>
      </c>
      <c r="H140" s="323"/>
      <c r="I140" s="323"/>
      <c r="J140" s="323"/>
      <c r="K140" s="323"/>
      <c r="L140" s="323"/>
      <c r="M140" s="323"/>
      <c r="N140" s="323"/>
      <c r="O140" s="323"/>
      <c r="P140" s="323"/>
      <c r="Q140" s="323"/>
      <c r="R140" s="323">
        <v>1000</v>
      </c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3"/>
      <c r="AE140" s="323"/>
      <c r="AF140" s="323"/>
      <c r="AG140" s="323"/>
      <c r="AH140" s="323"/>
      <c r="AI140" s="323"/>
      <c r="AJ140" s="323"/>
      <c r="AK140" s="323"/>
      <c r="AL140" s="323"/>
      <c r="AM140" s="326">
        <f t="shared" si="8"/>
        <v>500</v>
      </c>
      <c r="AN140" s="327">
        <f t="shared" si="9"/>
        <v>0.17549494999999998</v>
      </c>
      <c r="AO140" s="323"/>
      <c r="AP140" s="323">
        <v>974.22850000000005</v>
      </c>
      <c r="AQ140" s="328">
        <f>AN140*AP140*32.8864</f>
        <v>5622.659562707081</v>
      </c>
    </row>
    <row r="141" spans="1:43">
      <c r="A141" s="341" t="s">
        <v>177</v>
      </c>
      <c r="B141" s="323">
        <v>9.5299999999999994</v>
      </c>
      <c r="C141" s="323">
        <v>63.5</v>
      </c>
      <c r="D141" s="323">
        <v>580</v>
      </c>
      <c r="E141" s="323">
        <v>340</v>
      </c>
      <c r="F141" s="333" t="s">
        <v>179</v>
      </c>
      <c r="G141" s="335">
        <v>46044</v>
      </c>
      <c r="H141" s="323"/>
      <c r="I141" s="323"/>
      <c r="J141" s="323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3"/>
      <c r="AE141" s="323"/>
      <c r="AF141" s="323"/>
      <c r="AG141" s="323"/>
      <c r="AH141" s="323"/>
      <c r="AI141" s="323"/>
      <c r="AJ141" s="323"/>
      <c r="AK141" s="323"/>
      <c r="AL141" s="323"/>
      <c r="AM141" s="326">
        <f t="shared" si="8"/>
        <v>340</v>
      </c>
      <c r="AN141" s="327">
        <f t="shared" si="9"/>
        <v>0.11933656599999999</v>
      </c>
      <c r="AO141" s="323"/>
      <c r="AP141" s="323">
        <v>1010</v>
      </c>
      <c r="AQ141" s="328">
        <f>AN141*AP141*31.4666</f>
        <v>3792.6671475725557</v>
      </c>
    </row>
    <row r="142" spans="1:43">
      <c r="A142" s="341" t="s">
        <v>177</v>
      </c>
      <c r="B142" s="342">
        <v>12.2</v>
      </c>
      <c r="C142" s="343">
        <v>36</v>
      </c>
      <c r="D142" s="343">
        <v>590</v>
      </c>
      <c r="E142" s="343">
        <v>219</v>
      </c>
      <c r="F142" s="344" t="s">
        <v>180</v>
      </c>
      <c r="G142" s="335">
        <v>45846</v>
      </c>
      <c r="H142" s="323"/>
      <c r="I142" s="323"/>
      <c r="J142" s="323"/>
      <c r="K142" s="323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C142" s="323"/>
      <c r="AD142" s="323"/>
      <c r="AE142" s="323">
        <v>80</v>
      </c>
      <c r="AF142" s="323"/>
      <c r="AG142" s="323"/>
      <c r="AH142" s="323"/>
      <c r="AI142" s="323"/>
      <c r="AJ142" s="323"/>
      <c r="AK142" s="323"/>
      <c r="AL142" s="323"/>
      <c r="AM142" s="326">
        <f t="shared" si="8"/>
        <v>139</v>
      </c>
      <c r="AN142" s="327">
        <f t="shared" si="9"/>
        <v>3.6018792000000001E-2</v>
      </c>
      <c r="AO142" s="323"/>
      <c r="AP142" s="323">
        <v>974.22850000000005</v>
      </c>
      <c r="AQ142" s="328">
        <f>AN142*AP142*32.8864</f>
        <v>1154.001327536532</v>
      </c>
    </row>
    <row r="143" spans="1:43">
      <c r="A143" s="341" t="s">
        <v>177</v>
      </c>
      <c r="B143" s="342">
        <v>12.2</v>
      </c>
      <c r="C143" s="343">
        <v>36</v>
      </c>
      <c r="D143" s="343">
        <v>590</v>
      </c>
      <c r="E143" s="343">
        <v>473</v>
      </c>
      <c r="F143" s="344" t="s">
        <v>180</v>
      </c>
      <c r="G143" s="335">
        <v>45846</v>
      </c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C143" s="323"/>
      <c r="AD143" s="323"/>
      <c r="AE143" s="323"/>
      <c r="AF143" s="323"/>
      <c r="AG143" s="323"/>
      <c r="AH143" s="323"/>
      <c r="AI143" s="323"/>
      <c r="AJ143" s="323"/>
      <c r="AK143" s="323"/>
      <c r="AL143" s="323"/>
      <c r="AM143" s="326">
        <f t="shared" si="8"/>
        <v>473</v>
      </c>
      <c r="AN143" s="327">
        <f t="shared" si="9"/>
        <v>0.122567544</v>
      </c>
      <c r="AO143" s="323"/>
      <c r="AP143" s="323">
        <v>974.22850000000005</v>
      </c>
      <c r="AQ143" s="328">
        <f>AN143*AP143*32.8864</f>
        <v>3926.9253807538107</v>
      </c>
    </row>
    <row r="144" spans="1:43">
      <c r="A144" s="341" t="s">
        <v>177</v>
      </c>
      <c r="B144" s="342">
        <v>12.2</v>
      </c>
      <c r="C144" s="343">
        <v>36</v>
      </c>
      <c r="D144" s="343">
        <v>590</v>
      </c>
      <c r="E144" s="343">
        <v>1568</v>
      </c>
      <c r="F144" s="344" t="s">
        <v>180</v>
      </c>
      <c r="G144" s="335">
        <v>45846</v>
      </c>
      <c r="H144" s="323"/>
      <c r="I144" s="323"/>
      <c r="J144" s="323"/>
      <c r="K144" s="323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C144" s="323"/>
      <c r="AD144" s="323"/>
      <c r="AE144" s="323"/>
      <c r="AF144" s="323"/>
      <c r="AG144" s="323"/>
      <c r="AH144" s="323"/>
      <c r="AI144" s="323"/>
      <c r="AJ144" s="323"/>
      <c r="AK144" s="323"/>
      <c r="AL144" s="323"/>
      <c r="AM144" s="326">
        <f t="shared" si="8"/>
        <v>1568</v>
      </c>
      <c r="AN144" s="327">
        <f t="shared" si="9"/>
        <v>0.40631270400000002</v>
      </c>
      <c r="AO144" s="323"/>
      <c r="AP144" s="323">
        <v>974.22850000000005</v>
      </c>
      <c r="AQ144" s="328">
        <f>AN144*AP144*32.8864</f>
        <v>13017.799148038002</v>
      </c>
    </row>
    <row r="145" spans="1:43">
      <c r="A145" s="341" t="s">
        <v>177</v>
      </c>
      <c r="B145" s="323">
        <v>13</v>
      </c>
      <c r="C145" s="323">
        <v>36</v>
      </c>
      <c r="D145" s="323">
        <v>590</v>
      </c>
      <c r="E145" s="323">
        <v>1200</v>
      </c>
      <c r="F145" s="323" t="s">
        <v>178</v>
      </c>
      <c r="G145" s="335">
        <v>45962</v>
      </c>
      <c r="H145" s="323"/>
      <c r="I145" s="323"/>
      <c r="J145" s="323"/>
      <c r="K145" s="323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  <c r="AE145" s="323"/>
      <c r="AF145" s="323"/>
      <c r="AG145" s="323"/>
      <c r="AH145" s="323"/>
      <c r="AI145" s="323"/>
      <c r="AJ145" s="323"/>
      <c r="AK145" s="323"/>
      <c r="AL145" s="323"/>
      <c r="AM145" s="326">
        <f t="shared" si="8"/>
        <v>1200</v>
      </c>
      <c r="AN145" s="327">
        <f t="shared" si="9"/>
        <v>0.33134400000000003</v>
      </c>
      <c r="AO145" s="323"/>
      <c r="AP145" s="323">
        <v>996.74540000000002</v>
      </c>
      <c r="AQ145" s="328">
        <f>AP145*AN145*31.9788</f>
        <v>10561.497819277467</v>
      </c>
    </row>
    <row r="146" spans="1:43">
      <c r="A146" s="341" t="s">
        <v>177</v>
      </c>
      <c r="B146" s="342">
        <v>20</v>
      </c>
      <c r="C146" s="343">
        <v>69</v>
      </c>
      <c r="D146" s="343">
        <v>600</v>
      </c>
      <c r="E146" s="343">
        <v>400</v>
      </c>
      <c r="F146" s="344" t="s">
        <v>180</v>
      </c>
      <c r="G146" s="335">
        <v>45846</v>
      </c>
      <c r="H146" s="323"/>
      <c r="I146" s="323"/>
      <c r="J146" s="323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3"/>
      <c r="AE146" s="323"/>
      <c r="AF146" s="323"/>
      <c r="AG146" s="323"/>
      <c r="AH146" s="323"/>
      <c r="AI146" s="323"/>
      <c r="AJ146" s="323"/>
      <c r="AK146" s="323"/>
      <c r="AL146" s="323"/>
      <c r="AM146" s="326">
        <f t="shared" si="8"/>
        <v>400</v>
      </c>
      <c r="AN146" s="327">
        <f t="shared" si="9"/>
        <v>0.33119999999999999</v>
      </c>
      <c r="AO146" s="323"/>
      <c r="AP146" s="323">
        <v>974.22850000000005</v>
      </c>
      <c r="AQ146" s="328">
        <f>AN146*AP146*32.8864</f>
        <v>10611.273128762881</v>
      </c>
    </row>
    <row r="147" spans="1:43">
      <c r="A147" s="341" t="s">
        <v>177</v>
      </c>
      <c r="B147" s="323">
        <v>101.6</v>
      </c>
      <c r="C147" s="323">
        <v>13</v>
      </c>
      <c r="D147" s="323">
        <v>609.6</v>
      </c>
      <c r="E147" s="323">
        <v>2800</v>
      </c>
      <c r="F147" s="333" t="s">
        <v>179</v>
      </c>
      <c r="G147" s="335">
        <v>46044</v>
      </c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3"/>
      <c r="AE147" s="323"/>
      <c r="AF147" s="323"/>
      <c r="AG147" s="323"/>
      <c r="AH147" s="323"/>
      <c r="AI147" s="323"/>
      <c r="AJ147" s="323"/>
      <c r="AK147" s="323"/>
      <c r="AL147" s="323"/>
      <c r="AM147" s="326">
        <f t="shared" si="8"/>
        <v>2800</v>
      </c>
      <c r="AN147" s="327">
        <f t="shared" si="9"/>
        <v>2.254447104</v>
      </c>
      <c r="AO147" s="323"/>
      <c r="AP147" s="323">
        <v>1010</v>
      </c>
      <c r="AQ147" s="328">
        <f>AN147*AP147*31.4666</f>
        <v>71649.183095153669</v>
      </c>
    </row>
    <row r="148" spans="1:43">
      <c r="A148" s="341" t="s">
        <v>177</v>
      </c>
      <c r="B148" s="323">
        <v>13</v>
      </c>
      <c r="C148" s="323">
        <v>101.6</v>
      </c>
      <c r="D148" s="323">
        <v>609.6</v>
      </c>
      <c r="E148" s="323">
        <v>810</v>
      </c>
      <c r="F148" s="323" t="s">
        <v>178</v>
      </c>
      <c r="G148" s="335">
        <v>45962</v>
      </c>
      <c r="H148" s="323"/>
      <c r="I148" s="323"/>
      <c r="J148" s="323"/>
      <c r="K148" s="323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C148" s="323"/>
      <c r="AD148" s="323"/>
      <c r="AE148" s="323"/>
      <c r="AF148" s="323"/>
      <c r="AG148" s="323"/>
      <c r="AH148" s="323"/>
      <c r="AI148" s="323"/>
      <c r="AJ148" s="323"/>
      <c r="AK148" s="323"/>
      <c r="AL148" s="323"/>
      <c r="AM148" s="326">
        <f t="shared" si="8"/>
        <v>810</v>
      </c>
      <c r="AN148" s="327">
        <f t="shared" si="9"/>
        <v>0.65217934080000006</v>
      </c>
      <c r="AO148" s="323"/>
      <c r="AP148" s="323">
        <v>996.74540000000002</v>
      </c>
      <c r="AQ148" s="328">
        <f>AP148*AN148*31.9788</f>
        <v>20788.035050089988</v>
      </c>
    </row>
    <row r="149" spans="1:43">
      <c r="A149" s="341" t="s">
        <v>177</v>
      </c>
      <c r="B149" s="342">
        <v>12.2</v>
      </c>
      <c r="C149" s="343">
        <v>31.75</v>
      </c>
      <c r="D149" s="343">
        <v>610</v>
      </c>
      <c r="E149" s="343">
        <v>1098</v>
      </c>
      <c r="F149" s="344" t="s">
        <v>180</v>
      </c>
      <c r="G149" s="335">
        <v>45846</v>
      </c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>
        <v>100</v>
      </c>
      <c r="Y149" s="323"/>
      <c r="Z149" s="323"/>
      <c r="AA149" s="323"/>
      <c r="AB149" s="323"/>
      <c r="AC149" s="323"/>
      <c r="AD149" s="323"/>
      <c r="AE149" s="323"/>
      <c r="AF149" s="323"/>
      <c r="AG149" s="323"/>
      <c r="AH149" s="323"/>
      <c r="AI149" s="323"/>
      <c r="AJ149" s="323"/>
      <c r="AK149" s="323"/>
      <c r="AL149" s="323"/>
      <c r="AM149" s="326">
        <f t="shared" si="8"/>
        <v>998</v>
      </c>
      <c r="AN149" s="327">
        <f t="shared" si="9"/>
        <v>0.23581093299999997</v>
      </c>
      <c r="AO149" s="323"/>
      <c r="AP149" s="323">
        <v>974.22850000000005</v>
      </c>
      <c r="AQ149" s="328">
        <f>AN149*AP149*32.8864</f>
        <v>7555.115388923321</v>
      </c>
    </row>
    <row r="150" spans="1:43">
      <c r="A150" s="341" t="s">
        <v>177</v>
      </c>
      <c r="B150" s="342">
        <v>12.2</v>
      </c>
      <c r="C150" s="343">
        <v>31.75</v>
      </c>
      <c r="D150" s="343">
        <v>610</v>
      </c>
      <c r="E150" s="343">
        <v>1402</v>
      </c>
      <c r="F150" s="344" t="s">
        <v>180</v>
      </c>
      <c r="G150" s="335">
        <v>45846</v>
      </c>
      <c r="H150" s="323"/>
      <c r="I150" s="323"/>
      <c r="J150" s="323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3"/>
      <c r="AE150" s="323"/>
      <c r="AF150" s="323"/>
      <c r="AG150" s="323"/>
      <c r="AH150" s="323"/>
      <c r="AI150" s="323"/>
      <c r="AJ150" s="323"/>
      <c r="AK150" s="323"/>
      <c r="AL150" s="323"/>
      <c r="AM150" s="326">
        <f t="shared" si="8"/>
        <v>1402</v>
      </c>
      <c r="AN150" s="327">
        <f t="shared" si="9"/>
        <v>0.33126946699999993</v>
      </c>
      <c r="AO150" s="323"/>
      <c r="AP150" s="323">
        <v>974.22850000000005</v>
      </c>
      <c r="AQ150" s="328">
        <f>AN150*AP150*32.8864</f>
        <v>10613.498772816127</v>
      </c>
    </row>
    <row r="151" spans="1:43">
      <c r="A151" s="341" t="s">
        <v>177</v>
      </c>
      <c r="B151" s="323">
        <v>13</v>
      </c>
      <c r="C151" s="323">
        <v>31.75</v>
      </c>
      <c r="D151" s="323">
        <v>610</v>
      </c>
      <c r="E151" s="323">
        <v>1910</v>
      </c>
      <c r="F151" s="323" t="s">
        <v>178</v>
      </c>
      <c r="G151" s="335">
        <v>45962</v>
      </c>
      <c r="H151" s="323"/>
      <c r="I151" s="323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3"/>
      <c r="AE151" s="323"/>
      <c r="AF151" s="323"/>
      <c r="AG151" s="323"/>
      <c r="AH151" s="323"/>
      <c r="AI151" s="323"/>
      <c r="AJ151" s="323"/>
      <c r="AK151" s="323"/>
      <c r="AL151" s="323"/>
      <c r="AM151" s="326">
        <f t="shared" si="8"/>
        <v>1910</v>
      </c>
      <c r="AN151" s="327">
        <f t="shared" si="9"/>
        <v>0.48089502499999998</v>
      </c>
      <c r="AO151" s="323"/>
      <c r="AP151" s="323">
        <v>996.74540000000002</v>
      </c>
      <c r="AQ151" s="328">
        <f>AP151*AN151*31.9788</f>
        <v>15328.395135686424</v>
      </c>
    </row>
    <row r="152" spans="1:43">
      <c r="A152" s="341" t="s">
        <v>177</v>
      </c>
      <c r="B152" s="342">
        <v>20</v>
      </c>
      <c r="C152" s="343">
        <v>62</v>
      </c>
      <c r="D152" s="343">
        <v>640</v>
      </c>
      <c r="E152" s="343">
        <v>400</v>
      </c>
      <c r="F152" s="344" t="s">
        <v>180</v>
      </c>
      <c r="G152" s="335">
        <v>45846</v>
      </c>
      <c r="H152" s="323"/>
      <c r="I152" s="323"/>
      <c r="J152" s="323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C152" s="323"/>
      <c r="AD152" s="323"/>
      <c r="AE152" s="323"/>
      <c r="AF152" s="323"/>
      <c r="AG152" s="323"/>
      <c r="AH152" s="323"/>
      <c r="AI152" s="323"/>
      <c r="AJ152" s="323"/>
      <c r="AK152" s="323"/>
      <c r="AL152" s="323"/>
      <c r="AM152" s="326">
        <f t="shared" si="8"/>
        <v>400</v>
      </c>
      <c r="AN152" s="327">
        <f t="shared" si="9"/>
        <v>0.31744</v>
      </c>
      <c r="AO152" s="323"/>
      <c r="AP152" s="323">
        <v>974.22850000000005</v>
      </c>
      <c r="AQ152" s="328">
        <f>AN152*AP152*32.8864</f>
        <v>10170.418303123457</v>
      </c>
    </row>
    <row r="153" spans="1:43">
      <c r="A153" s="341" t="s">
        <v>177</v>
      </c>
      <c r="B153" s="323">
        <v>10</v>
      </c>
      <c r="C153" s="323">
        <v>63.5</v>
      </c>
      <c r="D153" s="323">
        <v>643</v>
      </c>
      <c r="E153" s="323">
        <v>800</v>
      </c>
      <c r="F153" s="323" t="s">
        <v>178</v>
      </c>
      <c r="G153" s="335">
        <v>45962</v>
      </c>
      <c r="H153" s="323"/>
      <c r="I153" s="323"/>
      <c r="J153" s="323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C153" s="323"/>
      <c r="AD153" s="323"/>
      <c r="AE153" s="323"/>
      <c r="AF153" s="323"/>
      <c r="AG153" s="323"/>
      <c r="AH153" s="323"/>
      <c r="AI153" s="323"/>
      <c r="AJ153" s="323"/>
      <c r="AK153" s="323"/>
      <c r="AL153" s="323"/>
      <c r="AM153" s="326">
        <f t="shared" si="8"/>
        <v>800</v>
      </c>
      <c r="AN153" s="327">
        <f t="shared" si="9"/>
        <v>0.32664399999999999</v>
      </c>
      <c r="AO153" s="323"/>
      <c r="AP153" s="323">
        <v>996.74540000000002</v>
      </c>
      <c r="AQ153" s="328">
        <f>AP153*AN153*31.9788</f>
        <v>10411.686626829123</v>
      </c>
    </row>
    <row r="154" spans="1:43">
      <c r="A154" s="341" t="s">
        <v>177</v>
      </c>
      <c r="B154" s="342">
        <v>18</v>
      </c>
      <c r="C154" s="343">
        <v>52</v>
      </c>
      <c r="D154" s="343">
        <v>670</v>
      </c>
      <c r="E154" s="343">
        <v>800</v>
      </c>
      <c r="F154" s="344" t="s">
        <v>180</v>
      </c>
      <c r="G154" s="335">
        <v>45846</v>
      </c>
      <c r="H154" s="323"/>
      <c r="I154" s="323"/>
      <c r="J154" s="323"/>
      <c r="K154" s="323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C154" s="323"/>
      <c r="AD154" s="323"/>
      <c r="AE154" s="323"/>
      <c r="AF154" s="323"/>
      <c r="AG154" s="323"/>
      <c r="AH154" s="323"/>
      <c r="AI154" s="323"/>
      <c r="AJ154" s="323"/>
      <c r="AK154" s="323"/>
      <c r="AL154" s="323"/>
      <c r="AM154" s="326">
        <f t="shared" si="8"/>
        <v>800</v>
      </c>
      <c r="AN154" s="327">
        <f t="shared" si="9"/>
        <v>0.50169600000000003</v>
      </c>
      <c r="AO154" s="323"/>
      <c r="AP154" s="323">
        <v>974.22850000000005</v>
      </c>
      <c r="AQ154" s="328">
        <f>AN154*AP154*32.8864</f>
        <v>16073.771991569512</v>
      </c>
    </row>
    <row r="155" spans="1:43">
      <c r="A155" s="341" t="s">
        <v>177</v>
      </c>
      <c r="B155" s="342">
        <v>12.2</v>
      </c>
      <c r="C155" s="343">
        <v>41.3</v>
      </c>
      <c r="D155" s="343">
        <v>680</v>
      </c>
      <c r="E155" s="343">
        <v>1500</v>
      </c>
      <c r="F155" s="344" t="s">
        <v>180</v>
      </c>
      <c r="G155" s="335">
        <v>45846</v>
      </c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  <c r="AB155" s="323"/>
      <c r="AC155" s="323"/>
      <c r="AD155" s="323"/>
      <c r="AE155" s="323"/>
      <c r="AF155" s="323"/>
      <c r="AG155" s="323"/>
      <c r="AH155" s="323"/>
      <c r="AI155" s="323"/>
      <c r="AJ155" s="323"/>
      <c r="AK155" s="323"/>
      <c r="AL155" s="323"/>
      <c r="AM155" s="326">
        <f t="shared" si="8"/>
        <v>1500</v>
      </c>
      <c r="AN155" s="327">
        <f t="shared" si="9"/>
        <v>0.51393719999999998</v>
      </c>
      <c r="AO155" s="323"/>
      <c r="AP155" s="323">
        <v>974.22850000000005</v>
      </c>
      <c r="AQ155" s="328">
        <f>AN155*AP155*32.8864</f>
        <v>16465.966184274257</v>
      </c>
    </row>
    <row r="156" spans="1:43">
      <c r="A156" s="341" t="s">
        <v>177</v>
      </c>
      <c r="B156" s="323">
        <v>13</v>
      </c>
      <c r="C156" s="323">
        <v>41.3</v>
      </c>
      <c r="D156" s="323">
        <v>680</v>
      </c>
      <c r="E156" s="323">
        <v>1800</v>
      </c>
      <c r="F156" s="323" t="s">
        <v>178</v>
      </c>
      <c r="G156" s="335">
        <v>45962</v>
      </c>
      <c r="H156" s="323"/>
      <c r="I156" s="323"/>
      <c r="J156" s="323"/>
      <c r="K156" s="323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3"/>
      <c r="AE156" s="323"/>
      <c r="AF156" s="323"/>
      <c r="AG156" s="323">
        <v>302</v>
      </c>
      <c r="AH156" s="323"/>
      <c r="AI156" s="323"/>
      <c r="AJ156" s="323"/>
      <c r="AK156" s="323"/>
      <c r="AL156" s="323"/>
      <c r="AM156" s="326">
        <f t="shared" si="8"/>
        <v>1498</v>
      </c>
      <c r="AN156" s="327">
        <f t="shared" si="9"/>
        <v>0.54690781600000005</v>
      </c>
      <c r="AO156" s="323"/>
      <c r="AP156" s="323">
        <v>996.74540000000002</v>
      </c>
      <c r="AQ156" s="328">
        <f>AP156*AN156*31.9788</f>
        <v>17432.534483889256</v>
      </c>
    </row>
    <row r="157" spans="1:43">
      <c r="A157" s="341" t="s">
        <v>177</v>
      </c>
      <c r="B157" s="323">
        <v>9.5299999999999994</v>
      </c>
      <c r="C157" s="323">
        <v>63.5</v>
      </c>
      <c r="D157" s="323">
        <v>680</v>
      </c>
      <c r="E157" s="323">
        <v>380</v>
      </c>
      <c r="F157" s="333" t="s">
        <v>179</v>
      </c>
      <c r="G157" s="335">
        <v>46044</v>
      </c>
      <c r="H157" s="323"/>
      <c r="I157" s="323"/>
      <c r="J157" s="323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3"/>
      <c r="AE157" s="323"/>
      <c r="AF157" s="323"/>
      <c r="AG157" s="323"/>
      <c r="AH157" s="323"/>
      <c r="AI157" s="323"/>
      <c r="AJ157" s="323"/>
      <c r="AK157" s="323"/>
      <c r="AL157" s="323"/>
      <c r="AM157" s="326">
        <f t="shared" si="8"/>
        <v>380</v>
      </c>
      <c r="AN157" s="327">
        <f t="shared" si="9"/>
        <v>0.15637205200000001</v>
      </c>
      <c r="AO157" s="323"/>
      <c r="AP157" s="323">
        <v>1010</v>
      </c>
      <c r="AQ157" s="328">
        <f>AN157*AP157*31.4666</f>
        <v>4969.701779577832</v>
      </c>
    </row>
    <row r="158" spans="1:43">
      <c r="A158" s="341" t="s">
        <v>177</v>
      </c>
      <c r="B158" s="323">
        <v>9.5299999999999994</v>
      </c>
      <c r="C158" s="323">
        <v>63.5</v>
      </c>
      <c r="D158" s="323">
        <v>680</v>
      </c>
      <c r="E158" s="323">
        <v>800</v>
      </c>
      <c r="F158" s="333" t="s">
        <v>181</v>
      </c>
      <c r="G158" s="335">
        <v>46178</v>
      </c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  <c r="AB158" s="323"/>
      <c r="AC158" s="323"/>
      <c r="AD158" s="323"/>
      <c r="AE158" s="323"/>
      <c r="AF158" s="323"/>
      <c r="AG158" s="323"/>
      <c r="AH158" s="323"/>
      <c r="AI158" s="323"/>
      <c r="AJ158" s="323"/>
      <c r="AK158" s="323"/>
      <c r="AL158" s="323"/>
      <c r="AM158" s="326">
        <f t="shared" si="8"/>
        <v>800</v>
      </c>
      <c r="AN158" s="327">
        <f t="shared" si="9"/>
        <v>0.32920431999999999</v>
      </c>
      <c r="AO158" s="323"/>
      <c r="AP158" s="323">
        <v>1010</v>
      </c>
      <c r="AQ158" s="328">
        <f>AN158*AP158*32.2938</f>
        <v>10737.571053908159</v>
      </c>
    </row>
    <row r="159" spans="1:43">
      <c r="A159" s="341" t="s">
        <v>177</v>
      </c>
      <c r="B159" s="323">
        <v>9.5299999999999994</v>
      </c>
      <c r="C159" s="323">
        <v>63.5</v>
      </c>
      <c r="D159" s="323">
        <v>680</v>
      </c>
      <c r="E159" s="323">
        <v>200</v>
      </c>
      <c r="F159" s="333" t="s">
        <v>181</v>
      </c>
      <c r="G159" s="335">
        <v>46178</v>
      </c>
      <c r="H159" s="323"/>
      <c r="I159" s="323"/>
      <c r="J159" s="323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  <c r="AB159" s="323"/>
      <c r="AC159" s="323"/>
      <c r="AD159" s="323"/>
      <c r="AE159" s="323"/>
      <c r="AF159" s="323"/>
      <c r="AG159" s="323"/>
      <c r="AH159" s="323"/>
      <c r="AI159" s="323"/>
      <c r="AJ159" s="323"/>
      <c r="AK159" s="323"/>
      <c r="AL159" s="323"/>
      <c r="AM159" s="326">
        <f t="shared" si="8"/>
        <v>200</v>
      </c>
      <c r="AN159" s="327">
        <f t="shared" si="9"/>
        <v>8.2301079999999999E-2</v>
      </c>
      <c r="AO159" s="323"/>
      <c r="AP159" s="323">
        <v>1010</v>
      </c>
      <c r="AQ159" s="328">
        <f>AN159*AP159*32.2938</f>
        <v>2684.3927634770398</v>
      </c>
    </row>
    <row r="160" spans="1:43">
      <c r="A160" s="341" t="s">
        <v>177</v>
      </c>
      <c r="B160" s="323">
        <v>20</v>
      </c>
      <c r="C160" s="323">
        <v>52</v>
      </c>
      <c r="D160" s="323">
        <v>700</v>
      </c>
      <c r="E160" s="323">
        <v>1000</v>
      </c>
      <c r="F160" s="333" t="s">
        <v>179</v>
      </c>
      <c r="G160" s="335">
        <v>46044</v>
      </c>
      <c r="H160" s="323"/>
      <c r="I160" s="323"/>
      <c r="J160" s="323"/>
      <c r="K160" s="323"/>
      <c r="L160" s="323"/>
      <c r="M160" s="323"/>
      <c r="N160" s="323"/>
      <c r="O160" s="323"/>
      <c r="P160" s="323"/>
      <c r="Q160" s="323">
        <v>292</v>
      </c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  <c r="AB160" s="323"/>
      <c r="AC160" s="323"/>
      <c r="AD160" s="323"/>
      <c r="AE160" s="323"/>
      <c r="AF160" s="323"/>
      <c r="AG160" s="323"/>
      <c r="AH160" s="323"/>
      <c r="AI160" s="323"/>
      <c r="AJ160" s="323"/>
      <c r="AK160" s="323"/>
      <c r="AL160" s="323"/>
      <c r="AM160" s="326">
        <f t="shared" si="8"/>
        <v>708</v>
      </c>
      <c r="AN160" s="327">
        <f t="shared" si="9"/>
        <v>0.51542399999999999</v>
      </c>
      <c r="AO160" s="323"/>
      <c r="AP160" s="323">
        <v>910</v>
      </c>
      <c r="AQ160" s="328">
        <f>AN160*AP160*31.4666</f>
        <v>14758.963162944001</v>
      </c>
    </row>
    <row r="161" spans="1:43">
      <c r="A161" s="341" t="s">
        <v>177</v>
      </c>
      <c r="B161" s="323">
        <v>20</v>
      </c>
      <c r="C161" s="323">
        <v>52</v>
      </c>
      <c r="D161" s="323">
        <v>700</v>
      </c>
      <c r="E161" s="323">
        <v>320</v>
      </c>
      <c r="F161" s="330" t="s">
        <v>182</v>
      </c>
      <c r="G161" s="335">
        <v>46129</v>
      </c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  <c r="AB161" s="323"/>
      <c r="AC161" s="323"/>
      <c r="AD161" s="323"/>
      <c r="AE161" s="323"/>
      <c r="AF161" s="323"/>
      <c r="AG161" s="323"/>
      <c r="AH161" s="323"/>
      <c r="AI161" s="323"/>
      <c r="AJ161" s="323"/>
      <c r="AK161" s="323"/>
      <c r="AL161" s="323"/>
      <c r="AM161" s="326">
        <f t="shared" si="8"/>
        <v>320</v>
      </c>
      <c r="AN161" s="327">
        <f t="shared" si="9"/>
        <v>0.23296</v>
      </c>
      <c r="AO161" s="323"/>
      <c r="AP161" s="323">
        <v>920.74689999999998</v>
      </c>
      <c r="AQ161" s="328">
        <f t="shared" ref="AQ161:AQ167" si="10">AN161*AP161*32.763</f>
        <v>7027.5716923077107</v>
      </c>
    </row>
    <row r="162" spans="1:43">
      <c r="A162" s="341" t="s">
        <v>177</v>
      </c>
      <c r="B162" s="323">
        <v>20</v>
      </c>
      <c r="C162" s="323">
        <v>97</v>
      </c>
      <c r="D162" s="323">
        <v>700</v>
      </c>
      <c r="E162" s="323">
        <v>594</v>
      </c>
      <c r="F162" s="330" t="s">
        <v>182</v>
      </c>
      <c r="G162" s="335">
        <v>46129</v>
      </c>
      <c r="H162" s="323"/>
      <c r="I162" s="323"/>
      <c r="J162" s="323"/>
      <c r="K162" s="323"/>
      <c r="L162" s="323"/>
      <c r="M162" s="323"/>
      <c r="N162" s="323"/>
      <c r="O162" s="323"/>
      <c r="P162" s="323"/>
      <c r="Q162" s="323">
        <v>332</v>
      </c>
      <c r="R162" s="323"/>
      <c r="S162" s="323"/>
      <c r="T162" s="323"/>
      <c r="U162" s="323"/>
      <c r="V162" s="323"/>
      <c r="W162" s="323"/>
      <c r="X162" s="323"/>
      <c r="Y162" s="323"/>
      <c r="Z162" s="323"/>
      <c r="AA162" s="323"/>
      <c r="AB162" s="323"/>
      <c r="AC162" s="323">
        <v>64</v>
      </c>
      <c r="AD162" s="323"/>
      <c r="AE162" s="323"/>
      <c r="AF162" s="323"/>
      <c r="AG162" s="323"/>
      <c r="AH162" s="323"/>
      <c r="AI162" s="323"/>
      <c r="AJ162" s="323"/>
      <c r="AK162" s="323"/>
      <c r="AL162" s="323"/>
      <c r="AM162" s="326">
        <f t="shared" si="8"/>
        <v>198</v>
      </c>
      <c r="AN162" s="327">
        <f t="shared" si="9"/>
        <v>0.26888400000000001</v>
      </c>
      <c r="AO162" s="323"/>
      <c r="AP162" s="323">
        <v>920.74689999999998</v>
      </c>
      <c r="AQ162" s="328">
        <f t="shared" si="10"/>
        <v>8111.2705482248748</v>
      </c>
    </row>
    <row r="163" spans="1:43">
      <c r="A163" s="341" t="s">
        <v>177</v>
      </c>
      <c r="B163" s="323">
        <v>20</v>
      </c>
      <c r="C163" s="323">
        <v>97</v>
      </c>
      <c r="D163" s="323">
        <v>700</v>
      </c>
      <c r="E163" s="323">
        <v>594</v>
      </c>
      <c r="F163" s="333" t="s">
        <v>182</v>
      </c>
      <c r="G163" s="335">
        <v>46129</v>
      </c>
      <c r="H163" s="323"/>
      <c r="I163" s="323"/>
      <c r="J163" s="323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  <c r="AB163" s="323"/>
      <c r="AC163" s="323"/>
      <c r="AD163" s="323"/>
      <c r="AE163" s="323"/>
      <c r="AF163" s="323"/>
      <c r="AG163" s="323"/>
      <c r="AH163" s="323"/>
      <c r="AI163" s="323"/>
      <c r="AJ163" s="323"/>
      <c r="AK163" s="323"/>
      <c r="AL163" s="323"/>
      <c r="AM163" s="326">
        <f t="shared" si="8"/>
        <v>594</v>
      </c>
      <c r="AN163" s="327">
        <f t="shared" si="9"/>
        <v>0.80665200000000004</v>
      </c>
      <c r="AO163" s="323"/>
      <c r="AP163" s="323">
        <v>920.74689999999998</v>
      </c>
      <c r="AQ163" s="328">
        <f t="shared" si="10"/>
        <v>24333.811644674624</v>
      </c>
    </row>
    <row r="164" spans="1:43">
      <c r="A164" s="341" t="s">
        <v>177</v>
      </c>
      <c r="B164" s="323">
        <v>20</v>
      </c>
      <c r="C164" s="323">
        <v>97</v>
      </c>
      <c r="D164" s="323">
        <v>700</v>
      </c>
      <c r="E164" s="323">
        <v>594</v>
      </c>
      <c r="F164" s="333" t="s">
        <v>182</v>
      </c>
      <c r="G164" s="335">
        <v>46129</v>
      </c>
      <c r="H164" s="323"/>
      <c r="I164" s="323"/>
      <c r="J164" s="323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  <c r="AB164" s="323"/>
      <c r="AC164" s="323"/>
      <c r="AD164" s="323"/>
      <c r="AE164" s="323"/>
      <c r="AF164" s="323"/>
      <c r="AG164" s="323"/>
      <c r="AH164" s="323"/>
      <c r="AI164" s="323"/>
      <c r="AJ164" s="323"/>
      <c r="AK164" s="323"/>
      <c r="AL164" s="323"/>
      <c r="AM164" s="326">
        <f t="shared" si="8"/>
        <v>594</v>
      </c>
      <c r="AN164" s="327">
        <f t="shared" si="9"/>
        <v>0.80665200000000004</v>
      </c>
      <c r="AO164" s="323"/>
      <c r="AP164" s="323">
        <v>920.74689999999998</v>
      </c>
      <c r="AQ164" s="328">
        <f t="shared" si="10"/>
        <v>24333.811644674624</v>
      </c>
    </row>
    <row r="165" spans="1:43">
      <c r="A165" s="341" t="s">
        <v>177</v>
      </c>
      <c r="B165" s="323">
        <v>20</v>
      </c>
      <c r="C165" s="323">
        <v>97</v>
      </c>
      <c r="D165" s="323">
        <v>700</v>
      </c>
      <c r="E165" s="323">
        <v>594</v>
      </c>
      <c r="F165" s="333" t="s">
        <v>182</v>
      </c>
      <c r="G165" s="335">
        <v>46129</v>
      </c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323"/>
      <c r="AB165" s="323"/>
      <c r="AC165" s="323"/>
      <c r="AD165" s="323"/>
      <c r="AE165" s="323"/>
      <c r="AF165" s="323"/>
      <c r="AG165" s="323"/>
      <c r="AH165" s="323"/>
      <c r="AI165" s="323"/>
      <c r="AJ165" s="323"/>
      <c r="AK165" s="323"/>
      <c r="AL165" s="323"/>
      <c r="AM165" s="326">
        <f t="shared" si="8"/>
        <v>594</v>
      </c>
      <c r="AN165" s="327">
        <f t="shared" si="9"/>
        <v>0.80665200000000004</v>
      </c>
      <c r="AO165" s="323"/>
      <c r="AP165" s="323">
        <v>920.74689999999998</v>
      </c>
      <c r="AQ165" s="328">
        <f t="shared" si="10"/>
        <v>24333.811644674624</v>
      </c>
    </row>
    <row r="166" spans="1:43">
      <c r="A166" s="341" t="s">
        <v>177</v>
      </c>
      <c r="B166" s="323">
        <v>20</v>
      </c>
      <c r="C166" s="323">
        <v>97</v>
      </c>
      <c r="D166" s="323">
        <v>700</v>
      </c>
      <c r="E166" s="323">
        <v>230</v>
      </c>
      <c r="F166" s="333" t="s">
        <v>182</v>
      </c>
      <c r="G166" s="335">
        <v>46129</v>
      </c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  <c r="AB166" s="323"/>
      <c r="AC166" s="323"/>
      <c r="AD166" s="323"/>
      <c r="AE166" s="323"/>
      <c r="AF166" s="323"/>
      <c r="AG166" s="323"/>
      <c r="AH166" s="323"/>
      <c r="AI166" s="323"/>
      <c r="AJ166" s="323"/>
      <c r="AK166" s="323"/>
      <c r="AL166" s="323"/>
      <c r="AM166" s="326">
        <f t="shared" si="8"/>
        <v>230</v>
      </c>
      <c r="AN166" s="327">
        <f t="shared" si="9"/>
        <v>0.31234000000000001</v>
      </c>
      <c r="AO166" s="323"/>
      <c r="AP166" s="323">
        <v>920.74689999999998</v>
      </c>
      <c r="AQ166" s="328">
        <f t="shared" si="10"/>
        <v>9422.1829600591973</v>
      </c>
    </row>
    <row r="167" spans="1:43">
      <c r="A167" s="341" t="s">
        <v>177</v>
      </c>
      <c r="B167" s="323">
        <v>20</v>
      </c>
      <c r="C167" s="323">
        <v>97</v>
      </c>
      <c r="D167" s="323">
        <v>700</v>
      </c>
      <c r="E167" s="323">
        <v>594</v>
      </c>
      <c r="F167" s="333" t="s">
        <v>182</v>
      </c>
      <c r="G167" s="335">
        <v>46129</v>
      </c>
      <c r="H167" s="323"/>
      <c r="I167" s="323"/>
      <c r="J167" s="323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  <c r="AB167" s="323"/>
      <c r="AC167" s="323"/>
      <c r="AD167" s="323"/>
      <c r="AE167" s="323"/>
      <c r="AF167" s="323"/>
      <c r="AG167" s="323"/>
      <c r="AH167" s="323"/>
      <c r="AI167" s="323"/>
      <c r="AJ167" s="323"/>
      <c r="AK167" s="323"/>
      <c r="AL167" s="323"/>
      <c r="AM167" s="326">
        <f t="shared" si="8"/>
        <v>594</v>
      </c>
      <c r="AN167" s="327">
        <f t="shared" si="9"/>
        <v>0.80665200000000004</v>
      </c>
      <c r="AO167" s="323"/>
      <c r="AP167" s="323">
        <v>920.74689999999998</v>
      </c>
      <c r="AQ167" s="328">
        <f t="shared" si="10"/>
        <v>24333.811644674624</v>
      </c>
    </row>
    <row r="168" spans="1:43">
      <c r="A168" s="341" t="s">
        <v>177</v>
      </c>
      <c r="B168" s="323">
        <v>20</v>
      </c>
      <c r="C168" s="323">
        <v>97</v>
      </c>
      <c r="D168" s="323">
        <v>730</v>
      </c>
      <c r="E168" s="323">
        <v>750</v>
      </c>
      <c r="F168" s="333" t="s">
        <v>179</v>
      </c>
      <c r="G168" s="335">
        <v>46044</v>
      </c>
      <c r="H168" s="323"/>
      <c r="I168" s="323"/>
      <c r="J168" s="323"/>
      <c r="K168" s="323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  <c r="AB168" s="323"/>
      <c r="AC168" s="323">
        <v>436</v>
      </c>
      <c r="AD168" s="323"/>
      <c r="AE168" s="323"/>
      <c r="AF168" s="323"/>
      <c r="AG168" s="323"/>
      <c r="AH168" s="323"/>
      <c r="AI168" s="323"/>
      <c r="AJ168" s="323"/>
      <c r="AK168" s="323"/>
      <c r="AL168" s="323">
        <v>64</v>
      </c>
      <c r="AM168" s="326">
        <f t="shared" si="8"/>
        <v>250</v>
      </c>
      <c r="AN168" s="327">
        <f t="shared" si="9"/>
        <v>0.35404999999999998</v>
      </c>
      <c r="AO168" s="323"/>
      <c r="AP168" s="323">
        <v>910</v>
      </c>
      <c r="AQ168" s="328">
        <f>AN168*AP168*31.4666</f>
        <v>10138.082254299999</v>
      </c>
    </row>
    <row r="169" spans="1:43">
      <c r="A169" s="341" t="s">
        <v>177</v>
      </c>
      <c r="B169" s="323">
        <v>20</v>
      </c>
      <c r="C169" s="323">
        <v>97</v>
      </c>
      <c r="D169" s="323">
        <v>730</v>
      </c>
      <c r="E169" s="323">
        <v>750</v>
      </c>
      <c r="F169" s="333" t="s">
        <v>179</v>
      </c>
      <c r="G169" s="335">
        <v>46044</v>
      </c>
      <c r="H169" s="323"/>
      <c r="I169" s="323"/>
      <c r="J169" s="323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3"/>
      <c r="AE169" s="323"/>
      <c r="AF169" s="323"/>
      <c r="AG169" s="323"/>
      <c r="AH169" s="323"/>
      <c r="AI169" s="323"/>
      <c r="AJ169" s="323"/>
      <c r="AK169" s="323"/>
      <c r="AL169" s="323"/>
      <c r="AM169" s="326">
        <f t="shared" si="8"/>
        <v>750</v>
      </c>
      <c r="AN169" s="327">
        <f t="shared" si="9"/>
        <v>1.0621499999999999</v>
      </c>
      <c r="AO169" s="323"/>
      <c r="AP169" s="323">
        <v>910</v>
      </c>
      <c r="AQ169" s="328">
        <f>AN169*AP169*31.4666</f>
        <v>30414.246762899998</v>
      </c>
    </row>
    <row r="170" spans="1:43">
      <c r="A170" s="341" t="s">
        <v>177</v>
      </c>
      <c r="B170" s="323">
        <v>20</v>
      </c>
      <c r="C170" s="323">
        <v>97</v>
      </c>
      <c r="D170" s="323">
        <v>730</v>
      </c>
      <c r="E170" s="323">
        <v>750</v>
      </c>
      <c r="F170" s="333" t="s">
        <v>179</v>
      </c>
      <c r="G170" s="335">
        <v>46044</v>
      </c>
      <c r="H170" s="323"/>
      <c r="I170" s="323"/>
      <c r="J170" s="323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3"/>
      <c r="AE170" s="323"/>
      <c r="AF170" s="323"/>
      <c r="AG170" s="323"/>
      <c r="AH170" s="323"/>
      <c r="AI170" s="323"/>
      <c r="AJ170" s="323"/>
      <c r="AK170" s="323"/>
      <c r="AL170" s="323"/>
      <c r="AM170" s="326">
        <f t="shared" si="8"/>
        <v>750</v>
      </c>
      <c r="AN170" s="327">
        <f t="shared" si="9"/>
        <v>1.0621499999999999</v>
      </c>
      <c r="AO170" s="323"/>
      <c r="AP170" s="323">
        <v>910</v>
      </c>
      <c r="AQ170" s="328">
        <f>AN170*AP170*31.4666</f>
        <v>30414.246762899998</v>
      </c>
    </row>
    <row r="171" spans="1:43">
      <c r="A171" s="341" t="s">
        <v>177</v>
      </c>
      <c r="B171" s="323">
        <v>20</v>
      </c>
      <c r="C171" s="323">
        <v>97</v>
      </c>
      <c r="D171" s="323">
        <v>730</v>
      </c>
      <c r="E171" s="323">
        <v>750</v>
      </c>
      <c r="F171" s="333" t="s">
        <v>179</v>
      </c>
      <c r="G171" s="335">
        <v>46044</v>
      </c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3"/>
      <c r="AE171" s="323"/>
      <c r="AF171" s="323"/>
      <c r="AG171" s="323"/>
      <c r="AH171" s="323"/>
      <c r="AI171" s="323"/>
      <c r="AJ171" s="323"/>
      <c r="AK171" s="323"/>
      <c r="AL171" s="323"/>
      <c r="AM171" s="326">
        <f t="shared" si="8"/>
        <v>750</v>
      </c>
      <c r="AN171" s="327">
        <f t="shared" si="9"/>
        <v>1.0621499999999999</v>
      </c>
      <c r="AO171" s="323"/>
      <c r="AP171" s="323">
        <v>910</v>
      </c>
      <c r="AQ171" s="328">
        <f>AN171*AP171*31.4666</f>
        <v>30414.246762899998</v>
      </c>
    </row>
    <row r="172" spans="1:43">
      <c r="A172" s="341" t="s">
        <v>177</v>
      </c>
      <c r="B172" s="323">
        <v>20</v>
      </c>
      <c r="C172" s="323">
        <v>97</v>
      </c>
      <c r="D172" s="323">
        <v>730</v>
      </c>
      <c r="E172" s="323">
        <v>800</v>
      </c>
      <c r="F172" s="333" t="s">
        <v>179</v>
      </c>
      <c r="G172" s="335">
        <v>46044</v>
      </c>
      <c r="H172" s="323"/>
      <c r="I172" s="323"/>
      <c r="J172" s="323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/>
      <c r="AD172" s="323"/>
      <c r="AE172" s="323"/>
      <c r="AF172" s="323"/>
      <c r="AG172" s="323"/>
      <c r="AH172" s="323"/>
      <c r="AI172" s="323"/>
      <c r="AJ172" s="323"/>
      <c r="AK172" s="323"/>
      <c r="AL172" s="323"/>
      <c r="AM172" s="326">
        <f t="shared" si="8"/>
        <v>800</v>
      </c>
      <c r="AN172" s="327">
        <f t="shared" si="9"/>
        <v>1.13296</v>
      </c>
      <c r="AO172" s="323"/>
      <c r="AP172" s="323">
        <v>910</v>
      </c>
      <c r="AQ172" s="328">
        <f>AN172*AP172*31.4666</f>
        <v>32441.86321376</v>
      </c>
    </row>
    <row r="173" spans="1:43">
      <c r="A173" s="341" t="s">
        <v>177</v>
      </c>
      <c r="B173" s="323">
        <v>20</v>
      </c>
      <c r="C173" s="323">
        <v>97</v>
      </c>
      <c r="D173" s="323">
        <v>730</v>
      </c>
      <c r="E173" s="323">
        <v>385</v>
      </c>
      <c r="F173" s="333" t="s">
        <v>182</v>
      </c>
      <c r="G173" s="335">
        <v>46129</v>
      </c>
      <c r="H173" s="323"/>
      <c r="I173" s="323"/>
      <c r="J173" s="323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3"/>
      <c r="AE173" s="323"/>
      <c r="AF173" s="323"/>
      <c r="AG173" s="323"/>
      <c r="AH173" s="323"/>
      <c r="AI173" s="323"/>
      <c r="AJ173" s="323"/>
      <c r="AK173" s="323"/>
      <c r="AL173" s="323"/>
      <c r="AM173" s="326">
        <f t="shared" si="8"/>
        <v>385</v>
      </c>
      <c r="AN173" s="327">
        <f t="shared" si="9"/>
        <v>0.54523699999999997</v>
      </c>
      <c r="AO173" s="323"/>
      <c r="AP173" s="323">
        <v>920.74689999999998</v>
      </c>
      <c r="AQ173" s="328">
        <f>AN173*AP173*32.763</f>
        <v>16447.854167233774</v>
      </c>
    </row>
    <row r="174" spans="1:43">
      <c r="A174" s="341" t="s">
        <v>177</v>
      </c>
      <c r="B174" s="323">
        <v>12.2</v>
      </c>
      <c r="C174" s="323">
        <v>41</v>
      </c>
      <c r="D174" s="323">
        <v>830</v>
      </c>
      <c r="E174" s="323">
        <v>480</v>
      </c>
      <c r="F174" s="333" t="s">
        <v>181</v>
      </c>
      <c r="G174" s="335">
        <v>46178</v>
      </c>
      <c r="H174" s="323"/>
      <c r="I174" s="323"/>
      <c r="J174" s="323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  <c r="AB174" s="323"/>
      <c r="AC174" s="323"/>
      <c r="AD174" s="323"/>
      <c r="AE174" s="323"/>
      <c r="AF174" s="323"/>
      <c r="AG174" s="323"/>
      <c r="AH174" s="323"/>
      <c r="AI174" s="323"/>
      <c r="AJ174" s="323"/>
      <c r="AK174" s="323"/>
      <c r="AL174" s="323"/>
      <c r="AM174" s="326">
        <f t="shared" si="8"/>
        <v>480</v>
      </c>
      <c r="AN174" s="327">
        <f t="shared" si="9"/>
        <v>0.19927967999999999</v>
      </c>
      <c r="AO174" s="323"/>
      <c r="AP174" s="323">
        <v>1010</v>
      </c>
      <c r="AQ174" s="328">
        <f>AN174*AP174*32.2938</f>
        <v>6499.8531112838391</v>
      </c>
    </row>
    <row r="175" spans="1:43">
      <c r="A175" s="341" t="s">
        <v>177</v>
      </c>
      <c r="B175" s="323">
        <v>12.2</v>
      </c>
      <c r="C175" s="323">
        <v>41</v>
      </c>
      <c r="D175" s="323">
        <v>830</v>
      </c>
      <c r="E175" s="323">
        <v>670</v>
      </c>
      <c r="F175" s="333" t="s">
        <v>181</v>
      </c>
      <c r="G175" s="335">
        <v>46178</v>
      </c>
      <c r="H175" s="323"/>
      <c r="I175" s="323"/>
      <c r="J175" s="323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  <c r="AB175" s="323"/>
      <c r="AC175" s="323"/>
      <c r="AD175" s="323"/>
      <c r="AE175" s="323"/>
      <c r="AF175" s="323"/>
      <c r="AG175" s="323"/>
      <c r="AH175" s="323"/>
      <c r="AI175" s="323"/>
      <c r="AJ175" s="323"/>
      <c r="AK175" s="323"/>
      <c r="AL175" s="323"/>
      <c r="AM175" s="326">
        <f t="shared" si="8"/>
        <v>670</v>
      </c>
      <c r="AN175" s="327">
        <f t="shared" si="9"/>
        <v>0.27816121999999999</v>
      </c>
      <c r="AO175" s="323"/>
      <c r="AP175" s="323">
        <v>1010</v>
      </c>
      <c r="AQ175" s="328">
        <f>AN175*AP175*32.2938</f>
        <v>9072.7116345003597</v>
      </c>
    </row>
    <row r="176" spans="1:43">
      <c r="A176" s="341" t="s">
        <v>177</v>
      </c>
      <c r="B176" s="323">
        <v>12.2</v>
      </c>
      <c r="C176" s="323">
        <v>41</v>
      </c>
      <c r="D176" s="323">
        <v>830</v>
      </c>
      <c r="E176" s="323">
        <v>670</v>
      </c>
      <c r="F176" s="333" t="s">
        <v>181</v>
      </c>
      <c r="G176" s="335">
        <v>46178</v>
      </c>
      <c r="H176" s="323"/>
      <c r="I176" s="323"/>
      <c r="J176" s="323"/>
      <c r="K176" s="323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  <c r="AB176" s="323"/>
      <c r="AC176" s="323"/>
      <c r="AD176" s="323"/>
      <c r="AE176" s="323"/>
      <c r="AF176" s="323"/>
      <c r="AG176" s="323"/>
      <c r="AH176" s="323"/>
      <c r="AI176" s="323"/>
      <c r="AJ176" s="323"/>
      <c r="AK176" s="323"/>
      <c r="AL176" s="323"/>
      <c r="AM176" s="326">
        <f t="shared" si="8"/>
        <v>670</v>
      </c>
      <c r="AN176" s="327">
        <f t="shared" si="9"/>
        <v>0.27816121999999999</v>
      </c>
      <c r="AO176" s="323"/>
      <c r="AP176" s="323">
        <v>1010</v>
      </c>
      <c r="AQ176" s="328">
        <f>AN176*AP176*32.2938</f>
        <v>9072.7116345003597</v>
      </c>
    </row>
    <row r="177" spans="1:43">
      <c r="A177" s="341" t="s">
        <v>177</v>
      </c>
      <c r="B177" s="323">
        <v>12.2</v>
      </c>
      <c r="C177" s="323">
        <v>41</v>
      </c>
      <c r="D177" s="323">
        <v>830</v>
      </c>
      <c r="E177" s="323">
        <v>1780</v>
      </c>
      <c r="F177" s="333" t="s">
        <v>181</v>
      </c>
      <c r="G177" s="335">
        <v>46178</v>
      </c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  <c r="AB177" s="323"/>
      <c r="AC177" s="323"/>
      <c r="AD177" s="323"/>
      <c r="AE177" s="323"/>
      <c r="AF177" s="323"/>
      <c r="AG177" s="323"/>
      <c r="AH177" s="323"/>
      <c r="AI177" s="323"/>
      <c r="AJ177" s="323"/>
      <c r="AK177" s="323"/>
      <c r="AL177" s="323"/>
      <c r="AM177" s="326">
        <f t="shared" si="8"/>
        <v>1780</v>
      </c>
      <c r="AN177" s="327">
        <f t="shared" si="9"/>
        <v>0.73899548000000004</v>
      </c>
      <c r="AO177" s="323"/>
      <c r="AP177" s="323">
        <v>1010</v>
      </c>
      <c r="AQ177" s="328">
        <f>AN177*AP177*32.2938</f>
        <v>24103.621954344238</v>
      </c>
    </row>
    <row r="178" spans="1:43">
      <c r="A178" s="341" t="s">
        <v>177</v>
      </c>
      <c r="B178" s="342">
        <v>12.2</v>
      </c>
      <c r="C178" s="343">
        <v>41.3</v>
      </c>
      <c r="D178" s="343">
        <v>830</v>
      </c>
      <c r="E178" s="343">
        <v>1500</v>
      </c>
      <c r="F178" s="344" t="s">
        <v>180</v>
      </c>
      <c r="G178" s="335">
        <v>45846</v>
      </c>
      <c r="H178" s="323"/>
      <c r="I178" s="323"/>
      <c r="J178" s="323"/>
      <c r="K178" s="323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  <c r="AA178" s="323"/>
      <c r="AB178" s="323"/>
      <c r="AC178" s="323"/>
      <c r="AD178" s="323"/>
      <c r="AE178" s="323"/>
      <c r="AF178" s="323"/>
      <c r="AG178" s="323"/>
      <c r="AH178" s="323"/>
      <c r="AI178" s="323"/>
      <c r="AJ178" s="323"/>
      <c r="AK178" s="323"/>
      <c r="AL178" s="323"/>
      <c r="AM178" s="326">
        <f t="shared" si="8"/>
        <v>1500</v>
      </c>
      <c r="AN178" s="327">
        <f t="shared" si="9"/>
        <v>0.62730569999999997</v>
      </c>
      <c r="AO178" s="323"/>
      <c r="AP178" s="323">
        <v>974.22850000000005</v>
      </c>
      <c r="AQ178" s="328">
        <f>AN178*AP178*32.8864</f>
        <v>20098.164607275932</v>
      </c>
    </row>
    <row r="179" spans="1:43">
      <c r="A179" s="341" t="s">
        <v>177</v>
      </c>
      <c r="B179" s="323">
        <v>20</v>
      </c>
      <c r="C179" s="323">
        <v>52</v>
      </c>
      <c r="D179" s="323">
        <v>850</v>
      </c>
      <c r="E179" s="323">
        <v>1090</v>
      </c>
      <c r="F179" s="323" t="s">
        <v>178</v>
      </c>
      <c r="G179" s="335">
        <v>45962</v>
      </c>
      <c r="H179" s="323"/>
      <c r="I179" s="323"/>
      <c r="J179" s="323"/>
      <c r="K179" s="323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  <c r="AA179" s="323"/>
      <c r="AB179" s="323"/>
      <c r="AC179" s="323"/>
      <c r="AD179" s="323"/>
      <c r="AE179" s="323"/>
      <c r="AF179" s="323"/>
      <c r="AG179" s="323"/>
      <c r="AH179" s="323"/>
      <c r="AI179" s="323"/>
      <c r="AJ179" s="323"/>
      <c r="AK179" s="323"/>
      <c r="AL179" s="323"/>
      <c r="AM179" s="326">
        <f t="shared" si="8"/>
        <v>1090</v>
      </c>
      <c r="AN179" s="327">
        <f t="shared" si="9"/>
        <v>0.96355999999999997</v>
      </c>
      <c r="AO179" s="323"/>
      <c r="AP179" s="323">
        <v>996.74540000000002</v>
      </c>
      <c r="AQ179" s="328">
        <f>AP179*AN179*31.9788</f>
        <v>30713.206935218372</v>
      </c>
    </row>
    <row r="180" spans="1:43">
      <c r="A180" s="341" t="s">
        <v>177</v>
      </c>
      <c r="B180" s="342">
        <v>18</v>
      </c>
      <c r="C180" s="343">
        <v>97</v>
      </c>
      <c r="D180" s="343">
        <v>870</v>
      </c>
      <c r="E180" s="343">
        <v>236</v>
      </c>
      <c r="F180" s="344" t="s">
        <v>180</v>
      </c>
      <c r="G180" s="335">
        <v>45846</v>
      </c>
      <c r="H180" s="323"/>
      <c r="I180" s="323"/>
      <c r="J180" s="323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323"/>
      <c r="AB180" s="323"/>
      <c r="AC180" s="323"/>
      <c r="AD180" s="323"/>
      <c r="AE180" s="323"/>
      <c r="AF180" s="323"/>
      <c r="AG180" s="323"/>
      <c r="AH180" s="323"/>
      <c r="AI180" s="323"/>
      <c r="AJ180" s="323"/>
      <c r="AK180" s="323"/>
      <c r="AL180" s="323"/>
      <c r="AM180" s="326">
        <f t="shared" si="8"/>
        <v>236</v>
      </c>
      <c r="AN180" s="327">
        <f t="shared" si="9"/>
        <v>0.35848871999999998</v>
      </c>
      <c r="AO180" s="323"/>
      <c r="AP180" s="323">
        <v>974.22850000000005</v>
      </c>
      <c r="AQ180" s="328">
        <f>AN180*AP180*32.8864</f>
        <v>11485.572830617755</v>
      </c>
    </row>
    <row r="181" spans="1:43">
      <c r="A181" s="341" t="s">
        <v>177</v>
      </c>
      <c r="B181" s="342">
        <v>18</v>
      </c>
      <c r="C181" s="343">
        <v>97</v>
      </c>
      <c r="D181" s="343">
        <v>870</v>
      </c>
      <c r="E181" s="343">
        <v>84</v>
      </c>
      <c r="F181" s="344" t="s">
        <v>180</v>
      </c>
      <c r="G181" s="335">
        <v>45846</v>
      </c>
      <c r="H181" s="323"/>
      <c r="I181" s="323"/>
      <c r="J181" s="323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323"/>
      <c r="AI181" s="323"/>
      <c r="AJ181" s="323"/>
      <c r="AK181" s="323"/>
      <c r="AL181" s="323"/>
      <c r="AM181" s="326">
        <f t="shared" si="8"/>
        <v>84</v>
      </c>
      <c r="AN181" s="327">
        <f t="shared" si="9"/>
        <v>0.12759767999999999</v>
      </c>
      <c r="AO181" s="323"/>
      <c r="AP181" s="323">
        <v>974.22850000000005</v>
      </c>
      <c r="AQ181" s="328">
        <f>AN181*AP181*32.8864</f>
        <v>4088.0852447961502</v>
      </c>
    </row>
    <row r="182" spans="1:43">
      <c r="A182" s="341" t="s">
        <v>177</v>
      </c>
      <c r="B182" s="323">
        <v>20</v>
      </c>
      <c r="C182" s="323">
        <v>97</v>
      </c>
      <c r="D182" s="323">
        <v>880</v>
      </c>
      <c r="E182" s="323">
        <v>650</v>
      </c>
      <c r="F182" s="333" t="s">
        <v>182</v>
      </c>
      <c r="G182" s="335">
        <v>46129</v>
      </c>
      <c r="H182" s="323"/>
      <c r="I182" s="323"/>
      <c r="J182" s="323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  <c r="AA182" s="323"/>
      <c r="AB182" s="323"/>
      <c r="AC182" s="323"/>
      <c r="AD182" s="323"/>
      <c r="AE182" s="323"/>
      <c r="AF182" s="323"/>
      <c r="AG182" s="323"/>
      <c r="AH182" s="323"/>
      <c r="AI182" s="323"/>
      <c r="AJ182" s="323"/>
      <c r="AK182" s="323"/>
      <c r="AL182" s="323"/>
      <c r="AM182" s="326">
        <f t="shared" si="8"/>
        <v>650</v>
      </c>
      <c r="AN182" s="327">
        <f t="shared" si="9"/>
        <v>1.10968</v>
      </c>
      <c r="AO182" s="323"/>
      <c r="AP182" s="323">
        <v>920.74689999999998</v>
      </c>
      <c r="AQ182" s="328">
        <f>AN182*AP182*32.763</f>
        <v>33475.084802197896</v>
      </c>
    </row>
    <row r="183" spans="1:43">
      <c r="A183" s="341" t="s">
        <v>177</v>
      </c>
      <c r="B183" s="323">
        <v>20</v>
      </c>
      <c r="C183" s="323">
        <v>97</v>
      </c>
      <c r="D183" s="323">
        <v>880</v>
      </c>
      <c r="E183" s="323">
        <v>650</v>
      </c>
      <c r="F183" s="333" t="s">
        <v>182</v>
      </c>
      <c r="G183" s="335">
        <v>46129</v>
      </c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  <c r="AE183" s="323"/>
      <c r="AF183" s="323"/>
      <c r="AG183" s="323"/>
      <c r="AH183" s="323"/>
      <c r="AI183" s="323"/>
      <c r="AJ183" s="323"/>
      <c r="AK183" s="323"/>
      <c r="AL183" s="323"/>
      <c r="AM183" s="326">
        <f t="shared" si="8"/>
        <v>650</v>
      </c>
      <c r="AN183" s="327">
        <f t="shared" si="9"/>
        <v>1.10968</v>
      </c>
      <c r="AO183" s="323"/>
      <c r="AP183" s="323">
        <v>920.74689999999998</v>
      </c>
      <c r="AQ183" s="328">
        <f>AN183*AP183*32.763</f>
        <v>33475.084802197896</v>
      </c>
    </row>
    <row r="184" spans="1:43">
      <c r="A184" s="341" t="s">
        <v>177</v>
      </c>
      <c r="B184" s="323">
        <v>20</v>
      </c>
      <c r="C184" s="323">
        <v>97</v>
      </c>
      <c r="D184" s="323">
        <v>880</v>
      </c>
      <c r="E184" s="323">
        <v>702</v>
      </c>
      <c r="F184" s="333" t="s">
        <v>182</v>
      </c>
      <c r="G184" s="335">
        <v>46129</v>
      </c>
      <c r="H184" s="323"/>
      <c r="I184" s="323"/>
      <c r="J184" s="323"/>
      <c r="K184" s="323"/>
      <c r="L184" s="323"/>
      <c r="M184" s="323"/>
      <c r="N184" s="323"/>
      <c r="O184" s="323"/>
      <c r="P184" s="323"/>
      <c r="Q184" s="323">
        <v>248</v>
      </c>
      <c r="R184" s="323"/>
      <c r="S184" s="323"/>
      <c r="T184" s="323"/>
      <c r="U184" s="323"/>
      <c r="V184" s="323"/>
      <c r="W184" s="323"/>
      <c r="X184" s="323"/>
      <c r="Y184" s="323"/>
      <c r="Z184" s="323"/>
      <c r="AA184" s="323"/>
      <c r="AB184" s="323"/>
      <c r="AC184" s="323"/>
      <c r="AD184" s="323"/>
      <c r="AE184" s="323"/>
      <c r="AF184" s="323"/>
      <c r="AG184" s="323"/>
      <c r="AH184" s="323"/>
      <c r="AI184" s="323"/>
      <c r="AJ184" s="323"/>
      <c r="AK184" s="323"/>
      <c r="AL184" s="323"/>
      <c r="AM184" s="326">
        <f t="shared" si="8"/>
        <v>454</v>
      </c>
      <c r="AN184" s="327">
        <f t="shared" si="9"/>
        <v>0.7750688</v>
      </c>
      <c r="AO184" s="323"/>
      <c r="AP184" s="323">
        <v>920.74689999999998</v>
      </c>
      <c r="AQ184" s="328">
        <f>AN184*AP184*32.763</f>
        <v>23381.059231073603</v>
      </c>
    </row>
    <row r="185" spans="1:43">
      <c r="A185" s="341" t="s">
        <v>177</v>
      </c>
      <c r="B185" s="323">
        <v>20</v>
      </c>
      <c r="C185" s="323">
        <v>97</v>
      </c>
      <c r="D185" s="323">
        <v>880</v>
      </c>
      <c r="E185" s="323">
        <v>352</v>
      </c>
      <c r="F185" s="333" t="s">
        <v>182</v>
      </c>
      <c r="G185" s="335">
        <v>46129</v>
      </c>
      <c r="H185" s="323"/>
      <c r="I185" s="323"/>
      <c r="J185" s="323"/>
      <c r="K185" s="323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  <c r="AA185" s="323"/>
      <c r="AB185" s="323"/>
      <c r="AC185" s="323"/>
      <c r="AD185" s="323"/>
      <c r="AE185" s="323"/>
      <c r="AF185" s="323"/>
      <c r="AG185" s="323"/>
      <c r="AH185" s="323"/>
      <c r="AI185" s="323"/>
      <c r="AJ185" s="323"/>
      <c r="AK185" s="323"/>
      <c r="AL185" s="323"/>
      <c r="AM185" s="326">
        <f t="shared" si="8"/>
        <v>352</v>
      </c>
      <c r="AN185" s="327">
        <f t="shared" si="9"/>
        <v>0.60093439999999998</v>
      </c>
      <c r="AO185" s="323"/>
      <c r="AP185" s="323">
        <v>920.74689999999998</v>
      </c>
      <c r="AQ185" s="328">
        <f>AN185*AP185*32.763</f>
        <v>18128.045923651782</v>
      </c>
    </row>
    <row r="186" spans="1:43">
      <c r="A186" s="341" t="s">
        <v>183</v>
      </c>
      <c r="B186" s="323">
        <v>15.875</v>
      </c>
      <c r="C186" s="323">
        <v>152.4</v>
      </c>
      <c r="D186" s="323">
        <v>1524</v>
      </c>
      <c r="E186" s="323">
        <v>23</v>
      </c>
      <c r="F186" s="333" t="s">
        <v>159</v>
      </c>
      <c r="G186" s="335">
        <v>46057</v>
      </c>
      <c r="H186" s="323"/>
      <c r="I186" s="323"/>
      <c r="J186" s="323"/>
      <c r="K186" s="323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  <c r="AA186" s="323"/>
      <c r="AB186" s="323"/>
      <c r="AC186" s="323"/>
      <c r="AD186" s="323"/>
      <c r="AE186" s="323"/>
      <c r="AF186" s="323"/>
      <c r="AG186" s="323"/>
      <c r="AH186" s="323"/>
      <c r="AI186" s="323"/>
      <c r="AJ186" s="323"/>
      <c r="AK186" s="323"/>
      <c r="AL186" s="323"/>
      <c r="AM186" s="326">
        <f t="shared" si="8"/>
        <v>23</v>
      </c>
      <c r="AN186" s="327">
        <f t="shared" si="9"/>
        <v>8.4803056200000004E-2</v>
      </c>
      <c r="AO186" s="323"/>
      <c r="AP186" s="323">
        <v>850</v>
      </c>
      <c r="AQ186" s="328">
        <f>AN186*AP186*31.4666</f>
        <v>2268.194270989482</v>
      </c>
    </row>
    <row r="187" spans="1:43">
      <c r="A187" s="341" t="s">
        <v>184</v>
      </c>
      <c r="B187" s="323">
        <v>15.9</v>
      </c>
      <c r="C187" s="323">
        <v>1100</v>
      </c>
      <c r="D187" s="323">
        <v>295</v>
      </c>
      <c r="E187" s="323">
        <v>164</v>
      </c>
      <c r="F187" s="323" t="s">
        <v>185</v>
      </c>
      <c r="G187" s="335">
        <v>45951</v>
      </c>
      <c r="H187" s="323"/>
      <c r="I187" s="323"/>
      <c r="J187" s="323"/>
      <c r="K187" s="323">
        <v>145</v>
      </c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323"/>
      <c r="AB187" s="323"/>
      <c r="AC187" s="323"/>
      <c r="AD187" s="323"/>
      <c r="AE187" s="323"/>
      <c r="AF187" s="323"/>
      <c r="AG187" s="323"/>
      <c r="AH187" s="323"/>
      <c r="AI187" s="323"/>
      <c r="AJ187" s="323"/>
      <c r="AK187" s="323"/>
      <c r="AL187" s="323"/>
      <c r="AM187" s="326">
        <f t="shared" si="8"/>
        <v>19</v>
      </c>
      <c r="AN187" s="327">
        <f t="shared" si="9"/>
        <v>9.8031450000000006E-2</v>
      </c>
      <c r="AO187" s="323"/>
      <c r="AP187" s="323">
        <v>680</v>
      </c>
      <c r="AQ187" s="328">
        <f>AN187*AP187*31.9788</f>
        <v>2131.7511306168003</v>
      </c>
    </row>
    <row r="188" spans="1:43">
      <c r="A188" s="341" t="s">
        <v>184</v>
      </c>
      <c r="B188" s="323">
        <v>15.9</v>
      </c>
      <c r="C188" s="323">
        <v>1100</v>
      </c>
      <c r="D188" s="323">
        <v>295</v>
      </c>
      <c r="E188" s="323">
        <v>220</v>
      </c>
      <c r="F188" s="333" t="s">
        <v>182</v>
      </c>
      <c r="G188" s="335">
        <v>46129</v>
      </c>
      <c r="H188" s="323"/>
      <c r="I188" s="323"/>
      <c r="J188" s="323"/>
      <c r="K188" s="323"/>
      <c r="L188" s="323"/>
      <c r="M188" s="323">
        <v>99</v>
      </c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  <c r="AA188" s="323"/>
      <c r="AB188" s="323"/>
      <c r="AC188" s="323"/>
      <c r="AD188" s="323"/>
      <c r="AE188" s="323"/>
      <c r="AF188" s="323"/>
      <c r="AG188" s="323"/>
      <c r="AH188" s="323"/>
      <c r="AI188" s="323"/>
      <c r="AJ188" s="323"/>
      <c r="AK188" s="323"/>
      <c r="AL188" s="323"/>
      <c r="AM188" s="326">
        <f t="shared" si="8"/>
        <v>121</v>
      </c>
      <c r="AN188" s="327">
        <f t="shared" si="9"/>
        <v>0.62430554999999999</v>
      </c>
      <c r="AO188" s="323"/>
      <c r="AP188" s="323">
        <v>715.98590000000002</v>
      </c>
      <c r="AQ188" s="328">
        <f>AN188*AP188*32.763</f>
        <v>14644.863474878841</v>
      </c>
    </row>
    <row r="189" spans="1:43">
      <c r="A189" s="341" t="s">
        <v>184</v>
      </c>
      <c r="B189" s="323">
        <v>15.9</v>
      </c>
      <c r="C189" s="323">
        <v>1100</v>
      </c>
      <c r="D189" s="323">
        <v>295</v>
      </c>
      <c r="E189" s="323">
        <v>36</v>
      </c>
      <c r="F189" s="333" t="s">
        <v>182</v>
      </c>
      <c r="G189" s="335">
        <v>46129</v>
      </c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323"/>
      <c r="AB189" s="323"/>
      <c r="AC189" s="323"/>
      <c r="AD189" s="323"/>
      <c r="AE189" s="323"/>
      <c r="AF189" s="323"/>
      <c r="AG189" s="323"/>
      <c r="AH189" s="323"/>
      <c r="AI189" s="323"/>
      <c r="AJ189" s="323"/>
      <c r="AK189" s="323"/>
      <c r="AL189" s="323"/>
      <c r="AM189" s="326">
        <f t="shared" si="8"/>
        <v>36</v>
      </c>
      <c r="AN189" s="327">
        <f t="shared" si="9"/>
        <v>0.18574379999999999</v>
      </c>
      <c r="AO189" s="323"/>
      <c r="AP189" s="323">
        <v>715.98590000000002</v>
      </c>
      <c r="AQ189" s="328">
        <f>AN189*AP189*32.763</f>
        <v>4357.1494636003163</v>
      </c>
    </row>
    <row r="190" spans="1:43">
      <c r="A190" s="341" t="s">
        <v>184</v>
      </c>
      <c r="B190" s="323">
        <v>15.9</v>
      </c>
      <c r="C190" s="323">
        <v>1100</v>
      </c>
      <c r="D190" s="323">
        <v>369</v>
      </c>
      <c r="E190" s="323">
        <v>8</v>
      </c>
      <c r="F190" s="323" t="s">
        <v>185</v>
      </c>
      <c r="G190" s="335">
        <v>45951</v>
      </c>
      <c r="H190" s="323"/>
      <c r="I190" s="323"/>
      <c r="J190" s="323"/>
      <c r="K190" s="323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  <c r="AA190" s="323"/>
      <c r="AB190" s="323"/>
      <c r="AC190" s="323"/>
      <c r="AD190" s="323"/>
      <c r="AE190" s="323"/>
      <c r="AF190" s="323"/>
      <c r="AG190" s="323"/>
      <c r="AH190" s="323"/>
      <c r="AI190" s="323"/>
      <c r="AJ190" s="323"/>
      <c r="AK190" s="323"/>
      <c r="AL190" s="323"/>
      <c r="AM190" s="326">
        <f t="shared" si="8"/>
        <v>8</v>
      </c>
      <c r="AN190" s="327">
        <f t="shared" si="9"/>
        <v>5.1630479999999999E-2</v>
      </c>
      <c r="AO190" s="323"/>
      <c r="AP190" s="323">
        <v>735</v>
      </c>
      <c r="AQ190" s="328">
        <f>AN190*AP190*31.9788</f>
        <v>1213.5443834606399</v>
      </c>
    </row>
    <row r="191" spans="1:43">
      <c r="A191" s="341" t="s">
        <v>184</v>
      </c>
      <c r="B191" s="323">
        <v>15.9</v>
      </c>
      <c r="C191" s="323">
        <v>1100</v>
      </c>
      <c r="D191" s="323">
        <v>371</v>
      </c>
      <c r="E191" s="323">
        <v>97</v>
      </c>
      <c r="F191" s="323" t="s">
        <v>186</v>
      </c>
      <c r="G191" s="335">
        <v>45890</v>
      </c>
      <c r="H191" s="323"/>
      <c r="I191" s="323"/>
      <c r="J191" s="323"/>
      <c r="K191" s="323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  <c r="AA191" s="323"/>
      <c r="AB191" s="323"/>
      <c r="AC191" s="323"/>
      <c r="AD191" s="323"/>
      <c r="AE191" s="323"/>
      <c r="AF191" s="323"/>
      <c r="AG191" s="323"/>
      <c r="AH191" s="323"/>
      <c r="AI191" s="323"/>
      <c r="AJ191" s="323"/>
      <c r="AK191" s="323"/>
      <c r="AL191" s="323"/>
      <c r="AM191" s="326">
        <f t="shared" si="8"/>
        <v>97</v>
      </c>
      <c r="AN191" s="327">
        <f t="shared" si="9"/>
        <v>0.62941263000000003</v>
      </c>
      <c r="AO191" s="323"/>
      <c r="AP191" s="323">
        <v>693.375</v>
      </c>
      <c r="AQ191" s="328">
        <f>AN191*AP191*32.4608</f>
        <v>14166.509301495937</v>
      </c>
    </row>
    <row r="192" spans="1:43">
      <c r="A192" s="341" t="s">
        <v>184</v>
      </c>
      <c r="B192" s="323">
        <v>15.9</v>
      </c>
      <c r="C192" s="323">
        <v>1100</v>
      </c>
      <c r="D192" s="323">
        <v>371</v>
      </c>
      <c r="E192" s="323">
        <v>67</v>
      </c>
      <c r="F192" s="333" t="s">
        <v>187</v>
      </c>
      <c r="G192" s="335">
        <v>46169</v>
      </c>
      <c r="H192" s="323"/>
      <c r="I192" s="323"/>
      <c r="J192" s="323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323"/>
      <c r="AB192" s="323"/>
      <c r="AC192" s="323"/>
      <c r="AD192" s="323"/>
      <c r="AE192" s="323"/>
      <c r="AF192" s="323"/>
      <c r="AG192" s="323"/>
      <c r="AH192" s="323"/>
      <c r="AI192" s="323"/>
      <c r="AJ192" s="323"/>
      <c r="AK192" s="323"/>
      <c r="AL192" s="323"/>
      <c r="AM192" s="326">
        <f t="shared" si="8"/>
        <v>67</v>
      </c>
      <c r="AN192" s="327">
        <f t="shared" si="9"/>
        <v>0.43474892999999998</v>
      </c>
      <c r="AO192" s="323"/>
      <c r="AP192" s="323">
        <v>709.85550000000001</v>
      </c>
      <c r="AQ192" s="328">
        <f>AN192*AP192*32.2938</f>
        <v>9966.1547109732692</v>
      </c>
    </row>
    <row r="193" spans="1:43">
      <c r="A193" s="341" t="s">
        <v>184</v>
      </c>
      <c r="B193" s="323">
        <v>15.9</v>
      </c>
      <c r="C193" s="323">
        <v>1100</v>
      </c>
      <c r="D193" s="323">
        <v>371</v>
      </c>
      <c r="E193" s="323">
        <v>76</v>
      </c>
      <c r="F193" s="333" t="s">
        <v>188</v>
      </c>
      <c r="G193" s="335">
        <v>46184</v>
      </c>
      <c r="H193" s="323"/>
      <c r="I193" s="323"/>
      <c r="J193" s="323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>
        <v>42</v>
      </c>
      <c r="AA193" s="323">
        <v>8</v>
      </c>
      <c r="AB193" s="323"/>
      <c r="AC193" s="323"/>
      <c r="AD193" s="323"/>
      <c r="AE193" s="323"/>
      <c r="AF193" s="323"/>
      <c r="AG193" s="323"/>
      <c r="AH193" s="323"/>
      <c r="AI193" s="323"/>
      <c r="AJ193" s="323"/>
      <c r="AK193" s="323"/>
      <c r="AL193" s="323"/>
      <c r="AM193" s="326">
        <f t="shared" si="8"/>
        <v>26</v>
      </c>
      <c r="AN193" s="327">
        <f t="shared" si="9"/>
        <v>0.16870853999999999</v>
      </c>
      <c r="AO193" s="323"/>
      <c r="AP193" s="323">
        <v>680</v>
      </c>
      <c r="AQ193" s="328">
        <f>AN193*AP193*32.7768</f>
        <v>3760.2137302329597</v>
      </c>
    </row>
    <row r="194" spans="1:43">
      <c r="A194" s="341" t="s">
        <v>184</v>
      </c>
      <c r="B194" s="323">
        <v>15.9</v>
      </c>
      <c r="C194" s="323">
        <v>76.2</v>
      </c>
      <c r="D194" s="323">
        <v>444.5</v>
      </c>
      <c r="E194" s="323">
        <v>1000</v>
      </c>
      <c r="F194" s="323" t="s">
        <v>189</v>
      </c>
      <c r="G194" s="335">
        <v>45864</v>
      </c>
      <c r="H194" s="323"/>
      <c r="I194" s="323"/>
      <c r="J194" s="323"/>
      <c r="K194" s="323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  <c r="AA194" s="323"/>
      <c r="AB194" s="323"/>
      <c r="AC194" s="323"/>
      <c r="AD194" s="323"/>
      <c r="AE194" s="323"/>
      <c r="AF194" s="323"/>
      <c r="AG194" s="323"/>
      <c r="AH194" s="323"/>
      <c r="AI194" s="323"/>
      <c r="AJ194" s="323"/>
      <c r="AK194" s="323"/>
      <c r="AL194" s="323"/>
      <c r="AM194" s="326">
        <f t="shared" si="8"/>
        <v>1000</v>
      </c>
      <c r="AN194" s="327">
        <f t="shared" si="9"/>
        <v>0.53854731</v>
      </c>
      <c r="AO194" s="323"/>
      <c r="AP194" s="323">
        <v>675.72580000000005</v>
      </c>
      <c r="AQ194" s="328">
        <f>AN194*AP194*32.8864</f>
        <v>11967.700080860304</v>
      </c>
    </row>
    <row r="195" spans="1:43">
      <c r="A195" s="341" t="s">
        <v>184</v>
      </c>
      <c r="B195" s="323">
        <v>15.9</v>
      </c>
      <c r="C195" s="323">
        <v>1100</v>
      </c>
      <c r="D195" s="323">
        <v>445</v>
      </c>
      <c r="E195" s="323">
        <v>40</v>
      </c>
      <c r="F195" s="333" t="s">
        <v>190</v>
      </c>
      <c r="G195" s="335">
        <v>46154</v>
      </c>
      <c r="H195" s="323"/>
      <c r="I195" s="323"/>
      <c r="J195" s="323"/>
      <c r="K195" s="323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  <c r="AA195" s="323"/>
      <c r="AB195" s="323"/>
      <c r="AC195" s="323"/>
      <c r="AD195" s="323"/>
      <c r="AE195" s="323"/>
      <c r="AF195" s="323"/>
      <c r="AG195" s="323"/>
      <c r="AH195" s="323"/>
      <c r="AI195" s="323"/>
      <c r="AJ195" s="323"/>
      <c r="AK195" s="323"/>
      <c r="AL195" s="323"/>
      <c r="AM195" s="326">
        <f t="shared" ref="AM195:AM229" si="11">E195-H195-I195-J195-K195-L195-M195-N195-O195-P195-Q195-R195-S195-T195-U195-V195-W195-X195-Y195-Z195-AA195-AB195-AC195-AD195-AE195-AF195-AG195-AH195-AI195-AJ195-AK195-AL195</f>
        <v>40</v>
      </c>
      <c r="AN195" s="327">
        <f t="shared" ref="AN195:AN258" si="12">B195*C195*D195*AM195/1000000000</f>
        <v>0.31132199999999999</v>
      </c>
      <c r="AO195" s="323"/>
      <c r="AP195" s="323">
        <v>735</v>
      </c>
      <c r="AQ195" s="328">
        <f>AN195*AP195*32.2938</f>
        <v>7389.5212466459989</v>
      </c>
    </row>
    <row r="196" spans="1:43">
      <c r="A196" s="341" t="s">
        <v>184</v>
      </c>
      <c r="B196" s="323">
        <v>15.9</v>
      </c>
      <c r="C196" s="323">
        <v>1100</v>
      </c>
      <c r="D196" s="323">
        <v>445</v>
      </c>
      <c r="E196" s="323">
        <v>72</v>
      </c>
      <c r="F196" s="333" t="s">
        <v>191</v>
      </c>
      <c r="G196" s="335">
        <v>46163</v>
      </c>
      <c r="H196" s="323"/>
      <c r="I196" s="323"/>
      <c r="J196" s="323"/>
      <c r="K196" s="323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3"/>
      <c r="AE196" s="323"/>
      <c r="AF196" s="323"/>
      <c r="AG196" s="323"/>
      <c r="AH196" s="323"/>
      <c r="AI196" s="323"/>
      <c r="AJ196" s="323"/>
      <c r="AK196" s="323"/>
      <c r="AL196" s="323"/>
      <c r="AM196" s="326">
        <f t="shared" si="11"/>
        <v>72</v>
      </c>
      <c r="AN196" s="327">
        <f t="shared" si="12"/>
        <v>0.56037959999999998</v>
      </c>
      <c r="AO196" s="323"/>
      <c r="AP196" s="323">
        <v>735</v>
      </c>
      <c r="AQ196" s="328">
        <f t="shared" ref="AQ196:AQ202" si="13">AN196*AP196*32.763</f>
        <v>13494.391873577999</v>
      </c>
    </row>
    <row r="197" spans="1:43">
      <c r="A197" s="341" t="s">
        <v>184</v>
      </c>
      <c r="B197" s="323">
        <v>15.9</v>
      </c>
      <c r="C197" s="323">
        <v>1100</v>
      </c>
      <c r="D197" s="323">
        <v>445</v>
      </c>
      <c r="E197" s="323">
        <v>72</v>
      </c>
      <c r="F197" s="333" t="s">
        <v>191</v>
      </c>
      <c r="G197" s="335">
        <v>46163</v>
      </c>
      <c r="H197" s="323"/>
      <c r="I197" s="323"/>
      <c r="J197" s="323"/>
      <c r="K197" s="323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  <c r="AA197" s="323"/>
      <c r="AB197" s="323"/>
      <c r="AC197" s="323"/>
      <c r="AD197" s="323"/>
      <c r="AE197" s="323"/>
      <c r="AF197" s="323"/>
      <c r="AG197" s="323"/>
      <c r="AH197" s="323"/>
      <c r="AI197" s="323"/>
      <c r="AJ197" s="323"/>
      <c r="AK197" s="323"/>
      <c r="AL197" s="323"/>
      <c r="AM197" s="326">
        <f t="shared" si="11"/>
        <v>72</v>
      </c>
      <c r="AN197" s="327">
        <f t="shared" si="12"/>
        <v>0.56037959999999998</v>
      </c>
      <c r="AO197" s="323"/>
      <c r="AP197" s="323">
        <v>735</v>
      </c>
      <c r="AQ197" s="328">
        <f t="shared" si="13"/>
        <v>13494.391873577999</v>
      </c>
    </row>
    <row r="198" spans="1:43">
      <c r="A198" s="341" t="s">
        <v>184</v>
      </c>
      <c r="B198" s="323">
        <v>15.9</v>
      </c>
      <c r="C198" s="323">
        <v>1100</v>
      </c>
      <c r="D198" s="323">
        <v>445</v>
      </c>
      <c r="E198" s="323">
        <v>72</v>
      </c>
      <c r="F198" s="333" t="s">
        <v>191</v>
      </c>
      <c r="G198" s="335">
        <v>46163</v>
      </c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323"/>
      <c r="AB198" s="323"/>
      <c r="AC198" s="323"/>
      <c r="AD198" s="323"/>
      <c r="AE198" s="323"/>
      <c r="AF198" s="323"/>
      <c r="AG198" s="323"/>
      <c r="AH198" s="323"/>
      <c r="AI198" s="323"/>
      <c r="AJ198" s="323"/>
      <c r="AK198" s="323"/>
      <c r="AL198" s="323"/>
      <c r="AM198" s="326">
        <f t="shared" si="11"/>
        <v>72</v>
      </c>
      <c r="AN198" s="327">
        <f t="shared" si="12"/>
        <v>0.56037959999999998</v>
      </c>
      <c r="AO198" s="323"/>
      <c r="AP198" s="323">
        <v>735</v>
      </c>
      <c r="AQ198" s="328">
        <f t="shared" si="13"/>
        <v>13494.391873577999</v>
      </c>
    </row>
    <row r="199" spans="1:43">
      <c r="A199" s="341" t="s">
        <v>184</v>
      </c>
      <c r="B199" s="323">
        <v>15.9</v>
      </c>
      <c r="C199" s="323">
        <v>1100</v>
      </c>
      <c r="D199" s="323">
        <v>445</v>
      </c>
      <c r="E199" s="323">
        <v>164</v>
      </c>
      <c r="F199" s="333" t="s">
        <v>191</v>
      </c>
      <c r="G199" s="335">
        <v>46163</v>
      </c>
      <c r="H199" s="323"/>
      <c r="I199" s="323"/>
      <c r="J199" s="323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  <c r="AE199" s="323"/>
      <c r="AF199" s="323"/>
      <c r="AG199" s="323"/>
      <c r="AH199" s="323">
        <v>112</v>
      </c>
      <c r="AI199" s="323"/>
      <c r="AJ199" s="323"/>
      <c r="AK199" s="323"/>
      <c r="AL199" s="323"/>
      <c r="AM199" s="326">
        <f t="shared" si="11"/>
        <v>52</v>
      </c>
      <c r="AN199" s="327">
        <f t="shared" si="12"/>
        <v>0.40471859999999998</v>
      </c>
      <c r="AO199" s="323"/>
      <c r="AP199" s="323">
        <v>735</v>
      </c>
      <c r="AQ199" s="328">
        <f t="shared" si="13"/>
        <v>9745.949686472999</v>
      </c>
    </row>
    <row r="200" spans="1:43">
      <c r="A200" s="341" t="s">
        <v>184</v>
      </c>
      <c r="B200" s="323">
        <v>15.9</v>
      </c>
      <c r="C200" s="323">
        <v>1100</v>
      </c>
      <c r="D200" s="323">
        <v>445</v>
      </c>
      <c r="E200" s="323">
        <v>155</v>
      </c>
      <c r="F200" s="333" t="s">
        <v>191</v>
      </c>
      <c r="G200" s="335">
        <v>46163</v>
      </c>
      <c r="H200" s="323"/>
      <c r="I200" s="323"/>
      <c r="J200" s="323"/>
      <c r="K200" s="323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  <c r="AA200" s="323"/>
      <c r="AB200" s="323"/>
      <c r="AC200" s="323"/>
      <c r="AD200" s="323"/>
      <c r="AE200" s="323"/>
      <c r="AF200" s="323"/>
      <c r="AG200" s="323"/>
      <c r="AH200" s="323"/>
      <c r="AI200" s="323"/>
      <c r="AJ200" s="323"/>
      <c r="AK200" s="323"/>
      <c r="AL200" s="323"/>
      <c r="AM200" s="326">
        <f t="shared" si="11"/>
        <v>155</v>
      </c>
      <c r="AN200" s="327">
        <f t="shared" si="12"/>
        <v>1.2063727500000001</v>
      </c>
      <c r="AO200" s="323"/>
      <c r="AP200" s="323">
        <v>735</v>
      </c>
      <c r="AQ200" s="328">
        <f t="shared" si="13"/>
        <v>29050.426950063753</v>
      </c>
    </row>
    <row r="201" spans="1:43">
      <c r="A201" s="341" t="s">
        <v>184</v>
      </c>
      <c r="B201" s="323">
        <v>15.9</v>
      </c>
      <c r="C201" s="323">
        <v>1100</v>
      </c>
      <c r="D201" s="323">
        <v>445</v>
      </c>
      <c r="E201" s="323">
        <v>155</v>
      </c>
      <c r="F201" s="333" t="s">
        <v>191</v>
      </c>
      <c r="G201" s="335">
        <v>46163</v>
      </c>
      <c r="H201" s="323"/>
      <c r="I201" s="323"/>
      <c r="J201" s="323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323"/>
      <c r="AB201" s="323"/>
      <c r="AC201" s="323"/>
      <c r="AD201" s="323"/>
      <c r="AE201" s="323"/>
      <c r="AF201" s="323"/>
      <c r="AG201" s="323"/>
      <c r="AH201" s="323"/>
      <c r="AI201" s="323"/>
      <c r="AJ201" s="323"/>
      <c r="AK201" s="323"/>
      <c r="AL201" s="323"/>
      <c r="AM201" s="326">
        <f t="shared" si="11"/>
        <v>155</v>
      </c>
      <c r="AN201" s="327">
        <f t="shared" si="12"/>
        <v>1.2063727500000001</v>
      </c>
      <c r="AO201" s="323"/>
      <c r="AP201" s="323">
        <v>735</v>
      </c>
      <c r="AQ201" s="328">
        <f t="shared" si="13"/>
        <v>29050.426950063753</v>
      </c>
    </row>
    <row r="202" spans="1:43">
      <c r="A202" s="341" t="s">
        <v>184</v>
      </c>
      <c r="B202" s="323">
        <v>15.9</v>
      </c>
      <c r="C202" s="323">
        <v>1100</v>
      </c>
      <c r="D202" s="323">
        <v>445</v>
      </c>
      <c r="E202" s="323">
        <v>10</v>
      </c>
      <c r="F202" s="333" t="s">
        <v>191</v>
      </c>
      <c r="G202" s="335">
        <v>46163</v>
      </c>
      <c r="H202" s="323"/>
      <c r="I202" s="323"/>
      <c r="J202" s="323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323"/>
      <c r="AB202" s="323"/>
      <c r="AC202" s="323"/>
      <c r="AD202" s="323"/>
      <c r="AE202" s="323"/>
      <c r="AF202" s="323"/>
      <c r="AG202" s="323"/>
      <c r="AH202" s="323"/>
      <c r="AI202" s="323"/>
      <c r="AJ202" s="323"/>
      <c r="AK202" s="323"/>
      <c r="AL202" s="323"/>
      <c r="AM202" s="326">
        <f t="shared" si="11"/>
        <v>10</v>
      </c>
      <c r="AN202" s="327">
        <f t="shared" si="12"/>
        <v>7.7830499999999997E-2</v>
      </c>
      <c r="AO202" s="323"/>
      <c r="AP202" s="323">
        <v>735</v>
      </c>
      <c r="AQ202" s="328">
        <f t="shared" si="13"/>
        <v>1874.2210935524997</v>
      </c>
    </row>
    <row r="203" spans="1:43">
      <c r="A203" s="341" t="s">
        <v>184</v>
      </c>
      <c r="B203" s="323">
        <v>15.9</v>
      </c>
      <c r="C203" s="323">
        <v>1100</v>
      </c>
      <c r="D203" s="323">
        <v>445</v>
      </c>
      <c r="E203" s="323">
        <v>67</v>
      </c>
      <c r="F203" s="333" t="s">
        <v>187</v>
      </c>
      <c r="G203" s="335">
        <v>46169</v>
      </c>
      <c r="H203" s="323"/>
      <c r="I203" s="323"/>
      <c r="J203" s="323"/>
      <c r="K203" s="323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  <c r="AA203" s="323"/>
      <c r="AB203" s="323"/>
      <c r="AC203" s="323"/>
      <c r="AD203" s="323"/>
      <c r="AE203" s="323"/>
      <c r="AF203" s="323"/>
      <c r="AG203" s="323"/>
      <c r="AH203" s="323"/>
      <c r="AI203" s="323"/>
      <c r="AJ203" s="323"/>
      <c r="AK203" s="323"/>
      <c r="AL203" s="323"/>
      <c r="AM203" s="326">
        <f t="shared" si="11"/>
        <v>67</v>
      </c>
      <c r="AN203" s="327">
        <f t="shared" si="12"/>
        <v>0.52146435000000002</v>
      </c>
      <c r="AO203" s="323"/>
      <c r="AP203" s="323">
        <v>709.85550000000001</v>
      </c>
      <c r="AQ203" s="328">
        <f t="shared" ref="AQ203:AQ206" si="14">AN203*AP203*32.2938</f>
        <v>11954.013063027238</v>
      </c>
    </row>
    <row r="204" spans="1:43">
      <c r="A204" s="341" t="s">
        <v>184</v>
      </c>
      <c r="B204" s="323">
        <v>15.9</v>
      </c>
      <c r="C204" s="323">
        <v>1100</v>
      </c>
      <c r="D204" s="323">
        <v>445</v>
      </c>
      <c r="E204" s="323">
        <v>150</v>
      </c>
      <c r="F204" s="333" t="s">
        <v>187</v>
      </c>
      <c r="G204" s="335">
        <v>46169</v>
      </c>
      <c r="H204" s="323"/>
      <c r="I204" s="323"/>
      <c r="J204" s="323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>
        <v>44</v>
      </c>
      <c r="X204" s="323"/>
      <c r="Y204" s="323"/>
      <c r="Z204" s="323"/>
      <c r="AA204" s="323"/>
      <c r="AB204" s="323"/>
      <c r="AC204" s="323"/>
      <c r="AD204" s="323"/>
      <c r="AE204" s="323"/>
      <c r="AF204" s="323"/>
      <c r="AG204" s="323"/>
      <c r="AH204" s="323"/>
      <c r="AI204" s="323"/>
      <c r="AJ204" s="323"/>
      <c r="AK204" s="323"/>
      <c r="AL204" s="323"/>
      <c r="AM204" s="326">
        <f t="shared" si="11"/>
        <v>106</v>
      </c>
      <c r="AN204" s="327">
        <f t="shared" si="12"/>
        <v>0.82500329999999999</v>
      </c>
      <c r="AO204" s="323"/>
      <c r="AP204" s="323">
        <v>709.85550000000001</v>
      </c>
      <c r="AQ204" s="328">
        <f t="shared" si="14"/>
        <v>18912.319174341599</v>
      </c>
    </row>
    <row r="205" spans="1:43">
      <c r="A205" s="341" t="s">
        <v>184</v>
      </c>
      <c r="B205" s="323">
        <v>15.9</v>
      </c>
      <c r="C205" s="323">
        <v>1100</v>
      </c>
      <c r="D205" s="323">
        <v>445</v>
      </c>
      <c r="E205" s="323">
        <v>133</v>
      </c>
      <c r="F205" s="333" t="s">
        <v>187</v>
      </c>
      <c r="G205" s="335">
        <v>46169</v>
      </c>
      <c r="H205" s="323"/>
      <c r="I205" s="323"/>
      <c r="J205" s="323"/>
      <c r="K205" s="323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  <c r="AA205" s="323"/>
      <c r="AB205" s="323"/>
      <c r="AC205" s="323"/>
      <c r="AD205" s="323"/>
      <c r="AE205" s="323"/>
      <c r="AF205" s="323"/>
      <c r="AG205" s="323"/>
      <c r="AH205" s="323"/>
      <c r="AI205" s="323"/>
      <c r="AJ205" s="323"/>
      <c r="AK205" s="323"/>
      <c r="AL205" s="323"/>
      <c r="AM205" s="326">
        <f t="shared" si="11"/>
        <v>133</v>
      </c>
      <c r="AN205" s="327">
        <f t="shared" si="12"/>
        <v>1.03514565</v>
      </c>
      <c r="AO205" s="323"/>
      <c r="AP205" s="323">
        <v>709.85550000000001</v>
      </c>
      <c r="AQ205" s="328">
        <f t="shared" si="14"/>
        <v>23729.608020636158</v>
      </c>
    </row>
    <row r="206" spans="1:43">
      <c r="A206" s="341" t="s">
        <v>184</v>
      </c>
      <c r="B206" s="323">
        <v>15.9</v>
      </c>
      <c r="C206" s="323">
        <v>1100</v>
      </c>
      <c r="D206" s="323">
        <v>445</v>
      </c>
      <c r="E206" s="323">
        <v>17</v>
      </c>
      <c r="F206" s="333" t="s">
        <v>187</v>
      </c>
      <c r="G206" s="335">
        <v>46169</v>
      </c>
      <c r="H206" s="323"/>
      <c r="I206" s="323"/>
      <c r="J206" s="323"/>
      <c r="K206" s="323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  <c r="AA206" s="323"/>
      <c r="AB206" s="323"/>
      <c r="AC206" s="323"/>
      <c r="AD206" s="323"/>
      <c r="AE206" s="323"/>
      <c r="AF206" s="323"/>
      <c r="AG206" s="323"/>
      <c r="AH206" s="323"/>
      <c r="AI206" s="323"/>
      <c r="AJ206" s="323"/>
      <c r="AK206" s="323"/>
      <c r="AL206" s="323"/>
      <c r="AM206" s="326">
        <f t="shared" si="11"/>
        <v>17</v>
      </c>
      <c r="AN206" s="327">
        <f t="shared" si="12"/>
        <v>0.13231185000000001</v>
      </c>
      <c r="AO206" s="323"/>
      <c r="AP206" s="323">
        <v>709.85550000000001</v>
      </c>
      <c r="AQ206" s="328">
        <f t="shared" si="14"/>
        <v>3033.1077921113888</v>
      </c>
    </row>
    <row r="207" spans="1:43">
      <c r="A207" s="341" t="s">
        <v>184</v>
      </c>
      <c r="B207" s="323">
        <v>15.9</v>
      </c>
      <c r="C207" s="323">
        <v>1100</v>
      </c>
      <c r="D207" s="323">
        <v>445</v>
      </c>
      <c r="E207" s="323">
        <v>164</v>
      </c>
      <c r="F207" s="333" t="s">
        <v>188</v>
      </c>
      <c r="G207" s="335">
        <v>46184</v>
      </c>
      <c r="H207" s="323"/>
      <c r="I207" s="323"/>
      <c r="J207" s="323"/>
      <c r="K207" s="323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  <c r="AA207" s="323"/>
      <c r="AB207" s="323"/>
      <c r="AC207" s="323"/>
      <c r="AD207" s="323"/>
      <c r="AE207" s="323"/>
      <c r="AF207" s="323"/>
      <c r="AG207" s="323"/>
      <c r="AH207" s="323"/>
      <c r="AI207" s="323"/>
      <c r="AJ207" s="323"/>
      <c r="AK207" s="323"/>
      <c r="AL207" s="323"/>
      <c r="AM207" s="326">
        <f t="shared" si="11"/>
        <v>164</v>
      </c>
      <c r="AN207" s="327">
        <f t="shared" si="12"/>
        <v>1.2764202</v>
      </c>
      <c r="AO207" s="323"/>
      <c r="AP207" s="323">
        <v>735</v>
      </c>
      <c r="AQ207" s="328">
        <f t="shared" ref="AQ207:AQ208" si="15">AN207*AP207*32.7768</f>
        <v>30750.172664349604</v>
      </c>
    </row>
    <row r="208" spans="1:43">
      <c r="A208" s="341" t="s">
        <v>184</v>
      </c>
      <c r="B208" s="323">
        <v>15.9</v>
      </c>
      <c r="C208" s="323">
        <v>1100</v>
      </c>
      <c r="D208" s="323">
        <v>445</v>
      </c>
      <c r="E208" s="323">
        <v>164</v>
      </c>
      <c r="F208" s="333" t="s">
        <v>188</v>
      </c>
      <c r="G208" s="335">
        <v>46184</v>
      </c>
      <c r="H208" s="323"/>
      <c r="I208" s="323"/>
      <c r="J208" s="323"/>
      <c r="K208" s="323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  <c r="AA208" s="323"/>
      <c r="AB208" s="323"/>
      <c r="AC208" s="323"/>
      <c r="AD208" s="323"/>
      <c r="AE208" s="323"/>
      <c r="AF208" s="323"/>
      <c r="AG208" s="323"/>
      <c r="AH208" s="323"/>
      <c r="AI208" s="323"/>
      <c r="AJ208" s="323"/>
      <c r="AK208" s="323"/>
      <c r="AL208" s="323"/>
      <c r="AM208" s="326">
        <f t="shared" si="11"/>
        <v>164</v>
      </c>
      <c r="AN208" s="327">
        <f t="shared" si="12"/>
        <v>1.2764202</v>
      </c>
      <c r="AO208" s="323"/>
      <c r="AP208" s="323">
        <v>680</v>
      </c>
      <c r="AQ208" s="328">
        <f t="shared" si="15"/>
        <v>28449.139335724802</v>
      </c>
    </row>
    <row r="209" spans="1:43">
      <c r="A209" s="341" t="s">
        <v>184</v>
      </c>
      <c r="B209" s="323">
        <v>15.9</v>
      </c>
      <c r="C209" s="323">
        <v>1100</v>
      </c>
      <c r="D209" s="323">
        <v>447</v>
      </c>
      <c r="E209" s="323">
        <v>50</v>
      </c>
      <c r="F209" s="333" t="s">
        <v>191</v>
      </c>
      <c r="G209" s="335">
        <v>46163</v>
      </c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323"/>
      <c r="AB209" s="323"/>
      <c r="AC209" s="323"/>
      <c r="AD209" s="323"/>
      <c r="AE209" s="323"/>
      <c r="AF209" s="323"/>
      <c r="AG209" s="323"/>
      <c r="AH209" s="323"/>
      <c r="AI209" s="323"/>
      <c r="AJ209" s="323"/>
      <c r="AK209" s="323"/>
      <c r="AL209" s="323"/>
      <c r="AM209" s="326">
        <f t="shared" si="11"/>
        <v>50</v>
      </c>
      <c r="AN209" s="327">
        <f t="shared" si="12"/>
        <v>0.39090150000000001</v>
      </c>
      <c r="AO209" s="323"/>
      <c r="AP209" s="323">
        <v>680</v>
      </c>
      <c r="AQ209" s="328">
        <f>AN209*AP209*32.763</f>
        <v>8708.8319742599997</v>
      </c>
    </row>
    <row r="210" spans="1:43">
      <c r="A210" s="341" t="s">
        <v>184</v>
      </c>
      <c r="B210" s="323">
        <v>12.7</v>
      </c>
      <c r="C210" s="323">
        <v>209.55</v>
      </c>
      <c r="D210" s="323">
        <v>450.85</v>
      </c>
      <c r="E210" s="323">
        <v>890</v>
      </c>
      <c r="F210" s="323" t="s">
        <v>189</v>
      </c>
      <c r="G210" s="335">
        <v>45864</v>
      </c>
      <c r="H210" s="323"/>
      <c r="I210" s="323"/>
      <c r="J210" s="323"/>
      <c r="K210" s="323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  <c r="AA210" s="323"/>
      <c r="AB210" s="323"/>
      <c r="AC210" s="323"/>
      <c r="AD210" s="323"/>
      <c r="AE210" s="323"/>
      <c r="AF210" s="323"/>
      <c r="AG210" s="323"/>
      <c r="AH210" s="323"/>
      <c r="AI210" s="323"/>
      <c r="AJ210" s="323"/>
      <c r="AK210" s="323"/>
      <c r="AL210" s="323"/>
      <c r="AM210" s="326">
        <f t="shared" si="11"/>
        <v>890</v>
      </c>
      <c r="AN210" s="327">
        <f t="shared" si="12"/>
        <v>1.0678579046024999</v>
      </c>
      <c r="AO210" s="323"/>
      <c r="AP210" s="323">
        <v>675.72580000000005</v>
      </c>
      <c r="AQ210" s="328">
        <f>AN210*AP210*32.8864</f>
        <v>23730.140126888113</v>
      </c>
    </row>
    <row r="211" spans="1:43">
      <c r="A211" s="341" t="s">
        <v>184</v>
      </c>
      <c r="B211" s="323">
        <v>12.7</v>
      </c>
      <c r="C211" s="323">
        <v>209.55</v>
      </c>
      <c r="D211" s="323">
        <v>450.85</v>
      </c>
      <c r="E211" s="323">
        <v>510</v>
      </c>
      <c r="F211" s="323" t="s">
        <v>189</v>
      </c>
      <c r="G211" s="335">
        <v>45864</v>
      </c>
      <c r="H211" s="323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  <c r="AA211" s="323"/>
      <c r="AB211" s="323"/>
      <c r="AC211" s="323"/>
      <c r="AD211" s="323"/>
      <c r="AE211" s="323"/>
      <c r="AF211" s="323"/>
      <c r="AG211" s="323"/>
      <c r="AH211" s="323"/>
      <c r="AI211" s="323"/>
      <c r="AJ211" s="323"/>
      <c r="AK211" s="323"/>
      <c r="AL211" s="323"/>
      <c r="AM211" s="326">
        <f t="shared" si="11"/>
        <v>510</v>
      </c>
      <c r="AN211" s="327">
        <f t="shared" si="12"/>
        <v>0.61191857454749998</v>
      </c>
      <c r="AO211" s="323"/>
      <c r="AP211" s="323">
        <v>675.72580000000005</v>
      </c>
      <c r="AQ211" s="328">
        <f>AN211*AP211*32.8864</f>
        <v>13598.17018507072</v>
      </c>
    </row>
    <row r="212" spans="1:43">
      <c r="A212" s="341" t="s">
        <v>184</v>
      </c>
      <c r="B212" s="323">
        <v>15.9</v>
      </c>
      <c r="C212" s="323">
        <v>1100</v>
      </c>
      <c r="D212" s="323">
        <v>500</v>
      </c>
      <c r="E212" s="323">
        <v>154</v>
      </c>
      <c r="F212" s="333" t="s">
        <v>182</v>
      </c>
      <c r="G212" s="335">
        <v>46129</v>
      </c>
      <c r="H212" s="323"/>
      <c r="I212" s="323"/>
      <c r="J212" s="323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323"/>
      <c r="AB212" s="323"/>
      <c r="AC212" s="323"/>
      <c r="AD212" s="323"/>
      <c r="AE212" s="323"/>
      <c r="AF212" s="323"/>
      <c r="AG212" s="323"/>
      <c r="AH212" s="323"/>
      <c r="AI212" s="323"/>
      <c r="AJ212" s="323"/>
      <c r="AK212" s="323"/>
      <c r="AL212" s="323"/>
      <c r="AM212" s="326">
        <f t="shared" si="11"/>
        <v>154</v>
      </c>
      <c r="AN212" s="327">
        <f t="shared" si="12"/>
        <v>1.34673</v>
      </c>
      <c r="AO212" s="323"/>
      <c r="AP212" s="323">
        <v>715.98590000000002</v>
      </c>
      <c r="AQ212" s="328">
        <f>AN212*AP212*32.763</f>
        <v>31591.384999738639</v>
      </c>
    </row>
    <row r="213" spans="1:43">
      <c r="A213" s="341" t="s">
        <v>184</v>
      </c>
      <c r="B213" s="323">
        <v>15.9</v>
      </c>
      <c r="C213" s="323">
        <v>1100</v>
      </c>
      <c r="D213" s="323">
        <v>520</v>
      </c>
      <c r="E213" s="323">
        <v>20</v>
      </c>
      <c r="F213" s="323" t="s">
        <v>192</v>
      </c>
      <c r="G213" s="335">
        <v>45939</v>
      </c>
      <c r="H213" s="323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323"/>
      <c r="AB213" s="323"/>
      <c r="AC213" s="323"/>
      <c r="AD213" s="323"/>
      <c r="AE213" s="323"/>
      <c r="AF213" s="323"/>
      <c r="AG213" s="323"/>
      <c r="AH213" s="323"/>
      <c r="AI213" s="323"/>
      <c r="AJ213" s="323"/>
      <c r="AK213" s="323"/>
      <c r="AL213" s="323"/>
      <c r="AM213" s="326">
        <f t="shared" si="11"/>
        <v>20</v>
      </c>
      <c r="AN213" s="327">
        <f t="shared" si="12"/>
        <v>0.181896</v>
      </c>
      <c r="AO213" s="323"/>
      <c r="AP213" s="323">
        <v>693.375</v>
      </c>
      <c r="AQ213" s="328">
        <f>AN213*AP213*32.7241</f>
        <v>4127.2334888498999</v>
      </c>
    </row>
    <row r="214" spans="1:43">
      <c r="A214" s="341" t="s">
        <v>184</v>
      </c>
      <c r="B214" s="323">
        <v>15.9</v>
      </c>
      <c r="C214" s="323">
        <v>1100</v>
      </c>
      <c r="D214" s="323">
        <v>520</v>
      </c>
      <c r="E214" s="323">
        <v>42</v>
      </c>
      <c r="F214" s="323" t="s">
        <v>193</v>
      </c>
      <c r="G214" s="335">
        <v>45959</v>
      </c>
      <c r="H214" s="323"/>
      <c r="I214" s="323"/>
      <c r="J214" s="323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  <c r="AA214" s="323"/>
      <c r="AB214" s="323"/>
      <c r="AC214" s="323"/>
      <c r="AD214" s="323"/>
      <c r="AE214" s="323"/>
      <c r="AF214" s="323"/>
      <c r="AG214" s="323"/>
      <c r="AH214" s="323"/>
      <c r="AI214" s="323"/>
      <c r="AJ214" s="323"/>
      <c r="AK214" s="323"/>
      <c r="AL214" s="323"/>
      <c r="AM214" s="326">
        <f t="shared" si="11"/>
        <v>42</v>
      </c>
      <c r="AN214" s="327">
        <f t="shared" si="12"/>
        <v>0.38198159999999998</v>
      </c>
      <c r="AO214" s="323"/>
      <c r="AP214" s="323">
        <v>703.60860000000002</v>
      </c>
      <c r="AQ214" s="328">
        <f>AN214*AP214*31.9788</f>
        <v>8594.7994122337223</v>
      </c>
    </row>
    <row r="215" spans="1:43">
      <c r="A215" s="341" t="s">
        <v>184</v>
      </c>
      <c r="B215" s="323">
        <v>15.9</v>
      </c>
      <c r="C215" s="323">
        <v>1100</v>
      </c>
      <c r="D215" s="323">
        <v>520</v>
      </c>
      <c r="E215" s="323">
        <v>134</v>
      </c>
      <c r="F215" s="323" t="s">
        <v>193</v>
      </c>
      <c r="G215" s="335">
        <v>45959</v>
      </c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>
        <v>81</v>
      </c>
      <c r="W215" s="323"/>
      <c r="X215" s="323"/>
      <c r="Y215" s="323"/>
      <c r="Z215" s="323"/>
      <c r="AA215" s="323"/>
      <c r="AB215" s="323"/>
      <c r="AC215" s="323"/>
      <c r="AD215" s="323"/>
      <c r="AE215" s="323"/>
      <c r="AF215" s="323"/>
      <c r="AG215" s="323"/>
      <c r="AH215" s="323"/>
      <c r="AI215" s="323"/>
      <c r="AJ215" s="323">
        <v>14</v>
      </c>
      <c r="AK215" s="323"/>
      <c r="AL215" s="323"/>
      <c r="AM215" s="326">
        <f t="shared" si="11"/>
        <v>39</v>
      </c>
      <c r="AN215" s="327">
        <f t="shared" si="12"/>
        <v>0.35469719999999999</v>
      </c>
      <c r="AO215" s="323"/>
      <c r="AP215" s="323">
        <v>703.60860000000002</v>
      </c>
      <c r="AQ215" s="328">
        <f>AN215*AP215*31.9788</f>
        <v>7980.8851685027421</v>
      </c>
    </row>
    <row r="216" spans="1:43">
      <c r="A216" s="341" t="s">
        <v>184</v>
      </c>
      <c r="B216" s="323">
        <v>15.9</v>
      </c>
      <c r="C216" s="323">
        <v>1100</v>
      </c>
      <c r="D216" s="323">
        <v>520</v>
      </c>
      <c r="E216" s="323">
        <v>70</v>
      </c>
      <c r="F216" s="333" t="s">
        <v>190</v>
      </c>
      <c r="G216" s="335">
        <v>46154</v>
      </c>
      <c r="H216" s="323"/>
      <c r="I216" s="323"/>
      <c r="J216" s="323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  <c r="AA216" s="323"/>
      <c r="AB216" s="323"/>
      <c r="AC216" s="323"/>
      <c r="AD216" s="323"/>
      <c r="AE216" s="323"/>
      <c r="AF216" s="323"/>
      <c r="AG216" s="323"/>
      <c r="AH216" s="323"/>
      <c r="AI216" s="323"/>
      <c r="AJ216" s="323"/>
      <c r="AK216" s="323"/>
      <c r="AL216" s="323"/>
      <c r="AM216" s="326">
        <f t="shared" si="11"/>
        <v>70</v>
      </c>
      <c r="AN216" s="327">
        <f t="shared" si="12"/>
        <v>0.63663599999999998</v>
      </c>
      <c r="AO216" s="323"/>
      <c r="AP216" s="323">
        <v>680</v>
      </c>
      <c r="AQ216" s="328">
        <f>AN216*AP216*32.2938</f>
        <v>13980.389046623997</v>
      </c>
    </row>
    <row r="217" spans="1:43">
      <c r="A217" s="341" t="s">
        <v>184</v>
      </c>
      <c r="B217" s="323">
        <v>15.9</v>
      </c>
      <c r="C217" s="323">
        <v>1100</v>
      </c>
      <c r="D217" s="323">
        <v>520</v>
      </c>
      <c r="E217" s="323">
        <v>40</v>
      </c>
      <c r="F217" s="333" t="s">
        <v>187</v>
      </c>
      <c r="G217" s="335">
        <v>46169</v>
      </c>
      <c r="H217" s="323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  <c r="AA217" s="323"/>
      <c r="AB217" s="323"/>
      <c r="AC217" s="323"/>
      <c r="AD217" s="323"/>
      <c r="AE217" s="323"/>
      <c r="AF217" s="323"/>
      <c r="AG217" s="323"/>
      <c r="AH217" s="323"/>
      <c r="AI217" s="323"/>
      <c r="AJ217" s="323"/>
      <c r="AK217" s="323"/>
      <c r="AL217" s="323"/>
      <c r="AM217" s="326">
        <f t="shared" si="11"/>
        <v>40</v>
      </c>
      <c r="AN217" s="327">
        <f t="shared" si="12"/>
        <v>0.363792</v>
      </c>
      <c r="AO217" s="323"/>
      <c r="AP217" s="323">
        <v>709.85550000000001</v>
      </c>
      <c r="AQ217" s="328">
        <f>AN217*AP217*32.2938</f>
        <v>8339.5429049460508</v>
      </c>
    </row>
    <row r="218" spans="1:43">
      <c r="A218" s="341" t="s">
        <v>184</v>
      </c>
      <c r="B218" s="323">
        <v>15.9</v>
      </c>
      <c r="C218" s="323">
        <v>1100</v>
      </c>
      <c r="D218" s="323">
        <v>520</v>
      </c>
      <c r="E218" s="323">
        <v>134</v>
      </c>
      <c r="F218" s="333" t="s">
        <v>187</v>
      </c>
      <c r="G218" s="335">
        <v>46169</v>
      </c>
      <c r="H218" s="323"/>
      <c r="I218" s="323"/>
      <c r="J218" s="323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323"/>
      <c r="AB218" s="323"/>
      <c r="AC218" s="323"/>
      <c r="AD218" s="323"/>
      <c r="AE218" s="323"/>
      <c r="AF218" s="323"/>
      <c r="AG218" s="323"/>
      <c r="AH218" s="323"/>
      <c r="AI218" s="323"/>
      <c r="AJ218" s="323"/>
      <c r="AK218" s="323"/>
      <c r="AL218" s="323"/>
      <c r="AM218" s="326">
        <f t="shared" si="11"/>
        <v>134</v>
      </c>
      <c r="AN218" s="327">
        <f t="shared" si="12"/>
        <v>1.2187032</v>
      </c>
      <c r="AO218" s="323"/>
      <c r="AP218" s="323">
        <v>709.85550000000001</v>
      </c>
      <c r="AQ218" s="328">
        <f>AN218*AP218*32.2938</f>
        <v>27937.468731569275</v>
      </c>
    </row>
    <row r="219" spans="1:43">
      <c r="A219" s="341" t="s">
        <v>184</v>
      </c>
      <c r="B219" s="323">
        <v>15.9</v>
      </c>
      <c r="C219" s="323">
        <v>1100</v>
      </c>
      <c r="D219" s="323">
        <v>520</v>
      </c>
      <c r="E219" s="323">
        <v>24</v>
      </c>
      <c r="F219" s="333" t="s">
        <v>187</v>
      </c>
      <c r="G219" s="335">
        <v>46169</v>
      </c>
      <c r="H219" s="323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323"/>
      <c r="AB219" s="323"/>
      <c r="AC219" s="323"/>
      <c r="AD219" s="323"/>
      <c r="AE219" s="323"/>
      <c r="AF219" s="323"/>
      <c r="AG219" s="323"/>
      <c r="AH219" s="323"/>
      <c r="AI219" s="323"/>
      <c r="AJ219" s="323"/>
      <c r="AK219" s="323"/>
      <c r="AL219" s="323"/>
      <c r="AM219" s="326">
        <f t="shared" si="11"/>
        <v>24</v>
      </c>
      <c r="AN219" s="327">
        <f t="shared" si="12"/>
        <v>0.2182752</v>
      </c>
      <c r="AO219" s="323"/>
      <c r="AP219" s="323">
        <v>709.85550000000001</v>
      </c>
      <c r="AQ219" s="328">
        <f>AN219*AP219*32.2938</f>
        <v>5003.725742967632</v>
      </c>
    </row>
    <row r="220" spans="1:43">
      <c r="A220" s="341" t="s">
        <v>184</v>
      </c>
      <c r="B220" s="323">
        <v>15.9</v>
      </c>
      <c r="C220" s="323">
        <v>1100</v>
      </c>
      <c r="D220" s="323">
        <v>520</v>
      </c>
      <c r="E220" s="323">
        <v>146</v>
      </c>
      <c r="F220" s="333" t="s">
        <v>188</v>
      </c>
      <c r="G220" s="335">
        <v>46184</v>
      </c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3"/>
      <c r="AD220" s="323"/>
      <c r="AE220" s="323"/>
      <c r="AF220" s="323"/>
      <c r="AG220" s="323"/>
      <c r="AH220" s="323"/>
      <c r="AI220" s="323"/>
      <c r="AJ220" s="323"/>
      <c r="AK220" s="323"/>
      <c r="AL220" s="323"/>
      <c r="AM220" s="326">
        <f t="shared" si="11"/>
        <v>146</v>
      </c>
      <c r="AN220" s="327">
        <f t="shared" si="12"/>
        <v>1.3278407999999999</v>
      </c>
      <c r="AO220" s="323"/>
      <c r="AP220" s="323">
        <v>680</v>
      </c>
      <c r="AQ220" s="328">
        <f t="shared" ref="AQ220:AQ224" si="16">AN220*AP220*32.7768</f>
        <v>29595.213186739202</v>
      </c>
    </row>
    <row r="221" spans="1:43">
      <c r="A221" s="341" t="s">
        <v>184</v>
      </c>
      <c r="B221" s="323">
        <v>15.9</v>
      </c>
      <c r="C221" s="323">
        <v>1100</v>
      </c>
      <c r="D221" s="323">
        <v>520</v>
      </c>
      <c r="E221" s="323">
        <v>146</v>
      </c>
      <c r="F221" s="333" t="s">
        <v>188</v>
      </c>
      <c r="G221" s="335">
        <v>46184</v>
      </c>
      <c r="H221" s="323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323"/>
      <c r="AB221" s="323"/>
      <c r="AC221" s="323"/>
      <c r="AD221" s="323"/>
      <c r="AE221" s="323"/>
      <c r="AF221" s="323"/>
      <c r="AG221" s="323"/>
      <c r="AH221" s="323"/>
      <c r="AI221" s="323"/>
      <c r="AJ221" s="323"/>
      <c r="AK221" s="323"/>
      <c r="AL221" s="323"/>
      <c r="AM221" s="326">
        <f t="shared" si="11"/>
        <v>146</v>
      </c>
      <c r="AN221" s="327">
        <f t="shared" si="12"/>
        <v>1.3278407999999999</v>
      </c>
      <c r="AO221" s="323"/>
      <c r="AP221" s="323">
        <v>680</v>
      </c>
      <c r="AQ221" s="328">
        <f t="shared" si="16"/>
        <v>29595.213186739202</v>
      </c>
    </row>
    <row r="222" spans="1:43">
      <c r="A222" s="341" t="s">
        <v>184</v>
      </c>
      <c r="B222" s="323">
        <v>15.9</v>
      </c>
      <c r="C222" s="323">
        <v>1100</v>
      </c>
      <c r="D222" s="323">
        <v>520</v>
      </c>
      <c r="E222" s="323">
        <v>146</v>
      </c>
      <c r="F222" s="333" t="s">
        <v>188</v>
      </c>
      <c r="G222" s="335">
        <v>46184</v>
      </c>
      <c r="H222" s="323"/>
      <c r="I222" s="323"/>
      <c r="J222" s="323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  <c r="AA222" s="323"/>
      <c r="AB222" s="323"/>
      <c r="AC222" s="323"/>
      <c r="AD222" s="323"/>
      <c r="AE222" s="323"/>
      <c r="AF222" s="323"/>
      <c r="AG222" s="323"/>
      <c r="AH222" s="323"/>
      <c r="AI222" s="323"/>
      <c r="AJ222" s="323"/>
      <c r="AK222" s="323"/>
      <c r="AL222" s="323"/>
      <c r="AM222" s="326">
        <f t="shared" si="11"/>
        <v>146</v>
      </c>
      <c r="AN222" s="327">
        <f t="shared" si="12"/>
        <v>1.3278407999999999</v>
      </c>
      <c r="AO222" s="323"/>
      <c r="AP222" s="323">
        <v>680</v>
      </c>
      <c r="AQ222" s="328">
        <f t="shared" si="16"/>
        <v>29595.213186739202</v>
      </c>
    </row>
    <row r="223" spans="1:43">
      <c r="A223" s="341" t="s">
        <v>184</v>
      </c>
      <c r="B223" s="323">
        <v>15.9</v>
      </c>
      <c r="C223" s="323">
        <v>1100</v>
      </c>
      <c r="D223" s="323">
        <v>520</v>
      </c>
      <c r="E223" s="323">
        <v>146</v>
      </c>
      <c r="F223" s="333" t="s">
        <v>188</v>
      </c>
      <c r="G223" s="335">
        <v>46184</v>
      </c>
      <c r="H223" s="323"/>
      <c r="I223" s="323"/>
      <c r="J223" s="323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323"/>
      <c r="AB223" s="323"/>
      <c r="AC223" s="323"/>
      <c r="AD223" s="323"/>
      <c r="AE223" s="323"/>
      <c r="AF223" s="323"/>
      <c r="AG223" s="323"/>
      <c r="AH223" s="323"/>
      <c r="AI223" s="323"/>
      <c r="AJ223" s="323"/>
      <c r="AK223" s="323"/>
      <c r="AL223" s="323"/>
      <c r="AM223" s="326">
        <f t="shared" si="11"/>
        <v>146</v>
      </c>
      <c r="AN223" s="327">
        <f t="shared" si="12"/>
        <v>1.3278407999999999</v>
      </c>
      <c r="AO223" s="323"/>
      <c r="AP223" s="323">
        <v>680</v>
      </c>
      <c r="AQ223" s="328">
        <f t="shared" si="16"/>
        <v>29595.213186739202</v>
      </c>
    </row>
    <row r="224" spans="1:43">
      <c r="A224" s="341" t="s">
        <v>184</v>
      </c>
      <c r="B224" s="323">
        <v>15.9</v>
      </c>
      <c r="C224" s="323">
        <v>1100</v>
      </c>
      <c r="D224" s="323">
        <v>520</v>
      </c>
      <c r="E224" s="323">
        <v>50</v>
      </c>
      <c r="F224" s="333" t="s">
        <v>188</v>
      </c>
      <c r="G224" s="335">
        <v>46184</v>
      </c>
      <c r="H224" s="323"/>
      <c r="I224" s="323"/>
      <c r="J224" s="323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323"/>
      <c r="AB224" s="323"/>
      <c r="AC224" s="323"/>
      <c r="AD224" s="323"/>
      <c r="AE224" s="323"/>
      <c r="AF224" s="323"/>
      <c r="AG224" s="323"/>
      <c r="AH224" s="323"/>
      <c r="AI224" s="323"/>
      <c r="AJ224" s="323"/>
      <c r="AK224" s="323"/>
      <c r="AL224" s="323"/>
      <c r="AM224" s="326">
        <f t="shared" si="11"/>
        <v>50</v>
      </c>
      <c r="AN224" s="327">
        <f t="shared" si="12"/>
        <v>0.45473999999999998</v>
      </c>
      <c r="AO224" s="323"/>
      <c r="AP224" s="323">
        <v>680</v>
      </c>
      <c r="AQ224" s="328">
        <f t="shared" si="16"/>
        <v>10135.34698176</v>
      </c>
    </row>
    <row r="225" spans="1:43">
      <c r="A225" s="341" t="s">
        <v>184</v>
      </c>
      <c r="B225" s="323">
        <v>15.9</v>
      </c>
      <c r="C225" s="323">
        <v>76.2</v>
      </c>
      <c r="D225" s="323">
        <v>520.70000000000005</v>
      </c>
      <c r="E225" s="323">
        <v>200</v>
      </c>
      <c r="F225" s="323" t="s">
        <v>189</v>
      </c>
      <c r="G225" s="335">
        <v>45864</v>
      </c>
      <c r="H225" s="323"/>
      <c r="I225" s="323"/>
      <c r="J225" s="323"/>
      <c r="K225" s="323"/>
      <c r="L225" s="323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  <c r="AA225" s="323"/>
      <c r="AB225" s="323"/>
      <c r="AC225" s="323"/>
      <c r="AD225" s="323"/>
      <c r="AE225" s="323"/>
      <c r="AF225" s="323"/>
      <c r="AG225" s="323"/>
      <c r="AH225" s="323"/>
      <c r="AI225" s="323"/>
      <c r="AJ225" s="323"/>
      <c r="AK225" s="323"/>
      <c r="AL225" s="323"/>
      <c r="AM225" s="326">
        <f t="shared" si="11"/>
        <v>200</v>
      </c>
      <c r="AN225" s="327">
        <f t="shared" si="12"/>
        <v>0.12617394120000003</v>
      </c>
      <c r="AO225" s="323"/>
      <c r="AP225" s="323">
        <v>675.72580000000005</v>
      </c>
      <c r="AQ225" s="328">
        <f>AN225*AP225*32.8864</f>
        <v>2803.8611618015575</v>
      </c>
    </row>
    <row r="226" spans="1:43">
      <c r="A226" s="341" t="s">
        <v>184</v>
      </c>
      <c r="B226" s="323">
        <v>15.9</v>
      </c>
      <c r="C226" s="323">
        <v>1100</v>
      </c>
      <c r="D226" s="323">
        <v>520.70000000000005</v>
      </c>
      <c r="E226" s="323">
        <v>148</v>
      </c>
      <c r="F226" s="345" t="s">
        <v>194</v>
      </c>
      <c r="G226" s="335">
        <v>45937</v>
      </c>
      <c r="H226" s="323"/>
      <c r="I226" s="323"/>
      <c r="J226" s="323"/>
      <c r="K226" s="323"/>
      <c r="L226" s="323"/>
      <c r="M226" s="323"/>
      <c r="N226" s="323">
        <v>79</v>
      </c>
      <c r="O226" s="323"/>
      <c r="P226" s="323"/>
      <c r="Q226" s="323"/>
      <c r="R226" s="323">
        <v>16</v>
      </c>
      <c r="S226" s="323"/>
      <c r="T226" s="323"/>
      <c r="U226" s="323"/>
      <c r="V226" s="323"/>
      <c r="W226" s="323"/>
      <c r="X226" s="323"/>
      <c r="Y226" s="323"/>
      <c r="Z226" s="323"/>
      <c r="AA226" s="323"/>
      <c r="AB226" s="323"/>
      <c r="AC226" s="323"/>
      <c r="AD226" s="323"/>
      <c r="AE226" s="323"/>
      <c r="AF226" s="323"/>
      <c r="AG226" s="323"/>
      <c r="AH226" s="323"/>
      <c r="AI226" s="323"/>
      <c r="AJ226" s="323"/>
      <c r="AK226" s="323"/>
      <c r="AL226" s="323"/>
      <c r="AM226" s="326">
        <f t="shared" si="11"/>
        <v>53</v>
      </c>
      <c r="AN226" s="327">
        <f t="shared" si="12"/>
        <v>0.48267327900000001</v>
      </c>
      <c r="AO226" s="323"/>
      <c r="AP226" s="323">
        <v>735</v>
      </c>
      <c r="AQ226" s="328">
        <f>AN226*AP226*32.7241</f>
        <v>11609.360757253065</v>
      </c>
    </row>
    <row r="227" spans="1:43">
      <c r="A227" s="341" t="s">
        <v>184</v>
      </c>
      <c r="B227" s="323">
        <v>15.9</v>
      </c>
      <c r="C227" s="323">
        <v>1100</v>
      </c>
      <c r="D227" s="323">
        <v>521</v>
      </c>
      <c r="E227" s="323">
        <v>46</v>
      </c>
      <c r="F227" s="333" t="s">
        <v>190</v>
      </c>
      <c r="G227" s="335">
        <v>46154</v>
      </c>
      <c r="H227" s="323"/>
      <c r="I227" s="323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323"/>
      <c r="AB227" s="323"/>
      <c r="AC227" s="323"/>
      <c r="AD227" s="323"/>
      <c r="AE227" s="323"/>
      <c r="AF227" s="323"/>
      <c r="AG227" s="323"/>
      <c r="AH227" s="323"/>
      <c r="AI227" s="323"/>
      <c r="AJ227" s="323"/>
      <c r="AK227" s="323"/>
      <c r="AL227" s="323"/>
      <c r="AM227" s="326">
        <f t="shared" si="11"/>
        <v>46</v>
      </c>
      <c r="AN227" s="327">
        <f t="shared" si="12"/>
        <v>0.41916534</v>
      </c>
      <c r="AO227" s="323"/>
      <c r="AP227" s="323">
        <v>735</v>
      </c>
      <c r="AQ227" s="328">
        <f>AN227*AP227*32.2938</f>
        <v>9949.2846178156178</v>
      </c>
    </row>
    <row r="228" spans="1:43">
      <c r="A228" s="341" t="s">
        <v>184</v>
      </c>
      <c r="B228" s="323">
        <v>15.9</v>
      </c>
      <c r="C228" s="323">
        <v>1100</v>
      </c>
      <c r="D228" s="323">
        <v>521</v>
      </c>
      <c r="E228" s="323">
        <v>16</v>
      </c>
      <c r="F228" s="333" t="s">
        <v>191</v>
      </c>
      <c r="G228" s="335">
        <v>46163</v>
      </c>
      <c r="H228" s="323"/>
      <c r="I228" s="323"/>
      <c r="J228" s="323"/>
      <c r="K228" s="323"/>
      <c r="L228" s="323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  <c r="AA228" s="323"/>
      <c r="AB228" s="323"/>
      <c r="AC228" s="323"/>
      <c r="AD228" s="323"/>
      <c r="AE228" s="323"/>
      <c r="AF228" s="323"/>
      <c r="AG228" s="323"/>
      <c r="AH228" s="323"/>
      <c r="AI228" s="323"/>
      <c r="AJ228" s="323"/>
      <c r="AK228" s="323"/>
      <c r="AL228" s="323"/>
      <c r="AM228" s="326">
        <f t="shared" si="11"/>
        <v>16</v>
      </c>
      <c r="AN228" s="327">
        <f t="shared" si="12"/>
        <v>0.14579664000000001</v>
      </c>
      <c r="AO228" s="323"/>
      <c r="AP228" s="323">
        <v>735</v>
      </c>
      <c r="AQ228" s="328">
        <f t="shared" ref="AQ228:AQ230" si="17">AN228*AP228*32.763</f>
        <v>3510.9004574951996</v>
      </c>
    </row>
    <row r="229" spans="1:43">
      <c r="A229" s="341" t="s">
        <v>184</v>
      </c>
      <c r="B229" s="323">
        <v>15.9</v>
      </c>
      <c r="C229" s="323">
        <v>1100</v>
      </c>
      <c r="D229" s="323">
        <v>521</v>
      </c>
      <c r="E229" s="323">
        <v>16</v>
      </c>
      <c r="F229" s="333" t="s">
        <v>191</v>
      </c>
      <c r="G229" s="335">
        <v>46163</v>
      </c>
      <c r="H229" s="323"/>
      <c r="I229" s="323"/>
      <c r="J229" s="323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  <c r="AA229" s="323"/>
      <c r="AB229" s="323"/>
      <c r="AC229" s="323"/>
      <c r="AD229" s="323"/>
      <c r="AE229" s="323"/>
      <c r="AF229" s="323"/>
      <c r="AG229" s="323"/>
      <c r="AH229" s="323"/>
      <c r="AI229" s="323"/>
      <c r="AJ229" s="323"/>
      <c r="AK229" s="323"/>
      <c r="AL229" s="323"/>
      <c r="AM229" s="326">
        <f t="shared" si="11"/>
        <v>16</v>
      </c>
      <c r="AN229" s="327">
        <f t="shared" si="12"/>
        <v>0.14579664000000001</v>
      </c>
      <c r="AO229" s="323"/>
      <c r="AP229" s="323">
        <v>735</v>
      </c>
      <c r="AQ229" s="328">
        <f t="shared" si="17"/>
        <v>3510.9004574951996</v>
      </c>
    </row>
    <row r="230" spans="1:43">
      <c r="A230" s="341" t="s">
        <v>184</v>
      </c>
      <c r="B230" s="323">
        <v>15.9</v>
      </c>
      <c r="C230" s="323">
        <v>1100</v>
      </c>
      <c r="D230" s="323">
        <v>521</v>
      </c>
      <c r="E230" s="323">
        <v>40</v>
      </c>
      <c r="F230" s="333" t="s">
        <v>191</v>
      </c>
      <c r="G230" s="335">
        <v>46163</v>
      </c>
      <c r="H230" s="323"/>
      <c r="I230" s="323"/>
      <c r="J230" s="323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  <c r="AA230" s="323"/>
      <c r="AB230" s="323"/>
      <c r="AC230" s="323"/>
      <c r="AD230" s="323"/>
      <c r="AE230" s="323"/>
      <c r="AF230" s="323"/>
      <c r="AG230" s="323"/>
      <c r="AH230" s="323"/>
      <c r="AI230" s="323"/>
      <c r="AJ230" s="323"/>
      <c r="AK230" s="323"/>
      <c r="AL230" s="323"/>
      <c r="AM230" s="326">
        <v>42</v>
      </c>
      <c r="AN230" s="327">
        <f t="shared" si="12"/>
        <v>0.38271618000000002</v>
      </c>
      <c r="AO230" s="323"/>
      <c r="AP230" s="323">
        <v>735</v>
      </c>
      <c r="AQ230" s="328">
        <f t="shared" si="17"/>
        <v>9216.1137009249014</v>
      </c>
    </row>
    <row r="231" spans="1:43">
      <c r="A231" s="341" t="s">
        <v>184</v>
      </c>
      <c r="B231" s="323">
        <v>15.9</v>
      </c>
      <c r="C231" s="323">
        <v>1100</v>
      </c>
      <c r="D231" s="323">
        <v>521</v>
      </c>
      <c r="E231" s="323">
        <v>134</v>
      </c>
      <c r="F231" s="333" t="s">
        <v>187</v>
      </c>
      <c r="G231" s="335">
        <v>46169</v>
      </c>
      <c r="H231" s="323"/>
      <c r="I231" s="323"/>
      <c r="J231" s="323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  <c r="AA231" s="323"/>
      <c r="AB231" s="323"/>
      <c r="AC231" s="323"/>
      <c r="AD231" s="323"/>
      <c r="AE231" s="323"/>
      <c r="AF231" s="323"/>
      <c r="AG231" s="323"/>
      <c r="AH231" s="323"/>
      <c r="AI231" s="323"/>
      <c r="AJ231" s="323"/>
      <c r="AK231" s="323"/>
      <c r="AL231" s="323"/>
      <c r="AM231" s="326">
        <f t="shared" ref="AM231:AM294" si="18">E231-H231-I231-J231-K231-L231-M231-N231-O231-P231-Q231-R231-S231-T231-U231-V231-W231-X231-Y231-Z231-AA231-AB231-AC231-AD231-AE231-AF231-AG231-AH231-AI231-AJ231-AK231-AL231</f>
        <v>134</v>
      </c>
      <c r="AN231" s="327">
        <f t="shared" si="12"/>
        <v>1.22104686</v>
      </c>
      <c r="AO231" s="323"/>
      <c r="AP231" s="323">
        <v>709.85550000000001</v>
      </c>
      <c r="AQ231" s="328">
        <f t="shared" ref="AQ231:AQ236" si="19">AN231*AP231*32.2938</f>
        <v>27991.194632976138</v>
      </c>
    </row>
    <row r="232" spans="1:43">
      <c r="A232" s="341" t="s">
        <v>184</v>
      </c>
      <c r="B232" s="323">
        <v>15.9</v>
      </c>
      <c r="C232" s="323">
        <v>1100</v>
      </c>
      <c r="D232" s="323">
        <v>521</v>
      </c>
      <c r="E232" s="323">
        <v>146</v>
      </c>
      <c r="F232" s="333" t="s">
        <v>195</v>
      </c>
      <c r="G232" s="335">
        <v>46169</v>
      </c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323"/>
      <c r="AB232" s="323"/>
      <c r="AC232" s="323"/>
      <c r="AD232" s="323"/>
      <c r="AE232" s="323"/>
      <c r="AF232" s="323"/>
      <c r="AG232" s="323"/>
      <c r="AH232" s="323"/>
      <c r="AI232" s="323"/>
      <c r="AJ232" s="323"/>
      <c r="AK232" s="323"/>
      <c r="AL232" s="323"/>
      <c r="AM232" s="326">
        <f t="shared" si="18"/>
        <v>146</v>
      </c>
      <c r="AN232" s="327">
        <f t="shared" si="12"/>
        <v>1.33039434</v>
      </c>
      <c r="AO232" s="323"/>
      <c r="AP232" s="323">
        <v>735</v>
      </c>
      <c r="AQ232" s="328">
        <f t="shared" si="19"/>
        <v>31578.164221762618</v>
      </c>
    </row>
    <row r="233" spans="1:43">
      <c r="A233" s="341" t="s">
        <v>184</v>
      </c>
      <c r="B233" s="323">
        <v>15.9</v>
      </c>
      <c r="C233" s="323">
        <v>1100</v>
      </c>
      <c r="D233" s="323">
        <v>521</v>
      </c>
      <c r="E233" s="323">
        <v>146</v>
      </c>
      <c r="F233" s="333" t="s">
        <v>195</v>
      </c>
      <c r="G233" s="335">
        <v>46169</v>
      </c>
      <c r="H233" s="323"/>
      <c r="I233" s="323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323"/>
      <c r="AB233" s="323"/>
      <c r="AC233" s="323"/>
      <c r="AD233" s="323"/>
      <c r="AE233" s="323"/>
      <c r="AF233" s="323"/>
      <c r="AG233" s="323"/>
      <c r="AH233" s="323"/>
      <c r="AI233" s="323"/>
      <c r="AJ233" s="323"/>
      <c r="AK233" s="323"/>
      <c r="AL233" s="323"/>
      <c r="AM233" s="326">
        <f t="shared" si="18"/>
        <v>146</v>
      </c>
      <c r="AN233" s="327">
        <f t="shared" si="12"/>
        <v>1.33039434</v>
      </c>
      <c r="AO233" s="323"/>
      <c r="AP233" s="323">
        <v>735</v>
      </c>
      <c r="AQ233" s="328">
        <f t="shared" si="19"/>
        <v>31578.164221762618</v>
      </c>
    </row>
    <row r="234" spans="1:43">
      <c r="A234" s="341" t="s">
        <v>184</v>
      </c>
      <c r="B234" s="323">
        <v>15.9</v>
      </c>
      <c r="C234" s="323">
        <v>1100</v>
      </c>
      <c r="D234" s="323">
        <v>521</v>
      </c>
      <c r="E234" s="323">
        <v>146</v>
      </c>
      <c r="F234" s="333" t="s">
        <v>195</v>
      </c>
      <c r="G234" s="335">
        <v>46169</v>
      </c>
      <c r="H234" s="323"/>
      <c r="I234" s="323"/>
      <c r="J234" s="323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  <c r="AA234" s="323"/>
      <c r="AB234" s="323"/>
      <c r="AC234" s="323"/>
      <c r="AD234" s="323"/>
      <c r="AE234" s="323"/>
      <c r="AF234" s="323"/>
      <c r="AG234" s="323"/>
      <c r="AH234" s="323"/>
      <c r="AI234" s="323"/>
      <c r="AJ234" s="323"/>
      <c r="AK234" s="323"/>
      <c r="AL234" s="323"/>
      <c r="AM234" s="326">
        <f t="shared" si="18"/>
        <v>146</v>
      </c>
      <c r="AN234" s="327">
        <f t="shared" si="12"/>
        <v>1.33039434</v>
      </c>
      <c r="AO234" s="323"/>
      <c r="AP234" s="323">
        <v>735</v>
      </c>
      <c r="AQ234" s="328">
        <f t="shared" si="19"/>
        <v>31578.164221762618</v>
      </c>
    </row>
    <row r="235" spans="1:43">
      <c r="A235" s="341" t="s">
        <v>184</v>
      </c>
      <c r="B235" s="323">
        <v>15.9</v>
      </c>
      <c r="C235" s="323">
        <v>1100</v>
      </c>
      <c r="D235" s="323">
        <v>521</v>
      </c>
      <c r="E235" s="323">
        <v>146</v>
      </c>
      <c r="F235" s="333" t="s">
        <v>195</v>
      </c>
      <c r="G235" s="335">
        <v>46169</v>
      </c>
      <c r="H235" s="323"/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  <c r="AA235" s="323"/>
      <c r="AB235" s="323"/>
      <c r="AC235" s="323"/>
      <c r="AD235" s="323"/>
      <c r="AE235" s="323"/>
      <c r="AF235" s="323"/>
      <c r="AG235" s="323"/>
      <c r="AH235" s="323"/>
      <c r="AI235" s="323"/>
      <c r="AJ235" s="323"/>
      <c r="AK235" s="323"/>
      <c r="AL235" s="323"/>
      <c r="AM235" s="326">
        <f t="shared" si="18"/>
        <v>146</v>
      </c>
      <c r="AN235" s="327">
        <f t="shared" si="12"/>
        <v>1.33039434</v>
      </c>
      <c r="AO235" s="323"/>
      <c r="AP235" s="323">
        <v>735</v>
      </c>
      <c r="AQ235" s="328">
        <f t="shared" si="19"/>
        <v>31578.164221762618</v>
      </c>
    </row>
    <row r="236" spans="1:43">
      <c r="A236" s="341" t="s">
        <v>184</v>
      </c>
      <c r="B236" s="323">
        <v>15.9</v>
      </c>
      <c r="C236" s="323">
        <v>1100</v>
      </c>
      <c r="D236" s="323">
        <v>521</v>
      </c>
      <c r="E236" s="323">
        <v>146</v>
      </c>
      <c r="F236" s="333" t="s">
        <v>195</v>
      </c>
      <c r="G236" s="335">
        <v>46169</v>
      </c>
      <c r="H236" s="323"/>
      <c r="I236" s="323"/>
      <c r="J236" s="323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323"/>
      <c r="AB236" s="323"/>
      <c r="AC236" s="323"/>
      <c r="AD236" s="323"/>
      <c r="AE236" s="323"/>
      <c r="AF236" s="323"/>
      <c r="AG236" s="323"/>
      <c r="AH236" s="323"/>
      <c r="AI236" s="323"/>
      <c r="AJ236" s="323"/>
      <c r="AK236" s="323"/>
      <c r="AL236" s="323"/>
      <c r="AM236" s="326">
        <f t="shared" si="18"/>
        <v>146</v>
      </c>
      <c r="AN236" s="327">
        <f t="shared" si="12"/>
        <v>1.33039434</v>
      </c>
      <c r="AO236" s="323"/>
      <c r="AP236" s="323">
        <v>735</v>
      </c>
      <c r="AQ236" s="328">
        <f t="shared" si="19"/>
        <v>31578.164221762618</v>
      </c>
    </row>
    <row r="237" spans="1:43">
      <c r="A237" s="341" t="s">
        <v>184</v>
      </c>
      <c r="B237" s="323">
        <v>15.9</v>
      </c>
      <c r="C237" s="323">
        <v>1100</v>
      </c>
      <c r="D237" s="323">
        <v>521</v>
      </c>
      <c r="E237" s="323">
        <v>132</v>
      </c>
      <c r="F237" s="333" t="s">
        <v>188</v>
      </c>
      <c r="G237" s="335">
        <v>46184</v>
      </c>
      <c r="H237" s="323"/>
      <c r="I237" s="323"/>
      <c r="J237" s="323"/>
      <c r="K237" s="323"/>
      <c r="L237" s="323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  <c r="AA237" s="323"/>
      <c r="AB237" s="323"/>
      <c r="AC237" s="323"/>
      <c r="AD237" s="323"/>
      <c r="AE237" s="323"/>
      <c r="AF237" s="323"/>
      <c r="AG237" s="323"/>
      <c r="AH237" s="323"/>
      <c r="AI237" s="323"/>
      <c r="AJ237" s="323"/>
      <c r="AK237" s="323"/>
      <c r="AL237" s="323"/>
      <c r="AM237" s="326">
        <f t="shared" si="18"/>
        <v>132</v>
      </c>
      <c r="AN237" s="327">
        <f t="shared" si="12"/>
        <v>1.2028222799999999</v>
      </c>
      <c r="AO237" s="323"/>
      <c r="AP237" s="323">
        <v>735</v>
      </c>
      <c r="AQ237" s="328">
        <f>AN237*AP237*32.7768</f>
        <v>28977.129000721441</v>
      </c>
    </row>
    <row r="238" spans="1:43">
      <c r="A238" s="341" t="s">
        <v>184</v>
      </c>
      <c r="B238" s="323">
        <v>12.7</v>
      </c>
      <c r="C238" s="323">
        <v>209.55</v>
      </c>
      <c r="D238" s="323">
        <v>527.04999999999995</v>
      </c>
      <c r="E238" s="323">
        <v>128</v>
      </c>
      <c r="F238" s="323" t="s">
        <v>189</v>
      </c>
      <c r="G238" s="335">
        <v>45864</v>
      </c>
      <c r="H238" s="323"/>
      <c r="I238" s="323"/>
      <c r="J238" s="323"/>
      <c r="K238" s="323"/>
      <c r="L238" s="323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  <c r="AA238" s="323"/>
      <c r="AB238" s="323"/>
      <c r="AC238" s="323"/>
      <c r="AD238" s="323"/>
      <c r="AE238" s="323"/>
      <c r="AF238" s="323"/>
      <c r="AG238" s="323"/>
      <c r="AH238" s="323"/>
      <c r="AI238" s="323"/>
      <c r="AJ238" s="323"/>
      <c r="AK238" s="323"/>
      <c r="AL238" s="323"/>
      <c r="AM238" s="326">
        <f t="shared" si="18"/>
        <v>128</v>
      </c>
      <c r="AN238" s="327">
        <f t="shared" si="12"/>
        <v>0.17953667318399999</v>
      </c>
      <c r="AO238" s="323"/>
      <c r="AP238" s="323">
        <v>675.72580000000005</v>
      </c>
      <c r="AQ238" s="328">
        <f>AN238*AP238*32.8864</f>
        <v>3989.697874791254</v>
      </c>
    </row>
    <row r="239" spans="1:43">
      <c r="A239" s="341" t="s">
        <v>184</v>
      </c>
      <c r="B239" s="323">
        <v>12.7</v>
      </c>
      <c r="C239" s="323">
        <v>209.55</v>
      </c>
      <c r="D239" s="323">
        <v>527.04999999999995</v>
      </c>
      <c r="E239" s="323">
        <v>740</v>
      </c>
      <c r="F239" s="323" t="s">
        <v>189</v>
      </c>
      <c r="G239" s="335">
        <v>45864</v>
      </c>
      <c r="H239" s="323"/>
      <c r="I239" s="323"/>
      <c r="J239" s="323"/>
      <c r="K239" s="323"/>
      <c r="L239" s="323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  <c r="AA239" s="323"/>
      <c r="AB239" s="323"/>
      <c r="AC239" s="323"/>
      <c r="AD239" s="323"/>
      <c r="AE239" s="323"/>
      <c r="AF239" s="323"/>
      <c r="AG239" s="323"/>
      <c r="AH239" s="323"/>
      <c r="AI239" s="323"/>
      <c r="AJ239" s="323"/>
      <c r="AK239" s="323"/>
      <c r="AL239" s="323"/>
      <c r="AM239" s="326">
        <f t="shared" si="18"/>
        <v>740</v>
      </c>
      <c r="AN239" s="327">
        <f t="shared" si="12"/>
        <v>1.0379463918449998</v>
      </c>
      <c r="AO239" s="323"/>
      <c r="AP239" s="323">
        <v>675.72580000000005</v>
      </c>
      <c r="AQ239" s="328">
        <f>AN239*AP239*32.8864</f>
        <v>23065.440838636932</v>
      </c>
    </row>
    <row r="240" spans="1:43">
      <c r="A240" s="341" t="s">
        <v>184</v>
      </c>
      <c r="B240" s="323">
        <v>12.7</v>
      </c>
      <c r="C240" s="323">
        <v>209.55</v>
      </c>
      <c r="D240" s="323">
        <v>527.04999999999995</v>
      </c>
      <c r="E240" s="323">
        <v>740</v>
      </c>
      <c r="F240" s="323" t="s">
        <v>189</v>
      </c>
      <c r="G240" s="335">
        <v>45864</v>
      </c>
      <c r="H240" s="323"/>
      <c r="I240" s="323"/>
      <c r="J240" s="323"/>
      <c r="K240" s="323"/>
      <c r="L240" s="323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  <c r="AA240" s="323"/>
      <c r="AB240" s="323"/>
      <c r="AC240" s="323"/>
      <c r="AD240" s="323"/>
      <c r="AE240" s="323"/>
      <c r="AF240" s="323"/>
      <c r="AG240" s="323"/>
      <c r="AH240" s="323"/>
      <c r="AI240" s="323"/>
      <c r="AJ240" s="323"/>
      <c r="AK240" s="323"/>
      <c r="AL240" s="323"/>
      <c r="AM240" s="326">
        <f t="shared" si="18"/>
        <v>740</v>
      </c>
      <c r="AN240" s="327">
        <f t="shared" si="12"/>
        <v>1.0379463918449998</v>
      </c>
      <c r="AO240" s="323"/>
      <c r="AP240" s="323">
        <v>675.72580000000005</v>
      </c>
      <c r="AQ240" s="328">
        <f>AN240*AP240*32.8864</f>
        <v>23065.440838636932</v>
      </c>
    </row>
    <row r="241" spans="1:43">
      <c r="A241" s="341" t="s">
        <v>184</v>
      </c>
      <c r="B241" s="323">
        <v>12.7</v>
      </c>
      <c r="C241" s="323">
        <v>209.55</v>
      </c>
      <c r="D241" s="323">
        <v>527.04999999999995</v>
      </c>
      <c r="E241" s="323">
        <v>740</v>
      </c>
      <c r="F241" s="323" t="s">
        <v>189</v>
      </c>
      <c r="G241" s="335">
        <v>45864</v>
      </c>
      <c r="H241" s="323"/>
      <c r="I241" s="323"/>
      <c r="J241" s="323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  <c r="AA241" s="323"/>
      <c r="AB241" s="323"/>
      <c r="AC241" s="323"/>
      <c r="AD241" s="323"/>
      <c r="AE241" s="323"/>
      <c r="AF241" s="323"/>
      <c r="AG241" s="323"/>
      <c r="AH241" s="323"/>
      <c r="AI241" s="323"/>
      <c r="AJ241" s="323"/>
      <c r="AK241" s="323"/>
      <c r="AL241" s="323"/>
      <c r="AM241" s="326">
        <f t="shared" si="18"/>
        <v>740</v>
      </c>
      <c r="AN241" s="327">
        <f t="shared" si="12"/>
        <v>1.0379463918449998</v>
      </c>
      <c r="AO241" s="323"/>
      <c r="AP241" s="323">
        <v>675.72580000000005</v>
      </c>
      <c r="AQ241" s="328">
        <f>AN241*AP241*32.8864</f>
        <v>23065.440838636932</v>
      </c>
    </row>
    <row r="242" spans="1:43">
      <c r="A242" s="341" t="s">
        <v>184</v>
      </c>
      <c r="B242" s="323">
        <v>12.7</v>
      </c>
      <c r="C242" s="323">
        <v>209.55</v>
      </c>
      <c r="D242" s="323">
        <v>527.04999999999995</v>
      </c>
      <c r="E242" s="323">
        <v>172</v>
      </c>
      <c r="F242" s="323" t="s">
        <v>189</v>
      </c>
      <c r="G242" s="335">
        <v>45864</v>
      </c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323"/>
      <c r="AB242" s="323"/>
      <c r="AC242" s="323"/>
      <c r="AD242" s="323"/>
      <c r="AE242" s="323"/>
      <c r="AF242" s="323"/>
      <c r="AG242" s="323"/>
      <c r="AH242" s="323"/>
      <c r="AI242" s="323"/>
      <c r="AJ242" s="323"/>
      <c r="AK242" s="323"/>
      <c r="AL242" s="323"/>
      <c r="AM242" s="326">
        <f t="shared" si="18"/>
        <v>172</v>
      </c>
      <c r="AN242" s="327">
        <f t="shared" si="12"/>
        <v>0.241252404591</v>
      </c>
      <c r="AO242" s="323"/>
      <c r="AP242" s="323">
        <v>675.72580000000005</v>
      </c>
      <c r="AQ242" s="328">
        <f>AN242*AP242*32.8864</f>
        <v>5361.1565192507478</v>
      </c>
    </row>
    <row r="243" spans="1:43">
      <c r="A243" s="341" t="s">
        <v>184</v>
      </c>
      <c r="B243" s="323">
        <v>15.9</v>
      </c>
      <c r="C243" s="323">
        <v>1100</v>
      </c>
      <c r="D243" s="323">
        <v>543</v>
      </c>
      <c r="E243" s="323">
        <v>135</v>
      </c>
      <c r="F243" s="333" t="s">
        <v>191</v>
      </c>
      <c r="G243" s="335">
        <v>46163</v>
      </c>
      <c r="H243" s="323"/>
      <c r="I243" s="323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323"/>
      <c r="AB243" s="323"/>
      <c r="AC243" s="323"/>
      <c r="AD243" s="323"/>
      <c r="AE243" s="323"/>
      <c r="AF243" s="323"/>
      <c r="AG243" s="323"/>
      <c r="AH243" s="323"/>
      <c r="AI243" s="323"/>
      <c r="AJ243" s="323"/>
      <c r="AK243" s="323"/>
      <c r="AL243" s="323"/>
      <c r="AM243" s="326">
        <f t="shared" si="18"/>
        <v>135</v>
      </c>
      <c r="AN243" s="327">
        <f t="shared" si="12"/>
        <v>1.2821044500000001</v>
      </c>
      <c r="AO243" s="323"/>
      <c r="AP243" s="323">
        <v>680</v>
      </c>
      <c r="AQ243" s="328">
        <f>AN243*AP243*32.763</f>
        <v>28563.799904838001</v>
      </c>
    </row>
    <row r="244" spans="1:43">
      <c r="A244" s="341" t="s">
        <v>184</v>
      </c>
      <c r="B244" s="323">
        <v>15.9</v>
      </c>
      <c r="C244" s="323">
        <v>1100</v>
      </c>
      <c r="D244" s="323">
        <v>570</v>
      </c>
      <c r="E244" s="323">
        <v>3</v>
      </c>
      <c r="F244" s="323" t="s">
        <v>185</v>
      </c>
      <c r="G244" s="335">
        <v>45951</v>
      </c>
      <c r="H244" s="323"/>
      <c r="I244" s="323"/>
      <c r="J244" s="323"/>
      <c r="K244" s="323"/>
      <c r="L244" s="323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  <c r="AA244" s="323"/>
      <c r="AB244" s="323"/>
      <c r="AC244" s="323"/>
      <c r="AD244" s="323"/>
      <c r="AE244" s="323"/>
      <c r="AF244" s="323"/>
      <c r="AG244" s="323"/>
      <c r="AH244" s="323"/>
      <c r="AI244" s="323"/>
      <c r="AJ244" s="323"/>
      <c r="AK244" s="323"/>
      <c r="AL244" s="323"/>
      <c r="AM244" s="326">
        <f t="shared" si="18"/>
        <v>3</v>
      </c>
      <c r="AN244" s="327">
        <f t="shared" si="12"/>
        <v>2.9907900000000001E-2</v>
      </c>
      <c r="AO244" s="323"/>
      <c r="AP244" s="323">
        <v>680</v>
      </c>
      <c r="AQ244" s="328">
        <f>AN244*AP244*31.9788</f>
        <v>650.36475171360007</v>
      </c>
    </row>
    <row r="245" spans="1:43">
      <c r="A245" s="341" t="s">
        <v>184</v>
      </c>
      <c r="B245" s="323">
        <v>15.9</v>
      </c>
      <c r="C245" s="323">
        <v>1100</v>
      </c>
      <c r="D245" s="323">
        <v>570</v>
      </c>
      <c r="E245" s="323">
        <v>72</v>
      </c>
      <c r="F245" s="323" t="s">
        <v>185</v>
      </c>
      <c r="G245" s="335">
        <v>45951</v>
      </c>
      <c r="H245" s="323"/>
      <c r="I245" s="323"/>
      <c r="J245" s="323"/>
      <c r="K245" s="323"/>
      <c r="L245" s="323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  <c r="AA245" s="323"/>
      <c r="AB245" s="323"/>
      <c r="AC245" s="323"/>
      <c r="AD245" s="323"/>
      <c r="AE245" s="323"/>
      <c r="AF245" s="323"/>
      <c r="AG245" s="323"/>
      <c r="AH245" s="323"/>
      <c r="AI245" s="323"/>
      <c r="AJ245" s="323"/>
      <c r="AK245" s="323"/>
      <c r="AL245" s="323"/>
      <c r="AM245" s="326">
        <f t="shared" si="18"/>
        <v>72</v>
      </c>
      <c r="AN245" s="327">
        <f t="shared" si="12"/>
        <v>0.71778960000000003</v>
      </c>
      <c r="AO245" s="323"/>
      <c r="AP245" s="323">
        <v>680</v>
      </c>
      <c r="AQ245" s="328">
        <f>AN245*AP245*31.9788</f>
        <v>15608.7540411264</v>
      </c>
    </row>
    <row r="246" spans="1:43">
      <c r="A246" s="341" t="s">
        <v>184</v>
      </c>
      <c r="B246" s="323">
        <v>15.9</v>
      </c>
      <c r="C246" s="323">
        <v>1100</v>
      </c>
      <c r="D246" s="323">
        <v>599.6</v>
      </c>
      <c r="E246" s="323">
        <v>127</v>
      </c>
      <c r="F246" s="323" t="s">
        <v>189</v>
      </c>
      <c r="G246" s="335">
        <v>45864</v>
      </c>
      <c r="H246" s="323"/>
      <c r="I246" s="323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323"/>
      <c r="AB246" s="323"/>
      <c r="AC246" s="323"/>
      <c r="AD246" s="323"/>
      <c r="AE246" s="323"/>
      <c r="AF246" s="323"/>
      <c r="AG246" s="323"/>
      <c r="AH246" s="323"/>
      <c r="AI246" s="323"/>
      <c r="AJ246" s="323"/>
      <c r="AK246" s="323"/>
      <c r="AL246" s="323"/>
      <c r="AM246" s="326">
        <f t="shared" si="18"/>
        <v>127</v>
      </c>
      <c r="AN246" s="327">
        <f t="shared" si="12"/>
        <v>1.3318495079999999</v>
      </c>
      <c r="AO246" s="323"/>
      <c r="AP246" s="323">
        <v>675.72580000000005</v>
      </c>
      <c r="AQ246" s="328">
        <f>AN246*AP246*32.8864</f>
        <v>29596.611418568507</v>
      </c>
    </row>
    <row r="247" spans="1:43">
      <c r="A247" s="341" t="s">
        <v>184</v>
      </c>
      <c r="B247" s="323">
        <v>15.9</v>
      </c>
      <c r="C247" s="323">
        <v>1100</v>
      </c>
      <c r="D247" s="323">
        <v>599.6</v>
      </c>
      <c r="E247" s="323">
        <v>64</v>
      </c>
      <c r="F247" s="323" t="s">
        <v>189</v>
      </c>
      <c r="G247" s="335">
        <v>45864</v>
      </c>
      <c r="H247" s="323"/>
      <c r="I247" s="323"/>
      <c r="J247" s="323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  <c r="AA247" s="323"/>
      <c r="AB247" s="323"/>
      <c r="AC247" s="323"/>
      <c r="AD247" s="323"/>
      <c r="AE247" s="323"/>
      <c r="AF247" s="323"/>
      <c r="AG247" s="323"/>
      <c r="AH247" s="323"/>
      <c r="AI247" s="323"/>
      <c r="AJ247" s="323"/>
      <c r="AK247" s="323"/>
      <c r="AL247" s="323"/>
      <c r="AM247" s="326">
        <f t="shared" si="18"/>
        <v>64</v>
      </c>
      <c r="AN247" s="327">
        <f t="shared" si="12"/>
        <v>0.67116825599999996</v>
      </c>
      <c r="AO247" s="323"/>
      <c r="AP247" s="323">
        <v>675.72580000000005</v>
      </c>
      <c r="AQ247" s="328">
        <f>AN247*AP247*32.8864</f>
        <v>14914.827801483345</v>
      </c>
    </row>
    <row r="248" spans="1:43">
      <c r="A248" s="341" t="s">
        <v>184</v>
      </c>
      <c r="B248" s="323">
        <v>15.9</v>
      </c>
      <c r="C248" s="323">
        <v>1100</v>
      </c>
      <c r="D248" s="323">
        <v>599.6</v>
      </c>
      <c r="E248" s="323">
        <v>63</v>
      </c>
      <c r="F248" s="323" t="s">
        <v>189</v>
      </c>
      <c r="G248" s="335">
        <v>45864</v>
      </c>
      <c r="H248" s="323"/>
      <c r="I248" s="323">
        <v>25</v>
      </c>
      <c r="J248" s="323"/>
      <c r="K248" s="323"/>
      <c r="L248" s="323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  <c r="AA248" s="323"/>
      <c r="AB248" s="323"/>
      <c r="AC248" s="323"/>
      <c r="AD248" s="323"/>
      <c r="AE248" s="323"/>
      <c r="AF248" s="323"/>
      <c r="AG248" s="323"/>
      <c r="AH248" s="323"/>
      <c r="AI248" s="323"/>
      <c r="AJ248" s="323"/>
      <c r="AK248" s="323"/>
      <c r="AL248" s="323"/>
      <c r="AM248" s="326">
        <f t="shared" si="18"/>
        <v>38</v>
      </c>
      <c r="AN248" s="327">
        <f t="shared" si="12"/>
        <v>0.398506152</v>
      </c>
      <c r="AO248" s="323"/>
      <c r="AP248" s="323">
        <v>675.72580000000005</v>
      </c>
      <c r="AQ248" s="328">
        <f>AN248*AP248*32.8864</f>
        <v>8855.679007130735</v>
      </c>
    </row>
    <row r="249" spans="1:43">
      <c r="A249" s="341" t="s">
        <v>184</v>
      </c>
      <c r="B249" s="323">
        <v>15.9</v>
      </c>
      <c r="C249" s="323">
        <v>1100</v>
      </c>
      <c r="D249" s="323">
        <v>600</v>
      </c>
      <c r="E249" s="323">
        <v>65</v>
      </c>
      <c r="F249" s="323" t="s">
        <v>186</v>
      </c>
      <c r="G249" s="335">
        <v>45890</v>
      </c>
      <c r="H249" s="323"/>
      <c r="I249" s="323"/>
      <c r="J249" s="323"/>
      <c r="K249" s="323"/>
      <c r="L249" s="323"/>
      <c r="M249" s="323"/>
      <c r="N249" s="323"/>
      <c r="O249" s="323"/>
      <c r="P249" s="323"/>
      <c r="Q249" s="323"/>
      <c r="R249" s="323">
        <v>6</v>
      </c>
      <c r="S249" s="323"/>
      <c r="T249" s="323"/>
      <c r="U249" s="323"/>
      <c r="V249" s="323"/>
      <c r="W249" s="323"/>
      <c r="X249" s="323"/>
      <c r="Y249" s="323"/>
      <c r="Z249" s="323"/>
      <c r="AA249" s="323"/>
      <c r="AB249" s="323"/>
      <c r="AC249" s="323"/>
      <c r="AD249" s="323"/>
      <c r="AE249" s="323"/>
      <c r="AF249" s="323"/>
      <c r="AG249" s="323"/>
      <c r="AH249" s="323"/>
      <c r="AI249" s="323"/>
      <c r="AJ249" s="323"/>
      <c r="AK249" s="323"/>
      <c r="AL249" s="323"/>
      <c r="AM249" s="326">
        <f t="shared" si="18"/>
        <v>59</v>
      </c>
      <c r="AN249" s="327">
        <f t="shared" si="12"/>
        <v>0.61914599999999997</v>
      </c>
      <c r="AO249" s="323"/>
      <c r="AP249" s="323">
        <v>693.375</v>
      </c>
      <c r="AQ249" s="328">
        <f>AN249*AP249*32.4608</f>
        <v>13935.4330528512</v>
      </c>
    </row>
    <row r="250" spans="1:43">
      <c r="A250" s="341" t="s">
        <v>184</v>
      </c>
      <c r="B250" s="323">
        <v>15.9</v>
      </c>
      <c r="C250" s="323">
        <v>1100</v>
      </c>
      <c r="D250" s="323">
        <v>600</v>
      </c>
      <c r="E250" s="323">
        <v>144</v>
      </c>
      <c r="F250" s="323" t="s">
        <v>196</v>
      </c>
      <c r="G250" s="335">
        <v>45890</v>
      </c>
      <c r="H250" s="323"/>
      <c r="I250" s="323"/>
      <c r="J250" s="323"/>
      <c r="K250" s="323"/>
      <c r="L250" s="323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  <c r="AA250" s="323"/>
      <c r="AB250" s="323"/>
      <c r="AC250" s="323"/>
      <c r="AD250" s="323"/>
      <c r="AE250" s="323"/>
      <c r="AF250" s="323"/>
      <c r="AG250" s="323"/>
      <c r="AH250" s="323"/>
      <c r="AI250" s="323"/>
      <c r="AJ250" s="323"/>
      <c r="AK250" s="323"/>
      <c r="AL250" s="323"/>
      <c r="AM250" s="326">
        <f t="shared" si="18"/>
        <v>144</v>
      </c>
      <c r="AN250" s="327">
        <f t="shared" si="12"/>
        <v>1.511136</v>
      </c>
      <c r="AO250" s="323"/>
      <c r="AP250" s="323">
        <v>680</v>
      </c>
      <c r="AQ250" s="328">
        <f>AN250*AP250*32.4608</f>
        <v>33355.824758784001</v>
      </c>
    </row>
    <row r="251" spans="1:43">
      <c r="A251" s="341" t="s">
        <v>184</v>
      </c>
      <c r="B251" s="323">
        <v>15.9</v>
      </c>
      <c r="C251" s="323">
        <v>1100</v>
      </c>
      <c r="D251" s="323">
        <v>600</v>
      </c>
      <c r="E251" s="323">
        <v>144</v>
      </c>
      <c r="F251" s="323" t="s">
        <v>197</v>
      </c>
      <c r="G251" s="335">
        <v>45937</v>
      </c>
      <c r="H251" s="323"/>
      <c r="I251" s="323"/>
      <c r="J251" s="323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  <c r="AA251" s="323"/>
      <c r="AB251" s="323"/>
      <c r="AC251" s="323"/>
      <c r="AD251" s="323"/>
      <c r="AE251" s="323"/>
      <c r="AF251" s="323"/>
      <c r="AG251" s="323"/>
      <c r="AH251" s="323"/>
      <c r="AI251" s="323"/>
      <c r="AJ251" s="323"/>
      <c r="AK251" s="323"/>
      <c r="AL251" s="323"/>
      <c r="AM251" s="326">
        <f t="shared" si="18"/>
        <v>144</v>
      </c>
      <c r="AN251" s="327">
        <f t="shared" si="12"/>
        <v>1.511136</v>
      </c>
      <c r="AO251" s="323"/>
      <c r="AP251" s="323">
        <v>680</v>
      </c>
      <c r="AQ251" s="328">
        <f>AN251*AP251*32.7241</f>
        <v>33626.384592768001</v>
      </c>
    </row>
    <row r="252" spans="1:43">
      <c r="A252" s="341" t="s">
        <v>184</v>
      </c>
      <c r="B252" s="323">
        <v>15.9</v>
      </c>
      <c r="C252" s="323">
        <v>1100</v>
      </c>
      <c r="D252" s="323">
        <v>600</v>
      </c>
      <c r="E252" s="323">
        <v>144</v>
      </c>
      <c r="F252" s="323" t="s">
        <v>197</v>
      </c>
      <c r="G252" s="335">
        <v>45937</v>
      </c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323"/>
      <c r="AB252" s="323"/>
      <c r="AC252" s="323"/>
      <c r="AD252" s="323"/>
      <c r="AE252" s="323"/>
      <c r="AF252" s="323"/>
      <c r="AG252" s="323"/>
      <c r="AH252" s="323"/>
      <c r="AI252" s="323"/>
      <c r="AJ252" s="323"/>
      <c r="AK252" s="323"/>
      <c r="AL252" s="323"/>
      <c r="AM252" s="326">
        <f t="shared" si="18"/>
        <v>144</v>
      </c>
      <c r="AN252" s="327">
        <f t="shared" si="12"/>
        <v>1.511136</v>
      </c>
      <c r="AO252" s="323"/>
      <c r="AP252" s="323">
        <v>680</v>
      </c>
      <c r="AQ252" s="328">
        <f>AN252*AP252*32.7241</f>
        <v>33626.384592768001</v>
      </c>
    </row>
    <row r="253" spans="1:43">
      <c r="A253" s="341" t="s">
        <v>184</v>
      </c>
      <c r="B253" s="323">
        <v>15.9</v>
      </c>
      <c r="C253" s="323">
        <v>1100</v>
      </c>
      <c r="D253" s="323">
        <v>600</v>
      </c>
      <c r="E253" s="323">
        <v>144</v>
      </c>
      <c r="F253" s="323" t="s">
        <v>197</v>
      </c>
      <c r="G253" s="335">
        <v>45937</v>
      </c>
      <c r="H253" s="323"/>
      <c r="I253" s="323"/>
      <c r="J253" s="323"/>
      <c r="K253" s="323"/>
      <c r="L253" s="323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  <c r="AA253" s="323"/>
      <c r="AB253" s="323"/>
      <c r="AC253" s="323"/>
      <c r="AD253" s="323"/>
      <c r="AE253" s="323"/>
      <c r="AF253" s="323"/>
      <c r="AG253" s="323"/>
      <c r="AH253" s="323"/>
      <c r="AI253" s="323"/>
      <c r="AJ253" s="323"/>
      <c r="AK253" s="323"/>
      <c r="AL253" s="323"/>
      <c r="AM253" s="326">
        <f t="shared" si="18"/>
        <v>144</v>
      </c>
      <c r="AN253" s="327">
        <f t="shared" si="12"/>
        <v>1.511136</v>
      </c>
      <c r="AO253" s="323"/>
      <c r="AP253" s="323">
        <v>680</v>
      </c>
      <c r="AQ253" s="328">
        <f>AN253*AP253*32.7241</f>
        <v>33626.384592768001</v>
      </c>
    </row>
    <row r="254" spans="1:43">
      <c r="A254" s="341" t="s">
        <v>184</v>
      </c>
      <c r="B254" s="323">
        <v>15.9</v>
      </c>
      <c r="C254" s="323">
        <v>1100</v>
      </c>
      <c r="D254" s="323">
        <v>600</v>
      </c>
      <c r="E254" s="323">
        <v>110</v>
      </c>
      <c r="F254" s="323" t="s">
        <v>192</v>
      </c>
      <c r="G254" s="335">
        <v>45939</v>
      </c>
      <c r="H254" s="323"/>
      <c r="I254" s="323"/>
      <c r="J254" s="323"/>
      <c r="K254" s="323"/>
      <c r="L254" s="323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  <c r="AA254" s="323"/>
      <c r="AB254" s="323"/>
      <c r="AC254" s="323"/>
      <c r="AD254" s="323"/>
      <c r="AE254" s="323"/>
      <c r="AF254" s="323"/>
      <c r="AG254" s="323"/>
      <c r="AH254" s="323"/>
      <c r="AI254" s="323"/>
      <c r="AJ254" s="323"/>
      <c r="AK254" s="323"/>
      <c r="AL254" s="323"/>
      <c r="AM254" s="326">
        <f t="shared" si="18"/>
        <v>110</v>
      </c>
      <c r="AN254" s="327">
        <f t="shared" si="12"/>
        <v>1.1543399999999999</v>
      </c>
      <c r="AO254" s="323"/>
      <c r="AP254" s="323">
        <v>693.375</v>
      </c>
      <c r="AQ254" s="328">
        <f>AN254*AP254*32.7241</f>
        <v>26192.058679239748</v>
      </c>
    </row>
    <row r="255" spans="1:43">
      <c r="A255" s="341" t="s">
        <v>184</v>
      </c>
      <c r="B255" s="323">
        <v>15.9</v>
      </c>
      <c r="C255" s="323">
        <v>1100</v>
      </c>
      <c r="D255" s="323">
        <v>600</v>
      </c>
      <c r="E255" s="323">
        <v>130</v>
      </c>
      <c r="F255" s="323" t="s">
        <v>192</v>
      </c>
      <c r="G255" s="335">
        <v>45939</v>
      </c>
      <c r="H255" s="323"/>
      <c r="I255" s="323"/>
      <c r="J255" s="323"/>
      <c r="K255" s="323"/>
      <c r="L255" s="323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  <c r="AA255" s="323"/>
      <c r="AB255" s="323"/>
      <c r="AC255" s="323"/>
      <c r="AD255" s="323"/>
      <c r="AE255" s="323"/>
      <c r="AF255" s="323"/>
      <c r="AG255" s="323"/>
      <c r="AH255" s="323"/>
      <c r="AI255" s="323"/>
      <c r="AJ255" s="323"/>
      <c r="AK255" s="323"/>
      <c r="AL255" s="323"/>
      <c r="AM255" s="326">
        <f t="shared" si="18"/>
        <v>130</v>
      </c>
      <c r="AN255" s="327">
        <f t="shared" si="12"/>
        <v>1.36422</v>
      </c>
      <c r="AO255" s="323"/>
      <c r="AP255" s="323">
        <v>693.375</v>
      </c>
      <c r="AQ255" s="328">
        <f>AN255*AP255*32.7241</f>
        <v>30954.251166374252</v>
      </c>
    </row>
    <row r="256" spans="1:43">
      <c r="A256" s="341" t="s">
        <v>184</v>
      </c>
      <c r="B256" s="323">
        <v>15.9</v>
      </c>
      <c r="C256" s="323">
        <v>1100</v>
      </c>
      <c r="D256" s="323">
        <v>647.70000000000005</v>
      </c>
      <c r="E256" s="323">
        <v>63</v>
      </c>
      <c r="F256" s="323" t="s">
        <v>189</v>
      </c>
      <c r="G256" s="335">
        <v>45864</v>
      </c>
      <c r="H256" s="323"/>
      <c r="I256" s="323"/>
      <c r="J256" s="323"/>
      <c r="K256" s="323"/>
      <c r="L256" s="323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>
        <v>21</v>
      </c>
      <c r="W256" s="323"/>
      <c r="X256" s="323"/>
      <c r="Y256" s="323"/>
      <c r="Z256" s="323"/>
      <c r="AA256" s="323"/>
      <c r="AB256" s="323"/>
      <c r="AC256" s="323"/>
      <c r="AD256" s="323"/>
      <c r="AE256" s="323"/>
      <c r="AF256" s="323"/>
      <c r="AG256" s="323"/>
      <c r="AH256" s="323"/>
      <c r="AI256" s="323"/>
      <c r="AJ256" s="323"/>
      <c r="AK256" s="323"/>
      <c r="AL256" s="323"/>
      <c r="AM256" s="326">
        <f t="shared" si="18"/>
        <v>42</v>
      </c>
      <c r="AN256" s="327">
        <f t="shared" si="12"/>
        <v>0.47578746599999999</v>
      </c>
      <c r="AO256" s="323"/>
      <c r="AP256" s="323">
        <v>675.72580000000005</v>
      </c>
      <c r="AQ256" s="328">
        <f>AN256*AP256*32.8864</f>
        <v>10573.038969075009</v>
      </c>
    </row>
    <row r="257" spans="1:43">
      <c r="A257" s="341" t="s">
        <v>184</v>
      </c>
      <c r="B257" s="323">
        <v>15.9</v>
      </c>
      <c r="C257" s="323">
        <v>1100</v>
      </c>
      <c r="D257" s="323">
        <v>647.70000000000005</v>
      </c>
      <c r="E257" s="323">
        <v>127</v>
      </c>
      <c r="F257" s="323" t="s">
        <v>189</v>
      </c>
      <c r="G257" s="335">
        <v>45864</v>
      </c>
      <c r="H257" s="323"/>
      <c r="I257" s="323"/>
      <c r="J257" s="323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  <c r="AA257" s="323"/>
      <c r="AB257" s="323"/>
      <c r="AC257" s="323"/>
      <c r="AD257" s="323"/>
      <c r="AE257" s="323"/>
      <c r="AF257" s="323"/>
      <c r="AG257" s="323"/>
      <c r="AH257" s="323"/>
      <c r="AI257" s="323"/>
      <c r="AJ257" s="323"/>
      <c r="AK257" s="323"/>
      <c r="AL257" s="323"/>
      <c r="AM257" s="326">
        <f t="shared" si="18"/>
        <v>127</v>
      </c>
      <c r="AN257" s="327">
        <f t="shared" si="12"/>
        <v>1.438690671</v>
      </c>
      <c r="AO257" s="323"/>
      <c r="AP257" s="323">
        <v>675.72580000000005</v>
      </c>
      <c r="AQ257" s="328">
        <f>AN257*AP257*32.8864</f>
        <v>31970.855930298243</v>
      </c>
    </row>
    <row r="258" spans="1:43">
      <c r="A258" s="341" t="s">
        <v>184</v>
      </c>
      <c r="B258" s="323">
        <v>15.9</v>
      </c>
      <c r="C258" s="323">
        <v>1100</v>
      </c>
      <c r="D258" s="323">
        <v>647.70000000000005</v>
      </c>
      <c r="E258" s="323">
        <v>63</v>
      </c>
      <c r="F258" s="323" t="s">
        <v>189</v>
      </c>
      <c r="G258" s="335">
        <v>45864</v>
      </c>
      <c r="H258" s="323"/>
      <c r="I258" s="323"/>
      <c r="J258" s="323"/>
      <c r="K258" s="323"/>
      <c r="L258" s="323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  <c r="AA258" s="323"/>
      <c r="AB258" s="323"/>
      <c r="AC258" s="323"/>
      <c r="AD258" s="323"/>
      <c r="AE258" s="323"/>
      <c r="AF258" s="323"/>
      <c r="AG258" s="323"/>
      <c r="AH258" s="323"/>
      <c r="AI258" s="323"/>
      <c r="AJ258" s="323"/>
      <c r="AK258" s="323"/>
      <c r="AL258" s="323"/>
      <c r="AM258" s="326">
        <f t="shared" si="18"/>
        <v>63</v>
      </c>
      <c r="AN258" s="327">
        <f t="shared" si="12"/>
        <v>0.71368119900000004</v>
      </c>
      <c r="AO258" s="323"/>
      <c r="AP258" s="323">
        <v>675.72580000000005</v>
      </c>
      <c r="AQ258" s="328">
        <f>AN258*AP258*32.8864</f>
        <v>15859.558453612513</v>
      </c>
    </row>
    <row r="259" spans="1:43">
      <c r="A259" s="341" t="s">
        <v>184</v>
      </c>
      <c r="B259" s="323">
        <v>15.9</v>
      </c>
      <c r="C259" s="323">
        <v>1100</v>
      </c>
      <c r="D259" s="323">
        <v>647.70000000000005</v>
      </c>
      <c r="E259" s="323">
        <v>72</v>
      </c>
      <c r="F259" s="333" t="s">
        <v>191</v>
      </c>
      <c r="G259" s="335">
        <v>46163</v>
      </c>
      <c r="H259" s="323"/>
      <c r="I259" s="323"/>
      <c r="J259" s="323"/>
      <c r="K259" s="323"/>
      <c r="L259" s="323"/>
      <c r="M259" s="323"/>
      <c r="N259" s="323"/>
      <c r="O259" s="323"/>
      <c r="P259" s="323"/>
      <c r="Q259" s="323"/>
      <c r="R259" s="323">
        <v>64</v>
      </c>
      <c r="S259" s="323"/>
      <c r="T259" s="323"/>
      <c r="U259" s="323"/>
      <c r="V259" s="323"/>
      <c r="W259" s="323"/>
      <c r="X259" s="323"/>
      <c r="Y259" s="323"/>
      <c r="Z259" s="323"/>
      <c r="AA259" s="323"/>
      <c r="AB259" s="323"/>
      <c r="AC259" s="323"/>
      <c r="AD259" s="323"/>
      <c r="AE259" s="323"/>
      <c r="AF259" s="323"/>
      <c r="AG259" s="323"/>
      <c r="AH259" s="323"/>
      <c r="AI259" s="323"/>
      <c r="AJ259" s="323"/>
      <c r="AK259" s="323"/>
      <c r="AL259" s="323"/>
      <c r="AM259" s="326">
        <f t="shared" si="18"/>
        <v>8</v>
      </c>
      <c r="AN259" s="327">
        <f t="shared" ref="AN259:AN322" si="20">B259*C259*D259*AM259/1000000000</f>
        <v>9.0626183999999999E-2</v>
      </c>
      <c r="AO259" s="323"/>
      <c r="AP259" s="323">
        <v>680</v>
      </c>
      <c r="AQ259" s="328">
        <f>AN259*AP259*32.763</f>
        <v>2019.0462531465598</v>
      </c>
    </row>
    <row r="260" spans="1:43">
      <c r="A260" s="341" t="s">
        <v>184</v>
      </c>
      <c r="B260" s="323">
        <v>15.9</v>
      </c>
      <c r="C260" s="323">
        <v>1100</v>
      </c>
      <c r="D260" s="323">
        <v>647.70000000000005</v>
      </c>
      <c r="E260" s="323">
        <v>72</v>
      </c>
      <c r="F260" s="333" t="s">
        <v>191</v>
      </c>
      <c r="G260" s="335">
        <v>46163</v>
      </c>
      <c r="H260" s="323"/>
      <c r="I260" s="323"/>
      <c r="J260" s="323"/>
      <c r="K260" s="323"/>
      <c r="L260" s="323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  <c r="AA260" s="323"/>
      <c r="AB260" s="323"/>
      <c r="AC260" s="323"/>
      <c r="AD260" s="323"/>
      <c r="AE260" s="323"/>
      <c r="AF260" s="323"/>
      <c r="AG260" s="323"/>
      <c r="AH260" s="323"/>
      <c r="AI260" s="323"/>
      <c r="AJ260" s="323"/>
      <c r="AK260" s="323"/>
      <c r="AL260" s="323"/>
      <c r="AM260" s="326">
        <f t="shared" si="18"/>
        <v>72</v>
      </c>
      <c r="AN260" s="327">
        <f t="shared" si="20"/>
        <v>0.81563565599999999</v>
      </c>
      <c r="AO260" s="323"/>
      <c r="AP260" s="323">
        <v>680</v>
      </c>
      <c r="AQ260" s="328">
        <f>AN260*AP260*32.763</f>
        <v>18171.416278319037</v>
      </c>
    </row>
    <row r="261" spans="1:43">
      <c r="A261" s="341" t="s">
        <v>184</v>
      </c>
      <c r="B261" s="323">
        <v>15.9</v>
      </c>
      <c r="C261" s="323">
        <v>1100</v>
      </c>
      <c r="D261" s="323">
        <v>647.70000000000005</v>
      </c>
      <c r="E261" s="323">
        <v>72</v>
      </c>
      <c r="F261" s="333" t="s">
        <v>191</v>
      </c>
      <c r="G261" s="335">
        <v>46163</v>
      </c>
      <c r="H261" s="323"/>
      <c r="I261" s="323"/>
      <c r="J261" s="323"/>
      <c r="K261" s="323"/>
      <c r="L261" s="323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  <c r="AA261" s="323"/>
      <c r="AB261" s="323"/>
      <c r="AC261" s="323"/>
      <c r="AD261" s="323"/>
      <c r="AE261" s="323"/>
      <c r="AF261" s="323"/>
      <c r="AG261" s="323"/>
      <c r="AH261" s="323"/>
      <c r="AI261" s="323"/>
      <c r="AJ261" s="323"/>
      <c r="AK261" s="323"/>
      <c r="AL261" s="323"/>
      <c r="AM261" s="326">
        <f t="shared" si="18"/>
        <v>72</v>
      </c>
      <c r="AN261" s="327">
        <f t="shared" si="20"/>
        <v>0.81563565599999999</v>
      </c>
      <c r="AO261" s="323"/>
      <c r="AP261" s="323">
        <v>680</v>
      </c>
      <c r="AQ261" s="328">
        <f>AN261*AP261*32.763</f>
        <v>18171.416278319037</v>
      </c>
    </row>
    <row r="262" spans="1:43">
      <c r="A262" s="341" t="s">
        <v>184</v>
      </c>
      <c r="B262" s="323">
        <v>15.9</v>
      </c>
      <c r="C262" s="323">
        <v>1100</v>
      </c>
      <c r="D262" s="323">
        <v>647.70000000000005</v>
      </c>
      <c r="E262" s="323">
        <v>72</v>
      </c>
      <c r="F262" s="333" t="s">
        <v>191</v>
      </c>
      <c r="G262" s="335">
        <v>46163</v>
      </c>
      <c r="H262" s="323"/>
      <c r="I262" s="323"/>
      <c r="J262" s="323"/>
      <c r="K262" s="323"/>
      <c r="L262" s="323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  <c r="AA262" s="323"/>
      <c r="AB262" s="323"/>
      <c r="AC262" s="323"/>
      <c r="AD262" s="323"/>
      <c r="AE262" s="323"/>
      <c r="AF262" s="323"/>
      <c r="AG262" s="323"/>
      <c r="AH262" s="323"/>
      <c r="AI262" s="323"/>
      <c r="AJ262" s="323"/>
      <c r="AK262" s="323"/>
      <c r="AL262" s="323"/>
      <c r="AM262" s="326">
        <f t="shared" si="18"/>
        <v>72</v>
      </c>
      <c r="AN262" s="327">
        <f t="shared" si="20"/>
        <v>0.81563565599999999</v>
      </c>
      <c r="AO262" s="323"/>
      <c r="AP262" s="323">
        <v>680</v>
      </c>
      <c r="AQ262" s="328">
        <f>AN262*AP262*32.763</f>
        <v>18171.416278319037</v>
      </c>
    </row>
    <row r="263" spans="1:43">
      <c r="A263" s="341" t="s">
        <v>184</v>
      </c>
      <c r="B263" s="323">
        <v>15.9</v>
      </c>
      <c r="C263" s="323">
        <v>1100</v>
      </c>
      <c r="D263" s="323">
        <v>647.70000000000005</v>
      </c>
      <c r="E263" s="323">
        <v>54</v>
      </c>
      <c r="F263" s="333" t="s">
        <v>191</v>
      </c>
      <c r="G263" s="335">
        <v>46163</v>
      </c>
      <c r="H263" s="323"/>
      <c r="I263" s="323"/>
      <c r="J263" s="323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  <c r="AA263" s="323"/>
      <c r="AB263" s="323"/>
      <c r="AC263" s="323"/>
      <c r="AD263" s="323"/>
      <c r="AE263" s="323"/>
      <c r="AF263" s="323"/>
      <c r="AG263" s="323"/>
      <c r="AH263" s="323"/>
      <c r="AI263" s="323"/>
      <c r="AJ263" s="323"/>
      <c r="AK263" s="323"/>
      <c r="AL263" s="323"/>
      <c r="AM263" s="326">
        <f t="shared" si="18"/>
        <v>54</v>
      </c>
      <c r="AN263" s="327">
        <f t="shared" si="20"/>
        <v>0.61172674199999999</v>
      </c>
      <c r="AO263" s="323"/>
      <c r="AP263" s="323">
        <v>680</v>
      </c>
      <c r="AQ263" s="328">
        <f>AN263*AP263*32.763</f>
        <v>13628.562208739279</v>
      </c>
    </row>
    <row r="264" spans="1:43">
      <c r="A264" s="341" t="s">
        <v>184</v>
      </c>
      <c r="B264" s="323">
        <v>15.9</v>
      </c>
      <c r="C264" s="323">
        <v>1100</v>
      </c>
      <c r="D264" s="323">
        <v>675</v>
      </c>
      <c r="E264" s="323">
        <v>68</v>
      </c>
      <c r="F264" s="323" t="s">
        <v>186</v>
      </c>
      <c r="G264" s="335">
        <v>45890</v>
      </c>
      <c r="H264" s="323"/>
      <c r="I264" s="323"/>
      <c r="J264" s="323"/>
      <c r="K264" s="323"/>
      <c r="L264" s="323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  <c r="AA264" s="323"/>
      <c r="AB264" s="323"/>
      <c r="AC264" s="323"/>
      <c r="AD264" s="323"/>
      <c r="AE264" s="323"/>
      <c r="AF264" s="323"/>
      <c r="AG264" s="323"/>
      <c r="AH264" s="323"/>
      <c r="AI264" s="323"/>
      <c r="AJ264" s="323"/>
      <c r="AK264" s="323"/>
      <c r="AL264" s="323"/>
      <c r="AM264" s="326">
        <f t="shared" si="18"/>
        <v>68</v>
      </c>
      <c r="AN264" s="327">
        <f t="shared" si="20"/>
        <v>0.80279100000000003</v>
      </c>
      <c r="AO264" s="323"/>
      <c r="AP264" s="323">
        <v>693.375</v>
      </c>
      <c r="AQ264" s="328">
        <f>AN264*AP264*32.4608</f>
        <v>18068.824212595198</v>
      </c>
    </row>
    <row r="265" spans="1:43">
      <c r="A265" s="341" t="s">
        <v>184</v>
      </c>
      <c r="B265" s="323">
        <v>15.9</v>
      </c>
      <c r="C265" s="323">
        <v>1100</v>
      </c>
      <c r="D265" s="323">
        <v>675</v>
      </c>
      <c r="E265" s="323">
        <v>68</v>
      </c>
      <c r="F265" s="333" t="s">
        <v>182</v>
      </c>
      <c r="G265" s="335">
        <v>46129</v>
      </c>
      <c r="H265" s="323"/>
      <c r="I265" s="323"/>
      <c r="J265" s="323"/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  <c r="AA265" s="323"/>
      <c r="AB265" s="323"/>
      <c r="AC265" s="323"/>
      <c r="AD265" s="323"/>
      <c r="AE265" s="323"/>
      <c r="AF265" s="323"/>
      <c r="AG265" s="323"/>
      <c r="AH265" s="323"/>
      <c r="AI265" s="323"/>
      <c r="AJ265" s="323"/>
      <c r="AK265" s="323"/>
      <c r="AL265" s="323"/>
      <c r="AM265" s="326">
        <f t="shared" si="18"/>
        <v>68</v>
      </c>
      <c r="AN265" s="327">
        <f t="shared" si="20"/>
        <v>0.80279100000000003</v>
      </c>
      <c r="AO265" s="323"/>
      <c r="AP265" s="323">
        <v>715.98590000000002</v>
      </c>
      <c r="AQ265" s="328">
        <f>AN265*AP265*32.763</f>
        <v>18831.747681662382</v>
      </c>
    </row>
    <row r="266" spans="1:43">
      <c r="A266" s="341" t="s">
        <v>184</v>
      </c>
      <c r="B266" s="323">
        <v>15.9</v>
      </c>
      <c r="C266" s="323">
        <v>1100</v>
      </c>
      <c r="D266" s="323">
        <v>675</v>
      </c>
      <c r="E266" s="323">
        <v>10</v>
      </c>
      <c r="F266" s="333" t="s">
        <v>190</v>
      </c>
      <c r="G266" s="335">
        <v>46154</v>
      </c>
      <c r="H266" s="323"/>
      <c r="I266" s="323"/>
      <c r="J266" s="323"/>
      <c r="K266" s="323"/>
      <c r="L266" s="323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  <c r="AA266" s="323"/>
      <c r="AB266" s="323"/>
      <c r="AC266" s="323"/>
      <c r="AD266" s="323"/>
      <c r="AE266" s="323"/>
      <c r="AF266" s="323"/>
      <c r="AG266" s="323"/>
      <c r="AH266" s="323"/>
      <c r="AI266" s="323"/>
      <c r="AJ266" s="323"/>
      <c r="AK266" s="323"/>
      <c r="AL266" s="323"/>
      <c r="AM266" s="326">
        <f t="shared" si="18"/>
        <v>10</v>
      </c>
      <c r="AN266" s="327">
        <f t="shared" si="20"/>
        <v>0.1180575</v>
      </c>
      <c r="AO266" s="323"/>
      <c r="AP266" s="323">
        <v>680</v>
      </c>
      <c r="AQ266" s="328">
        <f>AN266*AP266*32.2938</f>
        <v>2592.5171995799997</v>
      </c>
    </row>
    <row r="267" spans="1:43">
      <c r="A267" s="341" t="s">
        <v>184</v>
      </c>
      <c r="B267" s="323">
        <v>15.9</v>
      </c>
      <c r="C267" s="323">
        <v>1100</v>
      </c>
      <c r="D267" s="323">
        <v>675</v>
      </c>
      <c r="E267" s="323">
        <v>40</v>
      </c>
      <c r="F267" s="333" t="s">
        <v>190</v>
      </c>
      <c r="G267" s="335">
        <v>46154</v>
      </c>
      <c r="H267" s="323"/>
      <c r="I267" s="323"/>
      <c r="J267" s="323"/>
      <c r="K267" s="323"/>
      <c r="L267" s="323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  <c r="AA267" s="323"/>
      <c r="AB267" s="323"/>
      <c r="AC267" s="323"/>
      <c r="AD267" s="323"/>
      <c r="AE267" s="323"/>
      <c r="AF267" s="323"/>
      <c r="AG267" s="323"/>
      <c r="AH267" s="323"/>
      <c r="AI267" s="323"/>
      <c r="AJ267" s="323"/>
      <c r="AK267" s="323"/>
      <c r="AL267" s="323"/>
      <c r="AM267" s="326">
        <f t="shared" si="18"/>
        <v>40</v>
      </c>
      <c r="AN267" s="327">
        <f t="shared" si="20"/>
        <v>0.47222999999999998</v>
      </c>
      <c r="AO267" s="323"/>
      <c r="AP267" s="323">
        <v>680</v>
      </c>
      <c r="AQ267" s="328">
        <f>AN267*AP267*32.2938</f>
        <v>10370.068798319999</v>
      </c>
    </row>
    <row r="268" spans="1:43">
      <c r="A268" s="341" t="s">
        <v>184</v>
      </c>
      <c r="B268" s="323">
        <v>15.9</v>
      </c>
      <c r="C268" s="323">
        <v>1100</v>
      </c>
      <c r="D268" s="323">
        <v>675</v>
      </c>
      <c r="E268" s="323">
        <v>67</v>
      </c>
      <c r="F268" s="333" t="s">
        <v>187</v>
      </c>
      <c r="G268" s="335">
        <v>46169</v>
      </c>
      <c r="H268" s="323"/>
      <c r="I268" s="323"/>
      <c r="J268" s="323"/>
      <c r="K268" s="323"/>
      <c r="L268" s="323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  <c r="AA268" s="323"/>
      <c r="AB268" s="323"/>
      <c r="AC268" s="323"/>
      <c r="AD268" s="323"/>
      <c r="AE268" s="323"/>
      <c r="AF268" s="323"/>
      <c r="AG268" s="323"/>
      <c r="AH268" s="323"/>
      <c r="AI268" s="323"/>
      <c r="AJ268" s="323"/>
      <c r="AK268" s="323"/>
      <c r="AL268" s="323"/>
      <c r="AM268" s="326">
        <f t="shared" si="18"/>
        <v>67</v>
      </c>
      <c r="AN268" s="327">
        <f t="shared" si="20"/>
        <v>0.79098524999999997</v>
      </c>
      <c r="AO268" s="323"/>
      <c r="AP268" s="323">
        <v>709.85550000000001</v>
      </c>
      <c r="AQ268" s="328">
        <f>AN268*AP268*32.2938</f>
        <v>18132.491724816598</v>
      </c>
    </row>
    <row r="269" spans="1:43">
      <c r="A269" s="341" t="s">
        <v>184</v>
      </c>
      <c r="B269" s="323">
        <v>15.9</v>
      </c>
      <c r="C269" s="323">
        <v>1100</v>
      </c>
      <c r="D269" s="323">
        <v>675</v>
      </c>
      <c r="E269" s="323">
        <v>33</v>
      </c>
      <c r="F269" s="333" t="s">
        <v>187</v>
      </c>
      <c r="G269" s="335">
        <v>46169</v>
      </c>
      <c r="H269" s="323"/>
      <c r="I269" s="323"/>
      <c r="J269" s="323"/>
      <c r="K269" s="323"/>
      <c r="L269" s="323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  <c r="AA269" s="323"/>
      <c r="AB269" s="323"/>
      <c r="AC269" s="323"/>
      <c r="AD269" s="323"/>
      <c r="AE269" s="323"/>
      <c r="AF269" s="323"/>
      <c r="AG269" s="323"/>
      <c r="AH269" s="323"/>
      <c r="AI269" s="323"/>
      <c r="AJ269" s="323"/>
      <c r="AK269" s="323"/>
      <c r="AL269" s="323"/>
      <c r="AM269" s="326">
        <f t="shared" si="18"/>
        <v>33</v>
      </c>
      <c r="AN269" s="327">
        <f t="shared" si="20"/>
        <v>0.38958975000000001</v>
      </c>
      <c r="AO269" s="323"/>
      <c r="AP269" s="323">
        <v>709.85550000000001</v>
      </c>
      <c r="AQ269" s="328">
        <f>AN269*AP269*32.2938</f>
        <v>8930.9287599842937</v>
      </c>
    </row>
    <row r="270" spans="1:43">
      <c r="A270" s="341" t="s">
        <v>184</v>
      </c>
      <c r="B270" s="323">
        <v>15.9</v>
      </c>
      <c r="C270" s="323">
        <v>1100</v>
      </c>
      <c r="D270" s="323">
        <v>676</v>
      </c>
      <c r="E270" s="323">
        <v>72</v>
      </c>
      <c r="F270" s="333" t="s">
        <v>191</v>
      </c>
      <c r="G270" s="335">
        <v>46163</v>
      </c>
      <c r="H270" s="323"/>
      <c r="I270" s="323"/>
      <c r="J270" s="323"/>
      <c r="K270" s="323"/>
      <c r="L270" s="323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  <c r="AA270" s="323"/>
      <c r="AB270" s="323"/>
      <c r="AC270" s="323"/>
      <c r="AD270" s="323"/>
      <c r="AE270" s="323"/>
      <c r="AF270" s="323"/>
      <c r="AG270" s="323"/>
      <c r="AH270" s="323"/>
      <c r="AI270" s="323"/>
      <c r="AJ270" s="323"/>
      <c r="AK270" s="323"/>
      <c r="AL270" s="323"/>
      <c r="AM270" s="326">
        <f t="shared" si="18"/>
        <v>72</v>
      </c>
      <c r="AN270" s="327">
        <f t="shared" si="20"/>
        <v>0.85127328000000002</v>
      </c>
      <c r="AO270" s="323"/>
      <c r="AP270" s="323">
        <v>680</v>
      </c>
      <c r="AQ270" s="328">
        <f t="shared" ref="AQ270:AQ274" si="21">AN270*AP270*32.763</f>
        <v>18965.381201395201</v>
      </c>
    </row>
    <row r="271" spans="1:43">
      <c r="A271" s="341" t="s">
        <v>184</v>
      </c>
      <c r="B271" s="323">
        <v>15.9</v>
      </c>
      <c r="C271" s="323">
        <v>1100</v>
      </c>
      <c r="D271" s="323">
        <v>676</v>
      </c>
      <c r="E271" s="323">
        <v>16</v>
      </c>
      <c r="F271" s="333" t="s">
        <v>191</v>
      </c>
      <c r="G271" s="335">
        <v>46163</v>
      </c>
      <c r="H271" s="323"/>
      <c r="I271" s="323"/>
      <c r="J271" s="323"/>
      <c r="K271" s="323"/>
      <c r="L271" s="323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  <c r="AA271" s="323"/>
      <c r="AB271" s="323"/>
      <c r="AC271" s="323"/>
      <c r="AD271" s="323"/>
      <c r="AE271" s="323"/>
      <c r="AF271" s="323"/>
      <c r="AG271" s="323"/>
      <c r="AH271" s="323"/>
      <c r="AI271" s="323"/>
      <c r="AJ271" s="323"/>
      <c r="AK271" s="323"/>
      <c r="AL271" s="323"/>
      <c r="AM271" s="326">
        <f t="shared" si="18"/>
        <v>16</v>
      </c>
      <c r="AN271" s="327">
        <f t="shared" si="20"/>
        <v>0.18917184000000001</v>
      </c>
      <c r="AO271" s="323"/>
      <c r="AP271" s="323">
        <v>680</v>
      </c>
      <c r="AQ271" s="328">
        <f t="shared" si="21"/>
        <v>4214.5291558655999</v>
      </c>
    </row>
    <row r="272" spans="1:43">
      <c r="A272" s="341" t="s">
        <v>184</v>
      </c>
      <c r="B272" s="323">
        <v>15.9</v>
      </c>
      <c r="C272" s="323">
        <v>1100</v>
      </c>
      <c r="D272" s="323">
        <v>676</v>
      </c>
      <c r="E272" s="323">
        <v>11</v>
      </c>
      <c r="F272" s="333" t="s">
        <v>191</v>
      </c>
      <c r="G272" s="335">
        <v>46163</v>
      </c>
      <c r="H272" s="323"/>
      <c r="I272" s="323"/>
      <c r="J272" s="323"/>
      <c r="K272" s="323"/>
      <c r="L272" s="323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  <c r="AA272" s="323"/>
      <c r="AB272" s="323"/>
      <c r="AC272" s="323"/>
      <c r="AD272" s="323"/>
      <c r="AE272" s="323"/>
      <c r="AF272" s="323"/>
      <c r="AG272" s="323"/>
      <c r="AH272" s="323"/>
      <c r="AI272" s="323"/>
      <c r="AJ272" s="323"/>
      <c r="AK272" s="323"/>
      <c r="AL272" s="323"/>
      <c r="AM272" s="326">
        <f t="shared" si="18"/>
        <v>11</v>
      </c>
      <c r="AN272" s="327">
        <f t="shared" si="20"/>
        <v>0.13005564</v>
      </c>
      <c r="AO272" s="323"/>
      <c r="AP272" s="323">
        <v>680</v>
      </c>
      <c r="AQ272" s="328">
        <f t="shared" si="21"/>
        <v>2897.4887946575996</v>
      </c>
    </row>
    <row r="273" spans="1:43">
      <c r="A273" s="341" t="s">
        <v>184</v>
      </c>
      <c r="B273" s="323">
        <v>15.9</v>
      </c>
      <c r="C273" s="323">
        <v>1100</v>
      </c>
      <c r="D273" s="323">
        <v>676</v>
      </c>
      <c r="E273" s="323">
        <v>11</v>
      </c>
      <c r="F273" s="333" t="s">
        <v>191</v>
      </c>
      <c r="G273" s="335">
        <v>46163</v>
      </c>
      <c r="H273" s="323"/>
      <c r="I273" s="323"/>
      <c r="J273" s="323"/>
      <c r="K273" s="323"/>
      <c r="L273" s="323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  <c r="AA273" s="323"/>
      <c r="AB273" s="323"/>
      <c r="AC273" s="323"/>
      <c r="AD273" s="323"/>
      <c r="AE273" s="323"/>
      <c r="AF273" s="323"/>
      <c r="AG273" s="323"/>
      <c r="AH273" s="323"/>
      <c r="AI273" s="323"/>
      <c r="AJ273" s="323"/>
      <c r="AK273" s="323"/>
      <c r="AL273" s="323"/>
      <c r="AM273" s="326">
        <f t="shared" si="18"/>
        <v>11</v>
      </c>
      <c r="AN273" s="327">
        <f t="shared" si="20"/>
        <v>0.13005564</v>
      </c>
      <c r="AO273" s="323"/>
      <c r="AP273" s="323">
        <v>680</v>
      </c>
      <c r="AQ273" s="328">
        <f t="shared" si="21"/>
        <v>2897.4887946575996</v>
      </c>
    </row>
    <row r="274" spans="1:43">
      <c r="A274" s="341" t="s">
        <v>184</v>
      </c>
      <c r="B274" s="323">
        <v>15.9</v>
      </c>
      <c r="C274" s="323">
        <v>1100</v>
      </c>
      <c r="D274" s="323">
        <v>676</v>
      </c>
      <c r="E274" s="323">
        <v>3</v>
      </c>
      <c r="F274" s="333" t="s">
        <v>191</v>
      </c>
      <c r="G274" s="335">
        <v>46163</v>
      </c>
      <c r="H274" s="323"/>
      <c r="I274" s="323"/>
      <c r="J274" s="323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  <c r="AA274" s="323"/>
      <c r="AB274" s="323"/>
      <c r="AC274" s="323"/>
      <c r="AD274" s="323"/>
      <c r="AE274" s="323"/>
      <c r="AF274" s="323"/>
      <c r="AG274" s="323"/>
      <c r="AH274" s="323"/>
      <c r="AI274" s="323"/>
      <c r="AJ274" s="323"/>
      <c r="AK274" s="323"/>
      <c r="AL274" s="323"/>
      <c r="AM274" s="326">
        <f t="shared" si="18"/>
        <v>3</v>
      </c>
      <c r="AN274" s="327">
        <f t="shared" si="20"/>
        <v>3.5469720000000003E-2</v>
      </c>
      <c r="AO274" s="323"/>
      <c r="AP274" s="323">
        <v>680</v>
      </c>
      <c r="AQ274" s="328">
        <f t="shared" si="21"/>
        <v>790.22421672479993</v>
      </c>
    </row>
    <row r="275" spans="1:43">
      <c r="A275" s="341" t="s">
        <v>184</v>
      </c>
      <c r="B275" s="323">
        <v>15.9</v>
      </c>
      <c r="C275" s="323">
        <v>1100</v>
      </c>
      <c r="D275" s="323">
        <v>750</v>
      </c>
      <c r="E275" s="323">
        <v>72</v>
      </c>
      <c r="F275" s="333" t="s">
        <v>190</v>
      </c>
      <c r="G275" s="335">
        <v>46154</v>
      </c>
      <c r="H275" s="323"/>
      <c r="I275" s="323"/>
      <c r="J275" s="323"/>
      <c r="K275" s="323"/>
      <c r="L275" s="323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  <c r="AA275" s="323"/>
      <c r="AB275" s="323"/>
      <c r="AC275" s="323"/>
      <c r="AD275" s="323"/>
      <c r="AE275" s="323"/>
      <c r="AF275" s="323"/>
      <c r="AG275" s="323"/>
      <c r="AH275" s="323"/>
      <c r="AI275" s="323"/>
      <c r="AJ275" s="323"/>
      <c r="AK275" s="323"/>
      <c r="AL275" s="323"/>
      <c r="AM275" s="326">
        <f t="shared" si="18"/>
        <v>72</v>
      </c>
      <c r="AN275" s="327">
        <f t="shared" si="20"/>
        <v>0.94445999999999997</v>
      </c>
      <c r="AO275" s="323"/>
      <c r="AP275" s="323">
        <v>680</v>
      </c>
      <c r="AQ275" s="328">
        <f>AN275*AP275*32.2938</f>
        <v>20740.137596639997</v>
      </c>
    </row>
    <row r="276" spans="1:43">
      <c r="A276" s="341" t="s">
        <v>184</v>
      </c>
      <c r="B276" s="323">
        <v>15.9</v>
      </c>
      <c r="C276" s="323">
        <v>1100</v>
      </c>
      <c r="D276" s="323">
        <v>752</v>
      </c>
      <c r="E276" s="323">
        <v>72</v>
      </c>
      <c r="F276" s="333" t="s">
        <v>191</v>
      </c>
      <c r="G276" s="335">
        <v>46163</v>
      </c>
      <c r="H276" s="323"/>
      <c r="I276" s="323"/>
      <c r="J276" s="323"/>
      <c r="K276" s="323"/>
      <c r="L276" s="323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  <c r="AA276" s="323"/>
      <c r="AB276" s="323"/>
      <c r="AC276" s="323"/>
      <c r="AD276" s="323"/>
      <c r="AE276" s="323"/>
      <c r="AF276" s="323"/>
      <c r="AG276" s="323"/>
      <c r="AH276" s="323"/>
      <c r="AI276" s="323"/>
      <c r="AJ276" s="323"/>
      <c r="AK276" s="323"/>
      <c r="AL276" s="323"/>
      <c r="AM276" s="326">
        <f t="shared" si="18"/>
        <v>72</v>
      </c>
      <c r="AN276" s="327">
        <f t="shared" si="20"/>
        <v>0.94697856000000002</v>
      </c>
      <c r="AO276" s="323"/>
      <c r="AP276" s="323">
        <v>680</v>
      </c>
      <c r="AQ276" s="328">
        <f>AN276*AP276*32.763</f>
        <v>21097.583821670396</v>
      </c>
    </row>
    <row r="277" spans="1:43">
      <c r="A277" s="341" t="s">
        <v>184</v>
      </c>
      <c r="B277" s="323">
        <v>15.9</v>
      </c>
      <c r="C277" s="323">
        <v>1100</v>
      </c>
      <c r="D277" s="323">
        <v>752</v>
      </c>
      <c r="E277" s="323">
        <v>72</v>
      </c>
      <c r="F277" s="333" t="s">
        <v>191</v>
      </c>
      <c r="G277" s="335">
        <v>46163</v>
      </c>
      <c r="H277" s="323"/>
      <c r="I277" s="323"/>
      <c r="J277" s="323"/>
      <c r="K277" s="323"/>
      <c r="L277" s="323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  <c r="AA277" s="323"/>
      <c r="AB277" s="323"/>
      <c r="AC277" s="323"/>
      <c r="AD277" s="323"/>
      <c r="AE277" s="323"/>
      <c r="AF277" s="323"/>
      <c r="AG277" s="323"/>
      <c r="AH277" s="323"/>
      <c r="AI277" s="323"/>
      <c r="AJ277" s="323"/>
      <c r="AK277" s="323"/>
      <c r="AL277" s="323"/>
      <c r="AM277" s="326">
        <f t="shared" si="18"/>
        <v>72</v>
      </c>
      <c r="AN277" s="327">
        <f t="shared" si="20"/>
        <v>0.94697856000000002</v>
      </c>
      <c r="AO277" s="323"/>
      <c r="AP277" s="323">
        <v>680</v>
      </c>
      <c r="AQ277" s="328">
        <f>AN277*AP277*32.763</f>
        <v>21097.583821670396</v>
      </c>
    </row>
    <row r="278" spans="1:43">
      <c r="A278" s="341" t="s">
        <v>184</v>
      </c>
      <c r="B278" s="323">
        <v>15.9</v>
      </c>
      <c r="C278" s="323">
        <v>1100</v>
      </c>
      <c r="D278" s="323">
        <v>752</v>
      </c>
      <c r="E278" s="323">
        <v>56</v>
      </c>
      <c r="F278" s="333" t="s">
        <v>191</v>
      </c>
      <c r="G278" s="335">
        <v>46163</v>
      </c>
      <c r="H278" s="323"/>
      <c r="I278" s="323"/>
      <c r="J278" s="323"/>
      <c r="K278" s="323"/>
      <c r="L278" s="323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  <c r="AA278" s="323"/>
      <c r="AB278" s="323"/>
      <c r="AC278" s="323"/>
      <c r="AD278" s="323"/>
      <c r="AE278" s="323"/>
      <c r="AF278" s="323"/>
      <c r="AG278" s="323"/>
      <c r="AH278" s="323"/>
      <c r="AI278" s="323"/>
      <c r="AJ278" s="323"/>
      <c r="AK278" s="323"/>
      <c r="AL278" s="323"/>
      <c r="AM278" s="326">
        <f t="shared" si="18"/>
        <v>56</v>
      </c>
      <c r="AN278" s="327">
        <f t="shared" si="20"/>
        <v>0.73653888000000001</v>
      </c>
      <c r="AO278" s="323"/>
      <c r="AP278" s="323">
        <v>680</v>
      </c>
      <c r="AQ278" s="328">
        <f>AN278*AP278*32.763</f>
        <v>16409.231861299198</v>
      </c>
    </row>
    <row r="279" spans="1:43">
      <c r="A279" s="341" t="s">
        <v>184</v>
      </c>
      <c r="B279" s="323">
        <v>15.9</v>
      </c>
      <c r="C279" s="323">
        <v>76.2</v>
      </c>
      <c r="D279" s="323">
        <v>762</v>
      </c>
      <c r="E279" s="323">
        <v>304</v>
      </c>
      <c r="F279" s="323" t="s">
        <v>189</v>
      </c>
      <c r="G279" s="335">
        <v>45864</v>
      </c>
      <c r="H279" s="323"/>
      <c r="I279" s="323"/>
      <c r="J279" s="323"/>
      <c r="K279" s="323"/>
      <c r="L279" s="323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  <c r="AA279" s="323"/>
      <c r="AB279" s="323"/>
      <c r="AC279" s="323"/>
      <c r="AD279" s="323"/>
      <c r="AE279" s="323"/>
      <c r="AF279" s="323"/>
      <c r="AG279" s="323"/>
      <c r="AH279" s="323"/>
      <c r="AI279" s="323"/>
      <c r="AJ279" s="323"/>
      <c r="AK279" s="323"/>
      <c r="AL279" s="323"/>
      <c r="AM279" s="326">
        <f t="shared" si="18"/>
        <v>304</v>
      </c>
      <c r="AN279" s="327">
        <f t="shared" si="20"/>
        <v>0.28066008384000002</v>
      </c>
      <c r="AO279" s="323"/>
      <c r="AP279" s="323">
        <v>675.72580000000005</v>
      </c>
      <c r="AQ279" s="328">
        <f t="shared" ref="AQ279:AQ284" si="22">AN279*AP279*32.8864</f>
        <v>6236.8814135683415</v>
      </c>
    </row>
    <row r="280" spans="1:43">
      <c r="A280" s="341" t="s">
        <v>184</v>
      </c>
      <c r="B280" s="323">
        <v>15.9</v>
      </c>
      <c r="C280" s="323">
        <v>76.2</v>
      </c>
      <c r="D280" s="323">
        <v>762</v>
      </c>
      <c r="E280" s="323">
        <v>256</v>
      </c>
      <c r="F280" s="323" t="s">
        <v>189</v>
      </c>
      <c r="G280" s="335">
        <v>45864</v>
      </c>
      <c r="H280" s="323"/>
      <c r="I280" s="323"/>
      <c r="J280" s="323"/>
      <c r="K280" s="323"/>
      <c r="L280" s="323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  <c r="AA280" s="323"/>
      <c r="AB280" s="323"/>
      <c r="AC280" s="323"/>
      <c r="AD280" s="323"/>
      <c r="AE280" s="323"/>
      <c r="AF280" s="323"/>
      <c r="AG280" s="323"/>
      <c r="AH280" s="323"/>
      <c r="AI280" s="323"/>
      <c r="AJ280" s="323"/>
      <c r="AK280" s="323"/>
      <c r="AL280" s="323"/>
      <c r="AM280" s="326">
        <f t="shared" si="18"/>
        <v>256</v>
      </c>
      <c r="AN280" s="327">
        <f t="shared" si="20"/>
        <v>0.23634533376000003</v>
      </c>
      <c r="AO280" s="323"/>
      <c r="AP280" s="323">
        <v>675.72580000000005</v>
      </c>
      <c r="AQ280" s="328">
        <f t="shared" si="22"/>
        <v>5252.1106640575517</v>
      </c>
    </row>
    <row r="281" spans="1:43">
      <c r="A281" s="341" t="s">
        <v>184</v>
      </c>
      <c r="B281" s="323">
        <v>15.9</v>
      </c>
      <c r="C281" s="323">
        <v>228.6</v>
      </c>
      <c r="D281" s="323">
        <v>762</v>
      </c>
      <c r="E281" s="323">
        <v>75</v>
      </c>
      <c r="F281" s="323" t="s">
        <v>189</v>
      </c>
      <c r="G281" s="335">
        <v>45864</v>
      </c>
      <c r="H281" s="323"/>
      <c r="I281" s="323"/>
      <c r="J281" s="323"/>
      <c r="K281" s="323"/>
      <c r="L281" s="323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  <c r="AA281" s="323"/>
      <c r="AB281" s="323"/>
      <c r="AC281" s="323"/>
      <c r="AD281" s="323"/>
      <c r="AE281" s="323"/>
      <c r="AF281" s="323"/>
      <c r="AG281" s="323"/>
      <c r="AH281" s="323"/>
      <c r="AI281" s="323"/>
      <c r="AJ281" s="323"/>
      <c r="AK281" s="323"/>
      <c r="AL281" s="323"/>
      <c r="AM281" s="326">
        <f t="shared" si="18"/>
        <v>75</v>
      </c>
      <c r="AN281" s="327">
        <f t="shared" si="20"/>
        <v>0.20772539100000001</v>
      </c>
      <c r="AO281" s="323"/>
      <c r="AP281" s="323">
        <v>675.72580000000005</v>
      </c>
      <c r="AQ281" s="328">
        <f t="shared" si="22"/>
        <v>4616.1128883318315</v>
      </c>
    </row>
    <row r="282" spans="1:43">
      <c r="A282" s="341" t="s">
        <v>184</v>
      </c>
      <c r="B282" s="323">
        <v>15.9</v>
      </c>
      <c r="C282" s="323">
        <v>254</v>
      </c>
      <c r="D282" s="323">
        <v>762</v>
      </c>
      <c r="E282" s="323">
        <v>205</v>
      </c>
      <c r="F282" s="323" t="s">
        <v>189</v>
      </c>
      <c r="G282" s="335">
        <v>45864</v>
      </c>
      <c r="H282" s="323"/>
      <c r="I282" s="323"/>
      <c r="J282" s="323"/>
      <c r="K282" s="323"/>
      <c r="L282" s="323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  <c r="AA282" s="323"/>
      <c r="AB282" s="323"/>
      <c r="AC282" s="323"/>
      <c r="AD282" s="323"/>
      <c r="AE282" s="323"/>
      <c r="AF282" s="323"/>
      <c r="AG282" s="323"/>
      <c r="AH282" s="323"/>
      <c r="AI282" s="323"/>
      <c r="AJ282" s="323"/>
      <c r="AK282" s="323"/>
      <c r="AL282" s="323"/>
      <c r="AM282" s="326">
        <f t="shared" si="18"/>
        <v>205</v>
      </c>
      <c r="AN282" s="327">
        <f t="shared" si="20"/>
        <v>0.63086970600000003</v>
      </c>
      <c r="AO282" s="323"/>
      <c r="AP282" s="323">
        <v>675.72580000000005</v>
      </c>
      <c r="AQ282" s="328">
        <f t="shared" si="22"/>
        <v>14019.305809007787</v>
      </c>
    </row>
    <row r="283" spans="1:43">
      <c r="A283" s="341" t="s">
        <v>184</v>
      </c>
      <c r="B283" s="323">
        <v>15.9</v>
      </c>
      <c r="C283" s="323">
        <v>254</v>
      </c>
      <c r="D283" s="323">
        <v>762</v>
      </c>
      <c r="E283" s="323">
        <v>80</v>
      </c>
      <c r="F283" s="323" t="s">
        <v>189</v>
      </c>
      <c r="G283" s="335">
        <v>45864</v>
      </c>
      <c r="H283" s="323"/>
      <c r="I283" s="323"/>
      <c r="J283" s="323"/>
      <c r="K283" s="323"/>
      <c r="L283" s="323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  <c r="AA283" s="323"/>
      <c r="AB283" s="323"/>
      <c r="AC283" s="323"/>
      <c r="AD283" s="323"/>
      <c r="AE283" s="323"/>
      <c r="AF283" s="323"/>
      <c r="AG283" s="323"/>
      <c r="AH283" s="323"/>
      <c r="AI283" s="323"/>
      <c r="AJ283" s="323"/>
      <c r="AK283" s="323"/>
      <c r="AL283" s="323"/>
      <c r="AM283" s="326">
        <f t="shared" si="18"/>
        <v>80</v>
      </c>
      <c r="AN283" s="327">
        <f t="shared" si="20"/>
        <v>0.24619305599999997</v>
      </c>
      <c r="AO283" s="323"/>
      <c r="AP283" s="323">
        <v>675.72580000000005</v>
      </c>
      <c r="AQ283" s="328">
        <f t="shared" si="22"/>
        <v>5470.9486083932807</v>
      </c>
    </row>
    <row r="284" spans="1:43">
      <c r="A284" s="341" t="s">
        <v>184</v>
      </c>
      <c r="B284" s="323">
        <v>15.9</v>
      </c>
      <c r="C284" s="323">
        <v>254</v>
      </c>
      <c r="D284" s="323">
        <v>762</v>
      </c>
      <c r="E284" s="323">
        <v>115</v>
      </c>
      <c r="F284" s="323" t="s">
        <v>189</v>
      </c>
      <c r="G284" s="335">
        <v>45864</v>
      </c>
      <c r="H284" s="323"/>
      <c r="I284" s="323"/>
      <c r="J284" s="323"/>
      <c r="K284" s="323"/>
      <c r="L284" s="323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  <c r="AA284" s="323"/>
      <c r="AB284" s="323"/>
      <c r="AC284" s="323"/>
      <c r="AD284" s="323"/>
      <c r="AE284" s="323"/>
      <c r="AF284" s="323"/>
      <c r="AG284" s="323"/>
      <c r="AH284" s="323"/>
      <c r="AI284" s="323"/>
      <c r="AJ284" s="323"/>
      <c r="AK284" s="323"/>
      <c r="AL284" s="323"/>
      <c r="AM284" s="326">
        <f t="shared" si="18"/>
        <v>115</v>
      </c>
      <c r="AN284" s="327">
        <f t="shared" si="20"/>
        <v>0.35390251799999994</v>
      </c>
      <c r="AO284" s="323"/>
      <c r="AP284" s="323">
        <v>675.72580000000005</v>
      </c>
      <c r="AQ284" s="328">
        <f t="shared" si="22"/>
        <v>7864.4886245653415</v>
      </c>
    </row>
    <row r="285" spans="1:43">
      <c r="A285" s="341" t="s">
        <v>184</v>
      </c>
      <c r="B285" s="323">
        <v>15.9</v>
      </c>
      <c r="C285" s="323">
        <v>1100</v>
      </c>
      <c r="D285" s="323">
        <v>800</v>
      </c>
      <c r="E285" s="323">
        <v>80</v>
      </c>
      <c r="F285" s="323" t="s">
        <v>193</v>
      </c>
      <c r="G285" s="335">
        <v>45959</v>
      </c>
      <c r="H285" s="323"/>
      <c r="I285" s="323"/>
      <c r="J285" s="323"/>
      <c r="K285" s="323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  <c r="AA285" s="323"/>
      <c r="AB285" s="323"/>
      <c r="AC285" s="323"/>
      <c r="AD285" s="323"/>
      <c r="AE285" s="323"/>
      <c r="AF285" s="323"/>
      <c r="AG285" s="323"/>
      <c r="AH285" s="323"/>
      <c r="AI285" s="323"/>
      <c r="AJ285" s="323"/>
      <c r="AK285" s="323"/>
      <c r="AL285" s="323"/>
      <c r="AM285" s="326">
        <f t="shared" si="18"/>
        <v>80</v>
      </c>
      <c r="AN285" s="327">
        <f t="shared" si="20"/>
        <v>1.1193599999999999</v>
      </c>
      <c r="AO285" s="323"/>
      <c r="AP285" s="323">
        <v>703.60860000000002</v>
      </c>
      <c r="AQ285" s="328">
        <f>AN285*AP285*31.9788</f>
        <v>25186.225383835084</v>
      </c>
    </row>
    <row r="286" spans="1:43">
      <c r="A286" s="341" t="s">
        <v>184</v>
      </c>
      <c r="B286" s="323">
        <v>15.9</v>
      </c>
      <c r="C286" s="323">
        <v>1100</v>
      </c>
      <c r="D286" s="323">
        <v>800</v>
      </c>
      <c r="E286" s="323">
        <v>72</v>
      </c>
      <c r="F286" s="333" t="s">
        <v>188</v>
      </c>
      <c r="G286" s="335">
        <v>46184</v>
      </c>
      <c r="H286" s="323"/>
      <c r="I286" s="323"/>
      <c r="J286" s="323"/>
      <c r="K286" s="323"/>
      <c r="L286" s="323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  <c r="AA286" s="323"/>
      <c r="AB286" s="323"/>
      <c r="AC286" s="323"/>
      <c r="AD286" s="323"/>
      <c r="AE286" s="323"/>
      <c r="AF286" s="323"/>
      <c r="AG286" s="323"/>
      <c r="AH286" s="323"/>
      <c r="AI286" s="323"/>
      <c r="AJ286" s="323"/>
      <c r="AK286" s="323"/>
      <c r="AL286" s="323"/>
      <c r="AM286" s="326">
        <f t="shared" si="18"/>
        <v>72</v>
      </c>
      <c r="AN286" s="327">
        <f t="shared" si="20"/>
        <v>1.0074240000000001</v>
      </c>
      <c r="AO286" s="323"/>
      <c r="AP286" s="323">
        <v>680</v>
      </c>
      <c r="AQ286" s="328">
        <f>AN286*AP286*32.7768</f>
        <v>22453.691774976003</v>
      </c>
    </row>
    <row r="287" spans="1:43">
      <c r="A287" s="341" t="s">
        <v>184</v>
      </c>
      <c r="B287" s="323">
        <v>15.9</v>
      </c>
      <c r="C287" s="323">
        <v>1100</v>
      </c>
      <c r="D287" s="323">
        <v>800</v>
      </c>
      <c r="E287" s="323">
        <v>28</v>
      </c>
      <c r="F287" s="333" t="s">
        <v>188</v>
      </c>
      <c r="G287" s="335">
        <v>46184</v>
      </c>
      <c r="H287" s="323"/>
      <c r="I287" s="323"/>
      <c r="J287" s="323"/>
      <c r="K287" s="323"/>
      <c r="L287" s="323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  <c r="AA287" s="323"/>
      <c r="AB287" s="323"/>
      <c r="AC287" s="323"/>
      <c r="AD287" s="323"/>
      <c r="AE287" s="323"/>
      <c r="AF287" s="323"/>
      <c r="AG287" s="323"/>
      <c r="AH287" s="323"/>
      <c r="AI287" s="323"/>
      <c r="AJ287" s="323"/>
      <c r="AK287" s="323"/>
      <c r="AL287" s="323"/>
      <c r="AM287" s="326">
        <f t="shared" si="18"/>
        <v>28</v>
      </c>
      <c r="AN287" s="327">
        <f t="shared" si="20"/>
        <v>0.39177600000000001</v>
      </c>
      <c r="AO287" s="323"/>
      <c r="AP287" s="323">
        <v>680</v>
      </c>
      <c r="AQ287" s="328">
        <f>AN287*AP287*32.7768</f>
        <v>8731.9912458240015</v>
      </c>
    </row>
    <row r="288" spans="1:43">
      <c r="A288" s="341" t="s">
        <v>184</v>
      </c>
      <c r="B288" s="323">
        <v>15.9</v>
      </c>
      <c r="C288" s="323">
        <v>1100</v>
      </c>
      <c r="D288" s="323">
        <v>800.1</v>
      </c>
      <c r="E288" s="323">
        <v>72</v>
      </c>
      <c r="F288" s="333" t="s">
        <v>191</v>
      </c>
      <c r="G288" s="335">
        <v>46163</v>
      </c>
      <c r="H288" s="323"/>
      <c r="I288" s="323"/>
      <c r="J288" s="323"/>
      <c r="K288" s="323"/>
      <c r="L288" s="323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  <c r="AA288" s="323"/>
      <c r="AB288" s="323"/>
      <c r="AC288" s="323"/>
      <c r="AD288" s="323"/>
      <c r="AE288" s="323"/>
      <c r="AF288" s="323"/>
      <c r="AG288" s="323"/>
      <c r="AH288" s="323"/>
      <c r="AI288" s="323"/>
      <c r="AJ288" s="323"/>
      <c r="AK288" s="323"/>
      <c r="AL288" s="323"/>
      <c r="AM288" s="326">
        <f t="shared" si="18"/>
        <v>72</v>
      </c>
      <c r="AN288" s="327">
        <f t="shared" si="20"/>
        <v>1.007549928</v>
      </c>
      <c r="AO288" s="323"/>
      <c r="AP288" s="323">
        <v>680</v>
      </c>
      <c r="AQ288" s="328">
        <f>AN288*AP288*32.763</f>
        <v>22447.043637923518</v>
      </c>
    </row>
    <row r="289" spans="1:43">
      <c r="A289" s="341" t="s">
        <v>184</v>
      </c>
      <c r="B289" s="323">
        <v>15.9</v>
      </c>
      <c r="C289" s="323">
        <v>1100</v>
      </c>
      <c r="D289" s="323">
        <v>800.1</v>
      </c>
      <c r="E289" s="323">
        <v>72</v>
      </c>
      <c r="F289" s="333" t="s">
        <v>191</v>
      </c>
      <c r="G289" s="335">
        <v>46163</v>
      </c>
      <c r="H289" s="323"/>
      <c r="I289" s="323"/>
      <c r="J289" s="323"/>
      <c r="K289" s="323"/>
      <c r="L289" s="323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  <c r="AA289" s="323"/>
      <c r="AB289" s="323"/>
      <c r="AC289" s="323"/>
      <c r="AD289" s="323"/>
      <c r="AE289" s="323"/>
      <c r="AF289" s="323"/>
      <c r="AG289" s="323"/>
      <c r="AH289" s="323"/>
      <c r="AI289" s="323"/>
      <c r="AJ289" s="323"/>
      <c r="AK289" s="323"/>
      <c r="AL289" s="323"/>
      <c r="AM289" s="326">
        <f t="shared" si="18"/>
        <v>72</v>
      </c>
      <c r="AN289" s="327">
        <f t="shared" si="20"/>
        <v>1.007549928</v>
      </c>
      <c r="AO289" s="323"/>
      <c r="AP289" s="323">
        <v>680</v>
      </c>
      <c r="AQ289" s="328">
        <f>AN289*AP289*32.763</f>
        <v>22447.043637923518</v>
      </c>
    </row>
    <row r="290" spans="1:43">
      <c r="A290" s="341" t="s">
        <v>184</v>
      </c>
      <c r="B290" s="323">
        <v>15.9</v>
      </c>
      <c r="C290" s="323">
        <v>1100</v>
      </c>
      <c r="D290" s="323">
        <v>800.1</v>
      </c>
      <c r="E290" s="323">
        <v>37</v>
      </c>
      <c r="F290" s="333" t="s">
        <v>191</v>
      </c>
      <c r="G290" s="335">
        <v>46163</v>
      </c>
      <c r="H290" s="323"/>
      <c r="I290" s="323"/>
      <c r="J290" s="323"/>
      <c r="K290" s="323"/>
      <c r="L290" s="323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  <c r="AA290" s="323"/>
      <c r="AB290" s="323"/>
      <c r="AC290" s="323"/>
      <c r="AD290" s="323"/>
      <c r="AE290" s="323"/>
      <c r="AF290" s="323"/>
      <c r="AG290" s="323"/>
      <c r="AH290" s="323"/>
      <c r="AI290" s="323"/>
      <c r="AJ290" s="323"/>
      <c r="AK290" s="323"/>
      <c r="AL290" s="323"/>
      <c r="AM290" s="326">
        <f t="shared" si="18"/>
        <v>37</v>
      </c>
      <c r="AN290" s="327">
        <f t="shared" si="20"/>
        <v>0.51776871300000005</v>
      </c>
      <c r="AO290" s="323"/>
      <c r="AP290" s="323">
        <v>680</v>
      </c>
      <c r="AQ290" s="328">
        <f>AN290*AP290*32.763</f>
        <v>11535.28631393292</v>
      </c>
    </row>
    <row r="291" spans="1:43">
      <c r="A291" s="341" t="s">
        <v>184</v>
      </c>
      <c r="B291" s="323">
        <v>15.9</v>
      </c>
      <c r="C291" s="323">
        <v>1100</v>
      </c>
      <c r="D291" s="323">
        <v>800.1</v>
      </c>
      <c r="E291" s="323">
        <v>67</v>
      </c>
      <c r="F291" s="333" t="s">
        <v>187</v>
      </c>
      <c r="G291" s="335">
        <v>46169</v>
      </c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>
        <v>39</v>
      </c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6">
        <f t="shared" si="18"/>
        <v>28</v>
      </c>
      <c r="AN291" s="327">
        <f t="shared" si="20"/>
        <v>0.39182497199999999</v>
      </c>
      <c r="AO291" s="323"/>
      <c r="AP291" s="323">
        <v>709.85550000000001</v>
      </c>
      <c r="AQ291" s="328">
        <f>AN291*AP291*32.2938</f>
        <v>8982.1688361021843</v>
      </c>
    </row>
    <row r="292" spans="1:43">
      <c r="A292" s="341" t="s">
        <v>184</v>
      </c>
      <c r="B292" s="323">
        <v>15.9</v>
      </c>
      <c r="C292" s="323">
        <v>1100</v>
      </c>
      <c r="D292" s="323">
        <v>800.1</v>
      </c>
      <c r="E292" s="323">
        <v>66</v>
      </c>
      <c r="F292" s="333" t="s">
        <v>187</v>
      </c>
      <c r="G292" s="335">
        <v>46169</v>
      </c>
      <c r="H292" s="323"/>
      <c r="I292" s="323"/>
      <c r="J292" s="323"/>
      <c r="K292" s="323"/>
      <c r="L292" s="323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  <c r="AA292" s="323"/>
      <c r="AB292" s="323"/>
      <c r="AC292" s="323"/>
      <c r="AD292" s="323"/>
      <c r="AE292" s="323"/>
      <c r="AF292" s="323"/>
      <c r="AG292" s="323"/>
      <c r="AH292" s="323"/>
      <c r="AI292" s="323"/>
      <c r="AJ292" s="323"/>
      <c r="AK292" s="323"/>
      <c r="AL292" s="323"/>
      <c r="AM292" s="326">
        <f t="shared" si="18"/>
        <v>66</v>
      </c>
      <c r="AN292" s="327">
        <f t="shared" si="20"/>
        <v>0.92358743399999998</v>
      </c>
      <c r="AO292" s="323"/>
      <c r="AP292" s="323">
        <v>709.85550000000001</v>
      </c>
      <c r="AQ292" s="328">
        <f>AN292*AP292*32.2938</f>
        <v>21172.255113669431</v>
      </c>
    </row>
    <row r="293" spans="1:43">
      <c r="A293" s="341" t="s">
        <v>184</v>
      </c>
      <c r="B293" s="323">
        <v>15.9</v>
      </c>
      <c r="C293" s="323">
        <v>1100</v>
      </c>
      <c r="D293" s="323">
        <v>800.1</v>
      </c>
      <c r="E293" s="323">
        <v>17</v>
      </c>
      <c r="F293" s="333" t="s">
        <v>187</v>
      </c>
      <c r="G293" s="335">
        <v>46169</v>
      </c>
      <c r="H293" s="323"/>
      <c r="I293" s="323"/>
      <c r="J293" s="323"/>
      <c r="K293" s="323"/>
      <c r="L293" s="323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  <c r="AA293" s="323"/>
      <c r="AB293" s="323"/>
      <c r="AC293" s="323"/>
      <c r="AD293" s="323"/>
      <c r="AE293" s="323"/>
      <c r="AF293" s="323"/>
      <c r="AG293" s="323"/>
      <c r="AH293" s="323"/>
      <c r="AI293" s="323"/>
      <c r="AJ293" s="323"/>
      <c r="AK293" s="323"/>
      <c r="AL293" s="323"/>
      <c r="AM293" s="326">
        <f t="shared" si="18"/>
        <v>17</v>
      </c>
      <c r="AN293" s="327">
        <f t="shared" si="20"/>
        <v>0.237893733</v>
      </c>
      <c r="AO293" s="323"/>
      <c r="AP293" s="323">
        <v>709.85550000000001</v>
      </c>
      <c r="AQ293" s="328">
        <f>AN293*AP293*32.2938</f>
        <v>5453.4596504906112</v>
      </c>
    </row>
    <row r="294" spans="1:43">
      <c r="A294" s="341" t="s">
        <v>184</v>
      </c>
      <c r="B294" s="323">
        <v>15.9</v>
      </c>
      <c r="C294" s="323">
        <v>76.2</v>
      </c>
      <c r="D294" s="323">
        <v>939.8</v>
      </c>
      <c r="E294" s="323">
        <v>124</v>
      </c>
      <c r="F294" s="323" t="s">
        <v>189</v>
      </c>
      <c r="G294" s="335">
        <v>45864</v>
      </c>
      <c r="H294" s="323"/>
      <c r="I294" s="323"/>
      <c r="J294" s="323"/>
      <c r="K294" s="323"/>
      <c r="L294" s="323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  <c r="AA294" s="323"/>
      <c r="AB294" s="323"/>
      <c r="AC294" s="323"/>
      <c r="AD294" s="323"/>
      <c r="AE294" s="323"/>
      <c r="AF294" s="323"/>
      <c r="AG294" s="323"/>
      <c r="AH294" s="323"/>
      <c r="AI294" s="323"/>
      <c r="AJ294" s="323"/>
      <c r="AK294" s="323"/>
      <c r="AL294" s="323"/>
      <c r="AM294" s="326">
        <f t="shared" si="18"/>
        <v>124</v>
      </c>
      <c r="AN294" s="327">
        <f t="shared" si="20"/>
        <v>0.141191717616</v>
      </c>
      <c r="AO294" s="323"/>
      <c r="AP294" s="323">
        <v>675.72580000000005</v>
      </c>
      <c r="AQ294" s="328">
        <f>AN294*AP294*32.8864</f>
        <v>3137.5890269135471</v>
      </c>
    </row>
    <row r="295" spans="1:43">
      <c r="A295" s="341" t="s">
        <v>184</v>
      </c>
      <c r="B295" s="323">
        <v>15.9</v>
      </c>
      <c r="C295" s="323">
        <v>76.2</v>
      </c>
      <c r="D295" s="323">
        <v>939.8</v>
      </c>
      <c r="E295" s="323">
        <v>100</v>
      </c>
      <c r="F295" s="323" t="s">
        <v>189</v>
      </c>
      <c r="G295" s="335">
        <v>45864</v>
      </c>
      <c r="H295" s="323"/>
      <c r="I295" s="323"/>
      <c r="J295" s="323"/>
      <c r="K295" s="323"/>
      <c r="L295" s="323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  <c r="AA295" s="323"/>
      <c r="AB295" s="323"/>
      <c r="AC295" s="323"/>
      <c r="AD295" s="323"/>
      <c r="AE295" s="323"/>
      <c r="AF295" s="323"/>
      <c r="AG295" s="323"/>
      <c r="AH295" s="323"/>
      <c r="AI295" s="323"/>
      <c r="AJ295" s="323"/>
      <c r="AK295" s="323"/>
      <c r="AL295" s="323"/>
      <c r="AM295" s="326">
        <f t="shared" ref="AM295:AM358" si="23">E295-H295-I295-J295-K295-L295-M295-N295-O295-P295-Q295-R295-S295-T295-U295-V295-W295-X295-Y295-Z295-AA295-AB295-AC295-AD295-AE295-AF295-AG295-AH295-AI295-AJ295-AK295-AL295</f>
        <v>100</v>
      </c>
      <c r="AN295" s="327">
        <f t="shared" si="20"/>
        <v>0.1138642884</v>
      </c>
      <c r="AO295" s="323"/>
      <c r="AP295" s="323">
        <v>675.72580000000005</v>
      </c>
      <c r="AQ295" s="328">
        <f>AN295*AP295*32.8864</f>
        <v>2530.3137313818929</v>
      </c>
    </row>
    <row r="296" spans="1:43">
      <c r="A296" s="341" t="s">
        <v>184</v>
      </c>
      <c r="B296" s="323">
        <v>15.9</v>
      </c>
      <c r="C296" s="323">
        <v>76.2</v>
      </c>
      <c r="D296" s="323">
        <v>939.8</v>
      </c>
      <c r="E296" s="323">
        <v>276</v>
      </c>
      <c r="F296" s="323" t="s">
        <v>189</v>
      </c>
      <c r="G296" s="335">
        <v>45864</v>
      </c>
      <c r="H296" s="323"/>
      <c r="I296" s="323"/>
      <c r="J296" s="323"/>
      <c r="K296" s="323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  <c r="AA296" s="323"/>
      <c r="AB296" s="323"/>
      <c r="AC296" s="323"/>
      <c r="AD296" s="323"/>
      <c r="AE296" s="323"/>
      <c r="AF296" s="323"/>
      <c r="AG296" s="323"/>
      <c r="AH296" s="323"/>
      <c r="AI296" s="323"/>
      <c r="AJ296" s="323"/>
      <c r="AK296" s="323"/>
      <c r="AL296" s="323"/>
      <c r="AM296" s="326">
        <f t="shared" si="23"/>
        <v>276</v>
      </c>
      <c r="AN296" s="327">
        <f t="shared" si="20"/>
        <v>0.31426543598400003</v>
      </c>
      <c r="AO296" s="323"/>
      <c r="AP296" s="323">
        <v>675.72580000000005</v>
      </c>
      <c r="AQ296" s="328">
        <f>AN296*AP296*32.8864</f>
        <v>6983.6658986140255</v>
      </c>
    </row>
    <row r="297" spans="1:43">
      <c r="A297" s="341" t="s">
        <v>184</v>
      </c>
      <c r="B297" s="323">
        <v>15.9</v>
      </c>
      <c r="C297" s="323">
        <v>177.8</v>
      </c>
      <c r="D297" s="323">
        <v>939.8</v>
      </c>
      <c r="E297" s="323">
        <v>480</v>
      </c>
      <c r="F297" s="323" t="s">
        <v>189</v>
      </c>
      <c r="G297" s="335">
        <v>45864</v>
      </c>
      <c r="H297" s="323"/>
      <c r="I297" s="323"/>
      <c r="J297" s="323"/>
      <c r="K297" s="323"/>
      <c r="L297" s="323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  <c r="AA297" s="323"/>
      <c r="AB297" s="323"/>
      <c r="AC297" s="323"/>
      <c r="AD297" s="323"/>
      <c r="AE297" s="323"/>
      <c r="AF297" s="323"/>
      <c r="AG297" s="323"/>
      <c r="AH297" s="323"/>
      <c r="AI297" s="323"/>
      <c r="AJ297" s="323"/>
      <c r="AK297" s="323"/>
      <c r="AL297" s="323"/>
      <c r="AM297" s="326">
        <f t="shared" si="23"/>
        <v>480</v>
      </c>
      <c r="AN297" s="327">
        <f t="shared" si="20"/>
        <v>1.2752800300800002</v>
      </c>
      <c r="AO297" s="323"/>
      <c r="AP297" s="323">
        <v>675.72580000000005</v>
      </c>
      <c r="AQ297" s="328">
        <f>AN297*AP297*32.8864</f>
        <v>28339.513791477206</v>
      </c>
    </row>
    <row r="298" spans="1:43">
      <c r="A298" s="341" t="s">
        <v>184</v>
      </c>
      <c r="B298" s="323">
        <v>15.9</v>
      </c>
      <c r="C298" s="323">
        <v>254</v>
      </c>
      <c r="D298" s="323">
        <v>939.8</v>
      </c>
      <c r="E298" s="323">
        <v>240</v>
      </c>
      <c r="F298" s="323" t="s">
        <v>189</v>
      </c>
      <c r="G298" s="335">
        <v>45864</v>
      </c>
      <c r="H298" s="323"/>
      <c r="I298" s="323"/>
      <c r="J298" s="323"/>
      <c r="K298" s="323"/>
      <c r="L298" s="323"/>
      <c r="M298" s="323"/>
      <c r="N298" s="323">
        <v>130</v>
      </c>
      <c r="O298" s="323"/>
      <c r="P298" s="323"/>
      <c r="Q298" s="323"/>
      <c r="R298" s="323">
        <v>22</v>
      </c>
      <c r="S298" s="323"/>
      <c r="T298" s="323"/>
      <c r="U298" s="323"/>
      <c r="V298" s="323"/>
      <c r="W298" s="323"/>
      <c r="X298" s="323"/>
      <c r="Y298" s="323"/>
      <c r="Z298" s="323"/>
      <c r="AA298" s="323"/>
      <c r="AB298" s="323"/>
      <c r="AC298" s="323"/>
      <c r="AD298" s="323"/>
      <c r="AE298" s="323"/>
      <c r="AF298" s="323"/>
      <c r="AG298" s="323"/>
      <c r="AH298" s="323"/>
      <c r="AI298" s="323"/>
      <c r="AJ298" s="323"/>
      <c r="AK298" s="323"/>
      <c r="AL298" s="323"/>
      <c r="AM298" s="326">
        <f t="shared" si="23"/>
        <v>88</v>
      </c>
      <c r="AN298" s="327">
        <f t="shared" si="20"/>
        <v>0.33400191264000001</v>
      </c>
      <c r="AO298" s="323"/>
      <c r="AP298" s="323">
        <v>675.72580000000005</v>
      </c>
      <c r="AQ298" s="328">
        <f>AN298*AP298*32.8864</f>
        <v>7422.2536120535533</v>
      </c>
    </row>
    <row r="299" spans="1:43">
      <c r="A299" s="341" t="s">
        <v>184</v>
      </c>
      <c r="B299" s="323">
        <v>15.9</v>
      </c>
      <c r="C299" s="323">
        <v>153</v>
      </c>
      <c r="D299" s="323">
        <v>1219</v>
      </c>
      <c r="E299" s="323">
        <v>511</v>
      </c>
      <c r="F299" s="333" t="s">
        <v>191</v>
      </c>
      <c r="G299" s="335">
        <v>46163</v>
      </c>
      <c r="H299" s="323"/>
      <c r="I299" s="323"/>
      <c r="J299" s="323"/>
      <c r="K299" s="323"/>
      <c r="L299" s="323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  <c r="AA299" s="323"/>
      <c r="AB299" s="323"/>
      <c r="AC299" s="323"/>
      <c r="AD299" s="323"/>
      <c r="AE299" s="323"/>
      <c r="AF299" s="323"/>
      <c r="AG299" s="323"/>
      <c r="AH299" s="323"/>
      <c r="AI299" s="323"/>
      <c r="AJ299" s="323"/>
      <c r="AK299" s="323"/>
      <c r="AL299" s="323"/>
      <c r="AM299" s="326">
        <f t="shared" si="23"/>
        <v>511</v>
      </c>
      <c r="AN299" s="327">
        <f t="shared" si="20"/>
        <v>1.5153507243000002</v>
      </c>
      <c r="AO299" s="323"/>
      <c r="AP299" s="323">
        <v>680</v>
      </c>
      <c r="AQ299" s="328">
        <f>AN299*AP299*32.763</f>
        <v>33760.256330563818</v>
      </c>
    </row>
    <row r="300" spans="1:43">
      <c r="A300" s="341" t="s">
        <v>184</v>
      </c>
      <c r="B300" s="323">
        <v>15.9</v>
      </c>
      <c r="C300" s="323">
        <v>153</v>
      </c>
      <c r="D300" s="323">
        <v>1219</v>
      </c>
      <c r="E300" s="323">
        <v>92</v>
      </c>
      <c r="F300" s="333" t="s">
        <v>191</v>
      </c>
      <c r="G300" s="335">
        <v>46163</v>
      </c>
      <c r="H300" s="323"/>
      <c r="I300" s="323"/>
      <c r="J300" s="323"/>
      <c r="K300" s="323"/>
      <c r="L300" s="323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  <c r="AG300" s="323"/>
      <c r="AH300" s="323"/>
      <c r="AI300" s="323"/>
      <c r="AJ300" s="323"/>
      <c r="AK300" s="323"/>
      <c r="AL300" s="323"/>
      <c r="AM300" s="326">
        <f t="shared" si="23"/>
        <v>92</v>
      </c>
      <c r="AN300" s="327">
        <f t="shared" si="20"/>
        <v>0.27282243960000002</v>
      </c>
      <c r="AO300" s="323"/>
      <c r="AP300" s="323">
        <v>680</v>
      </c>
      <c r="AQ300" s="328">
        <f>AN300*AP300*32.763</f>
        <v>6078.1674802580646</v>
      </c>
    </row>
    <row r="301" spans="1:43">
      <c r="A301" s="341" t="s">
        <v>184</v>
      </c>
      <c r="B301" s="323">
        <v>15.9</v>
      </c>
      <c r="C301" s="323">
        <v>1100</v>
      </c>
      <c r="D301" s="323">
        <v>1219</v>
      </c>
      <c r="E301" s="323">
        <v>65</v>
      </c>
      <c r="F301" s="323" t="s">
        <v>192</v>
      </c>
      <c r="G301" s="335">
        <v>45939</v>
      </c>
      <c r="H301" s="323"/>
      <c r="I301" s="323"/>
      <c r="J301" s="323"/>
      <c r="K301" s="323"/>
      <c r="L301" s="323"/>
      <c r="M301" s="323"/>
      <c r="N301" s="323"/>
      <c r="O301" s="323">
        <v>28</v>
      </c>
      <c r="P301" s="323"/>
      <c r="Q301" s="323"/>
      <c r="R301" s="323">
        <v>9</v>
      </c>
      <c r="S301" s="323"/>
      <c r="T301" s="323"/>
      <c r="U301" s="323"/>
      <c r="V301" s="323"/>
      <c r="W301" s="323"/>
      <c r="X301" s="323"/>
      <c r="Y301" s="323"/>
      <c r="Z301" s="323"/>
      <c r="AA301" s="323"/>
      <c r="AB301" s="323"/>
      <c r="AC301" s="323"/>
      <c r="AD301" s="323"/>
      <c r="AE301" s="323"/>
      <c r="AF301" s="323"/>
      <c r="AG301" s="323"/>
      <c r="AH301" s="323"/>
      <c r="AI301" s="323"/>
      <c r="AJ301" s="323"/>
      <c r="AK301" s="323"/>
      <c r="AL301" s="323"/>
      <c r="AM301" s="326">
        <f t="shared" si="23"/>
        <v>28</v>
      </c>
      <c r="AN301" s="327">
        <f t="shared" si="20"/>
        <v>0.59696868000000003</v>
      </c>
      <c r="AO301" s="323"/>
      <c r="AP301" s="323">
        <v>693.375</v>
      </c>
      <c r="AQ301" s="328">
        <f>AN301*AP301*32.7241</f>
        <v>13545.262830906229</v>
      </c>
    </row>
    <row r="302" spans="1:43">
      <c r="A302" s="341" t="s">
        <v>184</v>
      </c>
      <c r="B302" s="323">
        <v>15.9</v>
      </c>
      <c r="C302" s="323">
        <v>1100</v>
      </c>
      <c r="D302" s="323">
        <v>1219</v>
      </c>
      <c r="E302" s="323">
        <v>65</v>
      </c>
      <c r="F302" s="323" t="s">
        <v>192</v>
      </c>
      <c r="G302" s="335">
        <v>45939</v>
      </c>
      <c r="H302" s="323"/>
      <c r="I302" s="323"/>
      <c r="J302" s="323"/>
      <c r="K302" s="323"/>
      <c r="L302" s="323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  <c r="AA302" s="323"/>
      <c r="AB302" s="323"/>
      <c r="AC302" s="323"/>
      <c r="AD302" s="323"/>
      <c r="AE302" s="323"/>
      <c r="AF302" s="323"/>
      <c r="AG302" s="323"/>
      <c r="AH302" s="323"/>
      <c r="AI302" s="323"/>
      <c r="AJ302" s="323"/>
      <c r="AK302" s="323"/>
      <c r="AL302" s="323"/>
      <c r="AM302" s="326">
        <f t="shared" si="23"/>
        <v>65</v>
      </c>
      <c r="AN302" s="327">
        <f t="shared" si="20"/>
        <v>1.38582015</v>
      </c>
      <c r="AO302" s="323"/>
      <c r="AP302" s="323">
        <v>693.375</v>
      </c>
      <c r="AQ302" s="328">
        <f>AN302*AP302*32.7241</f>
        <v>31444.360143175178</v>
      </c>
    </row>
    <row r="303" spans="1:43">
      <c r="A303" s="341" t="s">
        <v>184</v>
      </c>
      <c r="B303" s="323">
        <v>15.9</v>
      </c>
      <c r="C303" s="323">
        <v>1100</v>
      </c>
      <c r="D303" s="323">
        <v>1219</v>
      </c>
      <c r="E303" s="323">
        <v>65</v>
      </c>
      <c r="F303" s="323" t="s">
        <v>192</v>
      </c>
      <c r="G303" s="335">
        <v>45939</v>
      </c>
      <c r="H303" s="323"/>
      <c r="I303" s="323"/>
      <c r="J303" s="323"/>
      <c r="K303" s="323"/>
      <c r="L303" s="323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  <c r="AA303" s="323"/>
      <c r="AB303" s="323"/>
      <c r="AC303" s="323"/>
      <c r="AD303" s="323"/>
      <c r="AE303" s="323"/>
      <c r="AF303" s="323"/>
      <c r="AG303" s="323"/>
      <c r="AH303" s="323"/>
      <c r="AI303" s="323"/>
      <c r="AJ303" s="323"/>
      <c r="AK303" s="323"/>
      <c r="AL303" s="323"/>
      <c r="AM303" s="326">
        <f t="shared" si="23"/>
        <v>65</v>
      </c>
      <c r="AN303" s="327">
        <f t="shared" si="20"/>
        <v>1.38582015</v>
      </c>
      <c r="AO303" s="323"/>
      <c r="AP303" s="323">
        <v>693.375</v>
      </c>
      <c r="AQ303" s="328">
        <f>AN303*AP303*32.7241</f>
        <v>31444.360143175178</v>
      </c>
    </row>
    <row r="304" spans="1:43">
      <c r="A304" s="341" t="s">
        <v>184</v>
      </c>
      <c r="B304" s="323">
        <v>15.9</v>
      </c>
      <c r="C304" s="323">
        <v>1100</v>
      </c>
      <c r="D304" s="323">
        <v>1219</v>
      </c>
      <c r="E304" s="323">
        <v>67</v>
      </c>
      <c r="F304" s="333" t="s">
        <v>187</v>
      </c>
      <c r="G304" s="335">
        <v>46169</v>
      </c>
      <c r="H304" s="323"/>
      <c r="I304" s="323"/>
      <c r="J304" s="323"/>
      <c r="K304" s="323"/>
      <c r="L304" s="323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  <c r="AA304" s="323"/>
      <c r="AB304" s="323"/>
      <c r="AC304" s="323"/>
      <c r="AD304" s="323"/>
      <c r="AE304" s="323"/>
      <c r="AF304" s="323"/>
      <c r="AG304" s="323"/>
      <c r="AH304" s="323"/>
      <c r="AI304" s="323"/>
      <c r="AJ304" s="323"/>
      <c r="AK304" s="323"/>
      <c r="AL304" s="323"/>
      <c r="AM304" s="326">
        <f t="shared" si="23"/>
        <v>67</v>
      </c>
      <c r="AN304" s="327">
        <f t="shared" si="20"/>
        <v>1.42846077</v>
      </c>
      <c r="AO304" s="323"/>
      <c r="AP304" s="323">
        <v>709.85550000000001</v>
      </c>
      <c r="AQ304" s="328">
        <f t="shared" ref="AQ304:AQ308" si="24">AN304*AP304*32.2938</f>
        <v>32745.936907483603</v>
      </c>
    </row>
    <row r="305" spans="1:43">
      <c r="A305" s="341" t="s">
        <v>184</v>
      </c>
      <c r="B305" s="323">
        <v>15.9</v>
      </c>
      <c r="C305" s="323">
        <v>1100</v>
      </c>
      <c r="D305" s="323">
        <v>1219</v>
      </c>
      <c r="E305" s="323">
        <v>72</v>
      </c>
      <c r="F305" s="333" t="s">
        <v>195</v>
      </c>
      <c r="G305" s="335">
        <v>46169</v>
      </c>
      <c r="H305" s="323"/>
      <c r="I305" s="323"/>
      <c r="J305" s="323"/>
      <c r="K305" s="323"/>
      <c r="L305" s="323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  <c r="AA305" s="323"/>
      <c r="AB305" s="323"/>
      <c r="AC305" s="323"/>
      <c r="AD305" s="323"/>
      <c r="AE305" s="323"/>
      <c r="AF305" s="323"/>
      <c r="AG305" s="323"/>
      <c r="AH305" s="323"/>
      <c r="AI305" s="323"/>
      <c r="AJ305" s="323"/>
      <c r="AK305" s="323"/>
      <c r="AL305" s="323"/>
      <c r="AM305" s="326">
        <f t="shared" si="23"/>
        <v>72</v>
      </c>
      <c r="AN305" s="327">
        <f t="shared" si="20"/>
        <v>1.53506232</v>
      </c>
      <c r="AO305" s="323"/>
      <c r="AP305" s="323">
        <v>680</v>
      </c>
      <c r="AQ305" s="328">
        <f t="shared" si="24"/>
        <v>33709.636973738874</v>
      </c>
    </row>
    <row r="306" spans="1:43">
      <c r="A306" s="341" t="s">
        <v>184</v>
      </c>
      <c r="B306" s="323">
        <v>15.9</v>
      </c>
      <c r="C306" s="323">
        <v>1100</v>
      </c>
      <c r="D306" s="323">
        <v>1219</v>
      </c>
      <c r="E306" s="323">
        <v>72</v>
      </c>
      <c r="F306" s="333" t="s">
        <v>195</v>
      </c>
      <c r="G306" s="335">
        <v>46169</v>
      </c>
      <c r="H306" s="323"/>
      <c r="I306" s="323"/>
      <c r="J306" s="323"/>
      <c r="K306" s="323"/>
      <c r="L306" s="323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  <c r="AA306" s="323"/>
      <c r="AB306" s="323"/>
      <c r="AC306" s="323"/>
      <c r="AD306" s="323"/>
      <c r="AE306" s="323"/>
      <c r="AF306" s="323"/>
      <c r="AG306" s="323"/>
      <c r="AH306" s="323"/>
      <c r="AI306" s="323"/>
      <c r="AJ306" s="323"/>
      <c r="AK306" s="323"/>
      <c r="AL306" s="323"/>
      <c r="AM306" s="326">
        <f t="shared" si="23"/>
        <v>72</v>
      </c>
      <c r="AN306" s="327">
        <f t="shared" si="20"/>
        <v>1.53506232</v>
      </c>
      <c r="AO306" s="323"/>
      <c r="AP306" s="323">
        <v>680</v>
      </c>
      <c r="AQ306" s="328">
        <f t="shared" si="24"/>
        <v>33709.636973738874</v>
      </c>
    </row>
    <row r="307" spans="1:43">
      <c r="A307" s="341" t="s">
        <v>184</v>
      </c>
      <c r="B307" s="323">
        <v>15.9</v>
      </c>
      <c r="C307" s="323">
        <v>1100</v>
      </c>
      <c r="D307" s="323">
        <v>1219</v>
      </c>
      <c r="E307" s="323">
        <v>72</v>
      </c>
      <c r="F307" s="333" t="s">
        <v>195</v>
      </c>
      <c r="G307" s="335">
        <v>46169</v>
      </c>
      <c r="H307" s="323"/>
      <c r="I307" s="323"/>
      <c r="J307" s="323"/>
      <c r="K307" s="323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  <c r="AA307" s="323"/>
      <c r="AB307" s="323"/>
      <c r="AC307" s="323"/>
      <c r="AD307" s="323"/>
      <c r="AE307" s="323"/>
      <c r="AF307" s="323"/>
      <c r="AG307" s="323"/>
      <c r="AH307" s="323"/>
      <c r="AI307" s="323"/>
      <c r="AJ307" s="323"/>
      <c r="AK307" s="323"/>
      <c r="AL307" s="323"/>
      <c r="AM307" s="326">
        <f t="shared" si="23"/>
        <v>72</v>
      </c>
      <c r="AN307" s="327">
        <f t="shared" si="20"/>
        <v>1.53506232</v>
      </c>
      <c r="AO307" s="323"/>
      <c r="AP307" s="323">
        <v>680</v>
      </c>
      <c r="AQ307" s="328">
        <f t="shared" si="24"/>
        <v>33709.636973738874</v>
      </c>
    </row>
    <row r="308" spans="1:43">
      <c r="A308" s="341" t="s">
        <v>184</v>
      </c>
      <c r="B308" s="323">
        <v>15.9</v>
      </c>
      <c r="C308" s="323">
        <v>1100</v>
      </c>
      <c r="D308" s="323">
        <v>1219</v>
      </c>
      <c r="E308" s="323">
        <v>68</v>
      </c>
      <c r="F308" s="333" t="s">
        <v>195</v>
      </c>
      <c r="G308" s="335">
        <v>46169</v>
      </c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6">
        <f t="shared" si="23"/>
        <v>68</v>
      </c>
      <c r="AN308" s="327">
        <f t="shared" si="20"/>
        <v>1.4497810799999999</v>
      </c>
      <c r="AO308" s="323"/>
      <c r="AP308" s="323">
        <v>680</v>
      </c>
      <c r="AQ308" s="328">
        <f t="shared" si="24"/>
        <v>31836.879364086715</v>
      </c>
    </row>
    <row r="309" spans="1:43">
      <c r="A309" s="341" t="s">
        <v>184</v>
      </c>
      <c r="B309" s="323">
        <v>15.9</v>
      </c>
      <c r="C309" s="323">
        <v>1100</v>
      </c>
      <c r="D309" s="323">
        <v>1219</v>
      </c>
      <c r="E309" s="323">
        <v>72</v>
      </c>
      <c r="F309" s="333" t="s">
        <v>188</v>
      </c>
      <c r="G309" s="335">
        <v>46184</v>
      </c>
      <c r="H309" s="323"/>
      <c r="I309" s="323"/>
      <c r="J309" s="323"/>
      <c r="K309" s="323"/>
      <c r="L309" s="323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  <c r="AA309" s="323"/>
      <c r="AB309" s="323"/>
      <c r="AC309" s="323"/>
      <c r="AD309" s="323"/>
      <c r="AE309" s="323"/>
      <c r="AF309" s="323"/>
      <c r="AG309" s="323"/>
      <c r="AH309" s="323"/>
      <c r="AI309" s="323"/>
      <c r="AJ309" s="323"/>
      <c r="AK309" s="323"/>
      <c r="AL309" s="323"/>
      <c r="AM309" s="326">
        <f t="shared" si="23"/>
        <v>72</v>
      </c>
      <c r="AN309" s="327">
        <f t="shared" si="20"/>
        <v>1.53506232</v>
      </c>
      <c r="AO309" s="323"/>
      <c r="AP309" s="323">
        <v>680</v>
      </c>
      <c r="AQ309" s="328">
        <f t="shared" ref="AQ309:AQ315" si="25">AN309*AP309*32.7768</f>
        <v>34213.812842119682</v>
      </c>
    </row>
    <row r="310" spans="1:43">
      <c r="A310" s="341" t="s">
        <v>184</v>
      </c>
      <c r="B310" s="323">
        <v>15.9</v>
      </c>
      <c r="C310" s="323">
        <v>1100</v>
      </c>
      <c r="D310" s="323">
        <v>1219</v>
      </c>
      <c r="E310" s="323">
        <v>72</v>
      </c>
      <c r="F310" s="333" t="s">
        <v>188</v>
      </c>
      <c r="G310" s="335">
        <v>46184</v>
      </c>
      <c r="H310" s="323"/>
      <c r="I310" s="323"/>
      <c r="J310" s="323"/>
      <c r="K310" s="323"/>
      <c r="L310" s="323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/>
      <c r="W310" s="323"/>
      <c r="X310" s="323"/>
      <c r="Y310" s="323"/>
      <c r="Z310" s="323"/>
      <c r="AA310" s="323"/>
      <c r="AB310" s="323"/>
      <c r="AC310" s="323"/>
      <c r="AD310" s="323"/>
      <c r="AE310" s="323"/>
      <c r="AF310" s="323"/>
      <c r="AG310" s="323"/>
      <c r="AH310" s="323"/>
      <c r="AI310" s="323"/>
      <c r="AJ310" s="323"/>
      <c r="AK310" s="323"/>
      <c r="AL310" s="323"/>
      <c r="AM310" s="326">
        <f t="shared" si="23"/>
        <v>72</v>
      </c>
      <c r="AN310" s="327">
        <f t="shared" si="20"/>
        <v>1.53506232</v>
      </c>
      <c r="AO310" s="323"/>
      <c r="AP310" s="323">
        <v>680</v>
      </c>
      <c r="AQ310" s="328">
        <f t="shared" si="25"/>
        <v>34213.812842119682</v>
      </c>
    </row>
    <row r="311" spans="1:43">
      <c r="A311" s="341" t="s">
        <v>184</v>
      </c>
      <c r="B311" s="323">
        <v>15.9</v>
      </c>
      <c r="C311" s="323">
        <v>1100</v>
      </c>
      <c r="D311" s="323">
        <v>1219</v>
      </c>
      <c r="E311" s="323">
        <v>72</v>
      </c>
      <c r="F311" s="333" t="s">
        <v>188</v>
      </c>
      <c r="G311" s="335">
        <v>46184</v>
      </c>
      <c r="H311" s="323"/>
      <c r="I311" s="323"/>
      <c r="J311" s="323"/>
      <c r="K311" s="323"/>
      <c r="L311" s="323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/>
      <c r="W311" s="323"/>
      <c r="X311" s="323"/>
      <c r="Y311" s="323"/>
      <c r="Z311" s="323"/>
      <c r="AA311" s="323"/>
      <c r="AB311" s="323"/>
      <c r="AC311" s="323"/>
      <c r="AD311" s="323"/>
      <c r="AE311" s="323"/>
      <c r="AF311" s="323"/>
      <c r="AG311" s="323"/>
      <c r="AH311" s="323"/>
      <c r="AI311" s="323"/>
      <c r="AJ311" s="323"/>
      <c r="AK311" s="323"/>
      <c r="AL311" s="323"/>
      <c r="AM311" s="326">
        <f t="shared" si="23"/>
        <v>72</v>
      </c>
      <c r="AN311" s="327">
        <f t="shared" si="20"/>
        <v>1.53506232</v>
      </c>
      <c r="AO311" s="323"/>
      <c r="AP311" s="323">
        <v>680</v>
      </c>
      <c r="AQ311" s="328">
        <f t="shared" si="25"/>
        <v>34213.812842119682</v>
      </c>
    </row>
    <row r="312" spans="1:43">
      <c r="A312" s="341" t="s">
        <v>184</v>
      </c>
      <c r="B312" s="323">
        <v>15.9</v>
      </c>
      <c r="C312" s="323">
        <v>1100</v>
      </c>
      <c r="D312" s="323">
        <v>1219</v>
      </c>
      <c r="E312" s="323">
        <v>72</v>
      </c>
      <c r="F312" s="333" t="s">
        <v>188</v>
      </c>
      <c r="G312" s="335">
        <v>46184</v>
      </c>
      <c r="H312" s="323"/>
      <c r="I312" s="323"/>
      <c r="J312" s="323"/>
      <c r="K312" s="323"/>
      <c r="L312" s="323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  <c r="AA312" s="323"/>
      <c r="AB312" s="323"/>
      <c r="AC312" s="323"/>
      <c r="AD312" s="323"/>
      <c r="AE312" s="323"/>
      <c r="AF312" s="323"/>
      <c r="AG312" s="323"/>
      <c r="AH312" s="323"/>
      <c r="AI312" s="323"/>
      <c r="AJ312" s="323"/>
      <c r="AK312" s="323"/>
      <c r="AL312" s="323"/>
      <c r="AM312" s="326">
        <f t="shared" si="23"/>
        <v>72</v>
      </c>
      <c r="AN312" s="327">
        <f t="shared" si="20"/>
        <v>1.53506232</v>
      </c>
      <c r="AO312" s="323"/>
      <c r="AP312" s="323">
        <v>680</v>
      </c>
      <c r="AQ312" s="328">
        <f t="shared" si="25"/>
        <v>34213.812842119682</v>
      </c>
    </row>
    <row r="313" spans="1:43">
      <c r="A313" s="341" t="s">
        <v>184</v>
      </c>
      <c r="B313" s="323">
        <v>15.9</v>
      </c>
      <c r="C313" s="323">
        <v>1100</v>
      </c>
      <c r="D313" s="323">
        <v>1219</v>
      </c>
      <c r="E313" s="323">
        <v>72</v>
      </c>
      <c r="F313" s="333" t="s">
        <v>188</v>
      </c>
      <c r="G313" s="335">
        <v>46184</v>
      </c>
      <c r="H313" s="323"/>
      <c r="I313" s="323"/>
      <c r="J313" s="323"/>
      <c r="K313" s="323"/>
      <c r="L313" s="323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  <c r="AA313" s="323"/>
      <c r="AB313" s="323"/>
      <c r="AC313" s="323"/>
      <c r="AD313" s="323"/>
      <c r="AE313" s="323"/>
      <c r="AF313" s="323"/>
      <c r="AG313" s="323"/>
      <c r="AH313" s="323"/>
      <c r="AI313" s="323"/>
      <c r="AJ313" s="323"/>
      <c r="AK313" s="323"/>
      <c r="AL313" s="323"/>
      <c r="AM313" s="326">
        <f t="shared" si="23"/>
        <v>72</v>
      </c>
      <c r="AN313" s="327">
        <f t="shared" si="20"/>
        <v>1.53506232</v>
      </c>
      <c r="AO313" s="323"/>
      <c r="AP313" s="323">
        <v>680</v>
      </c>
      <c r="AQ313" s="328">
        <f t="shared" si="25"/>
        <v>34213.812842119682</v>
      </c>
    </row>
    <row r="314" spans="1:43">
      <c r="A314" s="341" t="s">
        <v>184</v>
      </c>
      <c r="B314" s="323">
        <v>15.9</v>
      </c>
      <c r="C314" s="323">
        <v>1100</v>
      </c>
      <c r="D314" s="323">
        <v>1219</v>
      </c>
      <c r="E314" s="323">
        <v>72</v>
      </c>
      <c r="F314" s="333" t="s">
        <v>188</v>
      </c>
      <c r="G314" s="335">
        <v>46184</v>
      </c>
      <c r="H314" s="323"/>
      <c r="I314" s="323"/>
      <c r="J314" s="323"/>
      <c r="K314" s="323"/>
      <c r="L314" s="323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  <c r="AA314" s="323"/>
      <c r="AB314" s="323"/>
      <c r="AC314" s="323"/>
      <c r="AD314" s="323"/>
      <c r="AE314" s="323"/>
      <c r="AF314" s="323"/>
      <c r="AG314" s="323"/>
      <c r="AH314" s="323"/>
      <c r="AI314" s="323"/>
      <c r="AJ314" s="323"/>
      <c r="AK314" s="323"/>
      <c r="AL314" s="323"/>
      <c r="AM314" s="326">
        <f t="shared" si="23"/>
        <v>72</v>
      </c>
      <c r="AN314" s="327">
        <f t="shared" si="20"/>
        <v>1.53506232</v>
      </c>
      <c r="AO314" s="323"/>
      <c r="AP314" s="323">
        <v>680</v>
      </c>
      <c r="AQ314" s="328">
        <f t="shared" si="25"/>
        <v>34213.812842119682</v>
      </c>
    </row>
    <row r="315" spans="1:43">
      <c r="A315" s="341" t="s">
        <v>184</v>
      </c>
      <c r="B315" s="323">
        <v>15.9</v>
      </c>
      <c r="C315" s="323">
        <v>1100</v>
      </c>
      <c r="D315" s="323">
        <v>1219</v>
      </c>
      <c r="E315" s="323">
        <v>72</v>
      </c>
      <c r="F315" s="333" t="s">
        <v>188</v>
      </c>
      <c r="G315" s="335">
        <v>46184</v>
      </c>
      <c r="H315" s="323"/>
      <c r="I315" s="323"/>
      <c r="J315" s="323"/>
      <c r="K315" s="323"/>
      <c r="L315" s="323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  <c r="AA315" s="323"/>
      <c r="AB315" s="323"/>
      <c r="AC315" s="323"/>
      <c r="AD315" s="323"/>
      <c r="AE315" s="323"/>
      <c r="AF315" s="323"/>
      <c r="AG315" s="323"/>
      <c r="AH315" s="323"/>
      <c r="AI315" s="323"/>
      <c r="AJ315" s="323"/>
      <c r="AK315" s="323"/>
      <c r="AL315" s="323"/>
      <c r="AM315" s="326">
        <f t="shared" si="23"/>
        <v>72</v>
      </c>
      <c r="AN315" s="327">
        <f t="shared" si="20"/>
        <v>1.53506232</v>
      </c>
      <c r="AO315" s="323"/>
      <c r="AP315" s="323">
        <v>735</v>
      </c>
      <c r="AQ315" s="328">
        <f t="shared" si="25"/>
        <v>36981.106527879361</v>
      </c>
    </row>
    <row r="316" spans="1:43">
      <c r="A316" s="341" t="s">
        <v>184</v>
      </c>
      <c r="B316" s="323">
        <v>12.7</v>
      </c>
      <c r="C316" s="323">
        <v>158.75</v>
      </c>
      <c r="D316" s="323">
        <v>1219.2</v>
      </c>
      <c r="E316" s="323">
        <v>320</v>
      </c>
      <c r="F316" s="323" t="s">
        <v>189</v>
      </c>
      <c r="G316" s="335">
        <v>45864</v>
      </c>
      <c r="H316" s="323"/>
      <c r="I316" s="323"/>
      <c r="J316" s="323"/>
      <c r="K316" s="323"/>
      <c r="L316" s="323"/>
      <c r="M316" s="323"/>
      <c r="N316" s="323"/>
      <c r="O316" s="323"/>
      <c r="P316" s="323"/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  <c r="AA316" s="323"/>
      <c r="AB316" s="323"/>
      <c r="AC316" s="323"/>
      <c r="AD316" s="323"/>
      <c r="AE316" s="323"/>
      <c r="AF316" s="323"/>
      <c r="AG316" s="323"/>
      <c r="AH316" s="323"/>
      <c r="AI316" s="323"/>
      <c r="AJ316" s="323"/>
      <c r="AK316" s="323"/>
      <c r="AL316" s="323"/>
      <c r="AM316" s="326">
        <f t="shared" si="23"/>
        <v>320</v>
      </c>
      <c r="AN316" s="327">
        <f t="shared" si="20"/>
        <v>0.78657907199999999</v>
      </c>
      <c r="AO316" s="323"/>
      <c r="AP316" s="323">
        <v>675.72580000000005</v>
      </c>
      <c r="AQ316" s="328">
        <f>AN316*AP316*32.8864</f>
        <v>17479.508761407465</v>
      </c>
    </row>
    <row r="317" spans="1:43">
      <c r="A317" s="341" t="s">
        <v>184</v>
      </c>
      <c r="B317" s="323">
        <v>12.7</v>
      </c>
      <c r="C317" s="323">
        <v>260.35000000000002</v>
      </c>
      <c r="D317" s="323">
        <v>1219.2</v>
      </c>
      <c r="E317" s="323">
        <v>191</v>
      </c>
      <c r="F317" s="323" t="s">
        <v>189</v>
      </c>
      <c r="G317" s="335">
        <v>45864</v>
      </c>
      <c r="H317" s="323"/>
      <c r="I317" s="323"/>
      <c r="J317" s="323"/>
      <c r="K317" s="323"/>
      <c r="L317" s="323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  <c r="AA317" s="323"/>
      <c r="AB317" s="323"/>
      <c r="AC317" s="323"/>
      <c r="AD317" s="323"/>
      <c r="AE317" s="323"/>
      <c r="AF317" s="323"/>
      <c r="AG317" s="323"/>
      <c r="AH317" s="323"/>
      <c r="AI317" s="323"/>
      <c r="AJ317" s="323"/>
      <c r="AK317" s="323"/>
      <c r="AL317" s="323"/>
      <c r="AM317" s="326">
        <f t="shared" si="23"/>
        <v>191</v>
      </c>
      <c r="AN317" s="327">
        <f t="shared" si="20"/>
        <v>0.76996258910400006</v>
      </c>
      <c r="AO317" s="323"/>
      <c r="AP317" s="323">
        <v>675.72580000000005</v>
      </c>
      <c r="AQ317" s="328">
        <f>AN317*AP317*32.8864</f>
        <v>17110.254138822736</v>
      </c>
    </row>
    <row r="318" spans="1:43">
      <c r="A318" s="341" t="s">
        <v>184</v>
      </c>
      <c r="B318" s="323">
        <v>15.9</v>
      </c>
      <c r="C318" s="323">
        <v>1100</v>
      </c>
      <c r="D318" s="323">
        <v>1220</v>
      </c>
      <c r="E318" s="323">
        <v>72</v>
      </c>
      <c r="F318" s="345" t="s">
        <v>194</v>
      </c>
      <c r="G318" s="335">
        <v>45937</v>
      </c>
      <c r="H318" s="323"/>
      <c r="I318" s="323"/>
      <c r="J318" s="323"/>
      <c r="K318" s="323"/>
      <c r="L318" s="323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  <c r="AA318" s="323"/>
      <c r="AB318" s="323">
        <v>19</v>
      </c>
      <c r="AC318" s="323"/>
      <c r="AD318" s="323"/>
      <c r="AE318" s="323"/>
      <c r="AF318" s="323"/>
      <c r="AG318" s="323"/>
      <c r="AH318" s="323"/>
      <c r="AI318" s="323"/>
      <c r="AJ318" s="323"/>
      <c r="AK318" s="323"/>
      <c r="AL318" s="323"/>
      <c r="AM318" s="326">
        <f t="shared" si="23"/>
        <v>53</v>
      </c>
      <c r="AN318" s="327">
        <f t="shared" si="20"/>
        <v>1.1309034</v>
      </c>
      <c r="AO318" s="323"/>
      <c r="AP318" s="323">
        <v>735</v>
      </c>
      <c r="AQ318" s="328">
        <f>AN318*AP318*32.7241</f>
        <v>27200.7300246759</v>
      </c>
    </row>
    <row r="319" spans="1:43">
      <c r="A319" s="341" t="s">
        <v>184</v>
      </c>
      <c r="B319" s="323">
        <v>15.9</v>
      </c>
      <c r="C319" s="323">
        <v>1100</v>
      </c>
      <c r="D319" s="323">
        <v>1220</v>
      </c>
      <c r="E319" s="323">
        <v>44</v>
      </c>
      <c r="F319" s="345" t="s">
        <v>194</v>
      </c>
      <c r="G319" s="335">
        <v>45937</v>
      </c>
      <c r="H319" s="323"/>
      <c r="I319" s="323"/>
      <c r="J319" s="323"/>
      <c r="K319" s="323"/>
      <c r="L319" s="323">
        <v>13</v>
      </c>
      <c r="M319" s="323"/>
      <c r="N319" s="323"/>
      <c r="O319" s="323"/>
      <c r="P319" s="323"/>
      <c r="Q319" s="323">
        <v>13</v>
      </c>
      <c r="R319" s="323"/>
      <c r="S319" s="323"/>
      <c r="T319" s="323"/>
      <c r="U319" s="323"/>
      <c r="V319" s="323"/>
      <c r="W319" s="323"/>
      <c r="X319" s="323"/>
      <c r="Y319" s="323">
        <v>12</v>
      </c>
      <c r="Z319" s="323"/>
      <c r="AA319" s="323"/>
      <c r="AB319" s="323"/>
      <c r="AC319" s="323"/>
      <c r="AD319" s="323"/>
      <c r="AE319" s="323"/>
      <c r="AF319" s="323"/>
      <c r="AG319" s="323"/>
      <c r="AH319" s="323"/>
      <c r="AI319" s="323"/>
      <c r="AJ319" s="323"/>
      <c r="AK319" s="323"/>
      <c r="AL319" s="323"/>
      <c r="AM319" s="326">
        <f t="shared" si="23"/>
        <v>6</v>
      </c>
      <c r="AN319" s="327">
        <f t="shared" si="20"/>
        <v>0.1280268</v>
      </c>
      <c r="AO319" s="323"/>
      <c r="AP319" s="323">
        <v>735</v>
      </c>
      <c r="AQ319" s="328">
        <f>AN319*AP319*32.7241</f>
        <v>3079.3279273218</v>
      </c>
    </row>
    <row r="320" spans="1:43">
      <c r="A320" s="341" t="s">
        <v>184</v>
      </c>
      <c r="B320" s="323">
        <v>12.7</v>
      </c>
      <c r="C320" s="323">
        <v>203.2</v>
      </c>
      <c r="D320" s="323">
        <v>1524</v>
      </c>
      <c r="E320" s="323">
        <v>465</v>
      </c>
      <c r="F320" s="333" t="s">
        <v>159</v>
      </c>
      <c r="G320" s="335">
        <v>46057</v>
      </c>
      <c r="H320" s="323"/>
      <c r="I320" s="323"/>
      <c r="J320" s="323"/>
      <c r="K320" s="323"/>
      <c r="L320" s="323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  <c r="AA320" s="323"/>
      <c r="AB320" s="323"/>
      <c r="AC320" s="323"/>
      <c r="AD320" s="323"/>
      <c r="AE320" s="323"/>
      <c r="AF320" s="323"/>
      <c r="AG320" s="323"/>
      <c r="AH320" s="323"/>
      <c r="AI320" s="323"/>
      <c r="AJ320" s="323"/>
      <c r="AK320" s="323"/>
      <c r="AL320" s="323"/>
      <c r="AM320" s="326">
        <f t="shared" si="23"/>
        <v>465</v>
      </c>
      <c r="AN320" s="327">
        <f t="shared" si="20"/>
        <v>1.8287963423999998</v>
      </c>
      <c r="AO320" s="323"/>
      <c r="AP320" s="323">
        <v>750</v>
      </c>
      <c r="AQ320" s="328">
        <f>AN320*AP320*31.4666</f>
        <v>43159.502240822869</v>
      </c>
    </row>
    <row r="321" spans="1:43">
      <c r="A321" s="341" t="s">
        <v>184</v>
      </c>
      <c r="B321" s="323">
        <v>12.7</v>
      </c>
      <c r="C321" s="323">
        <v>203.2</v>
      </c>
      <c r="D321" s="323">
        <v>1524</v>
      </c>
      <c r="E321" s="323">
        <v>465</v>
      </c>
      <c r="F321" s="333" t="s">
        <v>159</v>
      </c>
      <c r="G321" s="335">
        <v>46057</v>
      </c>
      <c r="H321" s="323"/>
      <c r="I321" s="323"/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  <c r="AA321" s="323"/>
      <c r="AB321" s="323"/>
      <c r="AC321" s="323"/>
      <c r="AD321" s="323"/>
      <c r="AE321" s="323"/>
      <c r="AF321" s="323"/>
      <c r="AG321" s="323"/>
      <c r="AH321" s="323"/>
      <c r="AI321" s="323"/>
      <c r="AJ321" s="323"/>
      <c r="AK321" s="323"/>
      <c r="AL321" s="323"/>
      <c r="AM321" s="326">
        <f t="shared" si="23"/>
        <v>465</v>
      </c>
      <c r="AN321" s="327">
        <f t="shared" si="20"/>
        <v>1.8287963423999998</v>
      </c>
      <c r="AO321" s="323"/>
      <c r="AP321" s="323">
        <v>750</v>
      </c>
      <c r="AQ321" s="328">
        <f>AN321*AP321*31.4666</f>
        <v>43159.502240822869</v>
      </c>
    </row>
    <row r="322" spans="1:43">
      <c r="A322" s="341" t="s">
        <v>184</v>
      </c>
      <c r="B322" s="323">
        <v>12.7</v>
      </c>
      <c r="C322" s="323">
        <v>203.2</v>
      </c>
      <c r="D322" s="323">
        <v>1524</v>
      </c>
      <c r="E322" s="323">
        <v>465</v>
      </c>
      <c r="F322" s="333" t="s">
        <v>159</v>
      </c>
      <c r="G322" s="335">
        <v>46057</v>
      </c>
      <c r="H322" s="323"/>
      <c r="I322" s="323"/>
      <c r="J322" s="323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  <c r="AA322" s="323"/>
      <c r="AB322" s="323"/>
      <c r="AC322" s="323"/>
      <c r="AD322" s="323"/>
      <c r="AE322" s="323"/>
      <c r="AF322" s="323"/>
      <c r="AG322" s="323"/>
      <c r="AH322" s="323"/>
      <c r="AI322" s="323"/>
      <c r="AJ322" s="323"/>
      <c r="AK322" s="323"/>
      <c r="AL322" s="323"/>
      <c r="AM322" s="326">
        <f t="shared" si="23"/>
        <v>465</v>
      </c>
      <c r="AN322" s="327">
        <f t="shared" si="20"/>
        <v>1.8287963423999998</v>
      </c>
      <c r="AO322" s="323"/>
      <c r="AP322" s="323">
        <v>750</v>
      </c>
      <c r="AQ322" s="328">
        <f>AN322*AP322*31.4666</f>
        <v>43159.502240822869</v>
      </c>
    </row>
    <row r="323" spans="1:43">
      <c r="A323" s="341" t="s">
        <v>184</v>
      </c>
      <c r="B323" s="323">
        <v>12.7</v>
      </c>
      <c r="C323" s="323">
        <v>203.2</v>
      </c>
      <c r="D323" s="323">
        <v>1524</v>
      </c>
      <c r="E323" s="323">
        <v>335</v>
      </c>
      <c r="F323" s="333" t="s">
        <v>159</v>
      </c>
      <c r="G323" s="335">
        <v>46057</v>
      </c>
      <c r="H323" s="323"/>
      <c r="I323" s="323"/>
      <c r="J323" s="323"/>
      <c r="K323" s="323"/>
      <c r="L323" s="323"/>
      <c r="M323" s="323">
        <v>62</v>
      </c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  <c r="AA323" s="323"/>
      <c r="AB323" s="323"/>
      <c r="AC323" s="323"/>
      <c r="AD323" s="323"/>
      <c r="AE323" s="323"/>
      <c r="AF323" s="323"/>
      <c r="AG323" s="323"/>
      <c r="AH323" s="323"/>
      <c r="AI323" s="323"/>
      <c r="AJ323" s="323"/>
      <c r="AK323" s="323"/>
      <c r="AL323" s="323"/>
      <c r="AM323" s="326">
        <f t="shared" si="23"/>
        <v>273</v>
      </c>
      <c r="AN323" s="327">
        <f t="shared" ref="AN323:AN386" si="26">B323*C323*D323*AM323/1000000000</f>
        <v>1.0736804332800001</v>
      </c>
      <c r="AO323" s="323"/>
      <c r="AP323" s="323">
        <v>750</v>
      </c>
      <c r="AQ323" s="328">
        <f>AN323*AP323*31.4666</f>
        <v>25338.804541386336</v>
      </c>
    </row>
    <row r="324" spans="1:43">
      <c r="A324" s="341" t="s">
        <v>184</v>
      </c>
      <c r="B324" s="323">
        <v>12.7</v>
      </c>
      <c r="C324" s="323">
        <v>1100</v>
      </c>
      <c r="D324" s="323">
        <v>1524</v>
      </c>
      <c r="E324" s="323">
        <v>86</v>
      </c>
      <c r="F324" s="333" t="s">
        <v>159</v>
      </c>
      <c r="G324" s="335">
        <v>46057</v>
      </c>
      <c r="H324" s="323"/>
      <c r="I324" s="323"/>
      <c r="J324" s="323"/>
      <c r="K324" s="323"/>
      <c r="L324" s="323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  <c r="AA324" s="323"/>
      <c r="AB324" s="323"/>
      <c r="AC324" s="323"/>
      <c r="AD324" s="323"/>
      <c r="AE324" s="323"/>
      <c r="AF324" s="323"/>
      <c r="AG324" s="323"/>
      <c r="AH324" s="323"/>
      <c r="AI324" s="323"/>
      <c r="AJ324" s="323"/>
      <c r="AK324" s="323"/>
      <c r="AL324" s="323"/>
      <c r="AM324" s="326">
        <f t="shared" si="23"/>
        <v>86</v>
      </c>
      <c r="AN324" s="327">
        <f t="shared" si="26"/>
        <v>1.83096408</v>
      </c>
      <c r="AO324" s="323"/>
      <c r="AP324" s="323">
        <v>750</v>
      </c>
      <c r="AQ324" s="328">
        <f>AN324*AP324*31.4666</f>
        <v>43210.660739796003</v>
      </c>
    </row>
    <row r="325" spans="1:43">
      <c r="A325" s="341" t="s">
        <v>184</v>
      </c>
      <c r="B325" s="323">
        <v>15.9</v>
      </c>
      <c r="C325" s="323">
        <v>1100</v>
      </c>
      <c r="D325" s="323">
        <v>445</v>
      </c>
      <c r="E325" s="323">
        <v>100</v>
      </c>
      <c r="F325" s="333" t="s">
        <v>198</v>
      </c>
      <c r="G325" s="335">
        <v>46204</v>
      </c>
      <c r="H325" s="323"/>
      <c r="I325" s="323"/>
      <c r="J325" s="323"/>
      <c r="K325" s="323"/>
      <c r="L325" s="323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  <c r="AA325" s="323"/>
      <c r="AB325" s="323"/>
      <c r="AC325" s="323"/>
      <c r="AD325" s="323"/>
      <c r="AE325" s="323"/>
      <c r="AF325" s="323"/>
      <c r="AG325" s="323"/>
      <c r="AH325" s="323"/>
      <c r="AI325" s="323"/>
      <c r="AJ325" s="323"/>
      <c r="AK325" s="323"/>
      <c r="AL325" s="323"/>
      <c r="AM325" s="326">
        <f t="shared" si="23"/>
        <v>100</v>
      </c>
      <c r="AN325" s="327">
        <f t="shared" si="26"/>
        <v>0.77830500000000002</v>
      </c>
      <c r="AO325" s="323"/>
      <c r="AP325" s="323">
        <v>711.55920000000003</v>
      </c>
      <c r="AQ325" s="328">
        <f t="shared" ref="AQ325:AQ359" si="27">AN325*AP325*32.7768</f>
        <v>18152.122333587584</v>
      </c>
    </row>
    <row r="326" spans="1:43">
      <c r="A326" s="341" t="s">
        <v>184</v>
      </c>
      <c r="B326" s="323">
        <v>15.9</v>
      </c>
      <c r="C326" s="323">
        <v>1100</v>
      </c>
      <c r="D326" s="323">
        <v>445</v>
      </c>
      <c r="E326" s="323">
        <v>50</v>
      </c>
      <c r="F326" s="333" t="s">
        <v>198</v>
      </c>
      <c r="G326" s="335">
        <v>46204</v>
      </c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6">
        <f t="shared" si="23"/>
        <v>50</v>
      </c>
      <c r="AN326" s="327">
        <f t="shared" si="26"/>
        <v>0.38915250000000001</v>
      </c>
      <c r="AO326" s="323"/>
      <c r="AP326" s="323">
        <v>711.55920000000003</v>
      </c>
      <c r="AQ326" s="328">
        <f t="shared" si="27"/>
        <v>9076.0611667937919</v>
      </c>
    </row>
    <row r="327" spans="1:43">
      <c r="A327" s="341" t="s">
        <v>184</v>
      </c>
      <c r="B327" s="323">
        <v>15.9</v>
      </c>
      <c r="C327" s="323">
        <v>1100</v>
      </c>
      <c r="D327" s="323">
        <v>521</v>
      </c>
      <c r="E327" s="323">
        <v>134</v>
      </c>
      <c r="F327" s="333" t="s">
        <v>198</v>
      </c>
      <c r="G327" s="335">
        <v>46204</v>
      </c>
      <c r="H327" s="323"/>
      <c r="I327" s="323"/>
      <c r="J327" s="323"/>
      <c r="K327" s="323"/>
      <c r="L327" s="323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  <c r="AA327" s="323"/>
      <c r="AB327" s="323"/>
      <c r="AC327" s="323"/>
      <c r="AD327" s="323"/>
      <c r="AE327" s="323"/>
      <c r="AF327" s="323"/>
      <c r="AG327" s="323"/>
      <c r="AH327" s="323"/>
      <c r="AI327" s="323"/>
      <c r="AJ327" s="323"/>
      <c r="AK327" s="323"/>
      <c r="AL327" s="323"/>
      <c r="AM327" s="326">
        <f t="shared" si="23"/>
        <v>134</v>
      </c>
      <c r="AN327" s="327">
        <f t="shared" si="26"/>
        <v>1.22104686</v>
      </c>
      <c r="AO327" s="323"/>
      <c r="AP327" s="323">
        <v>711.55920000000003</v>
      </c>
      <c r="AQ327" s="328">
        <f t="shared" si="27"/>
        <v>28478.02850779963</v>
      </c>
    </row>
    <row r="328" spans="1:43">
      <c r="A328" s="341" t="s">
        <v>184</v>
      </c>
      <c r="B328" s="323">
        <v>15.9</v>
      </c>
      <c r="C328" s="323">
        <v>1100</v>
      </c>
      <c r="D328" s="323">
        <v>521</v>
      </c>
      <c r="E328" s="323">
        <v>104</v>
      </c>
      <c r="F328" s="333" t="s">
        <v>198</v>
      </c>
      <c r="G328" s="335">
        <v>46204</v>
      </c>
      <c r="H328" s="323"/>
      <c r="I328" s="323"/>
      <c r="J328" s="323"/>
      <c r="K328" s="323"/>
      <c r="L328" s="323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  <c r="AA328" s="323"/>
      <c r="AB328" s="323"/>
      <c r="AC328" s="323"/>
      <c r="AD328" s="323"/>
      <c r="AE328" s="323"/>
      <c r="AF328" s="323"/>
      <c r="AG328" s="323"/>
      <c r="AH328" s="323"/>
      <c r="AI328" s="323"/>
      <c r="AJ328" s="323"/>
      <c r="AK328" s="323"/>
      <c r="AL328" s="323"/>
      <c r="AM328" s="326">
        <f t="shared" si="23"/>
        <v>104</v>
      </c>
      <c r="AN328" s="327">
        <f t="shared" si="26"/>
        <v>0.94767816000000005</v>
      </c>
      <c r="AO328" s="323"/>
      <c r="AP328" s="323">
        <v>711.55920000000003</v>
      </c>
      <c r="AQ328" s="328">
        <f t="shared" si="27"/>
        <v>22102.350483665385</v>
      </c>
    </row>
    <row r="329" spans="1:43">
      <c r="A329" s="341" t="s">
        <v>184</v>
      </c>
      <c r="B329" s="323">
        <v>15.9</v>
      </c>
      <c r="C329" s="323">
        <v>1100</v>
      </c>
      <c r="D329" s="323">
        <v>520</v>
      </c>
      <c r="E329" s="323">
        <v>30</v>
      </c>
      <c r="F329" s="333" t="s">
        <v>198</v>
      </c>
      <c r="G329" s="335">
        <v>46204</v>
      </c>
      <c r="H329" s="323"/>
      <c r="I329" s="323"/>
      <c r="J329" s="323"/>
      <c r="K329" s="323"/>
      <c r="L329" s="323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  <c r="AA329" s="323"/>
      <c r="AB329" s="323"/>
      <c r="AC329" s="323"/>
      <c r="AD329" s="323"/>
      <c r="AE329" s="323"/>
      <c r="AF329" s="323"/>
      <c r="AG329" s="323"/>
      <c r="AH329" s="323"/>
      <c r="AI329" s="323"/>
      <c r="AJ329" s="323"/>
      <c r="AK329" s="323"/>
      <c r="AL329" s="323"/>
      <c r="AM329" s="326">
        <f t="shared" si="23"/>
        <v>30</v>
      </c>
      <c r="AN329" s="327">
        <f t="shared" si="26"/>
        <v>0.27284399999999998</v>
      </c>
      <c r="AO329" s="323"/>
      <c r="AP329" s="323">
        <v>711.55920000000003</v>
      </c>
      <c r="AQ329" s="328">
        <f t="shared" si="27"/>
        <v>6363.4406382913767</v>
      </c>
    </row>
    <row r="330" spans="1:43">
      <c r="A330" s="341" t="s">
        <v>184</v>
      </c>
      <c r="B330" s="323">
        <v>15.9</v>
      </c>
      <c r="C330" s="323">
        <v>1100</v>
      </c>
      <c r="D330" s="323">
        <v>520</v>
      </c>
      <c r="E330" s="323">
        <v>33</v>
      </c>
      <c r="F330" s="333" t="s">
        <v>198</v>
      </c>
      <c r="G330" s="335">
        <v>46204</v>
      </c>
      <c r="H330" s="323"/>
      <c r="I330" s="323"/>
      <c r="J330" s="323"/>
      <c r="K330" s="323"/>
      <c r="L330" s="323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  <c r="AA330" s="323"/>
      <c r="AB330" s="323"/>
      <c r="AC330" s="323"/>
      <c r="AD330" s="323"/>
      <c r="AE330" s="323"/>
      <c r="AF330" s="323"/>
      <c r="AG330" s="323"/>
      <c r="AH330" s="323"/>
      <c r="AI330" s="323"/>
      <c r="AJ330" s="323"/>
      <c r="AK330" s="323"/>
      <c r="AL330" s="323"/>
      <c r="AM330" s="326">
        <f t="shared" si="23"/>
        <v>33</v>
      </c>
      <c r="AN330" s="327">
        <f t="shared" si="26"/>
        <v>0.30012840000000002</v>
      </c>
      <c r="AO330" s="323"/>
      <c r="AP330" s="323">
        <v>711.55920000000003</v>
      </c>
      <c r="AQ330" s="328">
        <f t="shared" si="27"/>
        <v>6999.7847021205152</v>
      </c>
    </row>
    <row r="331" spans="1:43">
      <c r="A331" s="341" t="s">
        <v>184</v>
      </c>
      <c r="B331" s="323">
        <v>15.9</v>
      </c>
      <c r="C331" s="323">
        <v>1100</v>
      </c>
      <c r="D331" s="323">
        <v>371</v>
      </c>
      <c r="E331" s="323">
        <v>70</v>
      </c>
      <c r="F331" s="333" t="s">
        <v>198</v>
      </c>
      <c r="G331" s="335">
        <v>46204</v>
      </c>
      <c r="H331" s="323"/>
      <c r="I331" s="323"/>
      <c r="J331" s="323"/>
      <c r="K331" s="323"/>
      <c r="L331" s="323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  <c r="AA331" s="323"/>
      <c r="AB331" s="323"/>
      <c r="AC331" s="323"/>
      <c r="AD331" s="323"/>
      <c r="AE331" s="323"/>
      <c r="AF331" s="323"/>
      <c r="AG331" s="323"/>
      <c r="AH331" s="323"/>
      <c r="AI331" s="323"/>
      <c r="AJ331" s="323"/>
      <c r="AK331" s="323"/>
      <c r="AL331" s="323"/>
      <c r="AM331" s="326">
        <f t="shared" si="23"/>
        <v>70</v>
      </c>
      <c r="AN331" s="327">
        <f t="shared" si="26"/>
        <v>0.45421529999999999</v>
      </c>
      <c r="AO331" s="323"/>
      <c r="AP331" s="323">
        <v>711.55920000000003</v>
      </c>
      <c r="AQ331" s="328">
        <f t="shared" si="27"/>
        <v>10593.497011309426</v>
      </c>
    </row>
    <row r="332" spans="1:43">
      <c r="A332" s="341" t="s">
        <v>184</v>
      </c>
      <c r="B332" s="323">
        <v>15.9</v>
      </c>
      <c r="C332" s="323">
        <v>1100</v>
      </c>
      <c r="D332" s="323">
        <v>521</v>
      </c>
      <c r="E332" s="323">
        <v>134</v>
      </c>
      <c r="F332" s="333" t="s">
        <v>198</v>
      </c>
      <c r="G332" s="335">
        <v>46204</v>
      </c>
      <c r="H332" s="323"/>
      <c r="I332" s="323"/>
      <c r="J332" s="323"/>
      <c r="K332" s="323"/>
      <c r="L332" s="323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  <c r="AA332" s="323"/>
      <c r="AB332" s="323"/>
      <c r="AC332" s="323"/>
      <c r="AD332" s="323"/>
      <c r="AE332" s="323"/>
      <c r="AF332" s="323"/>
      <c r="AG332" s="323"/>
      <c r="AH332" s="323"/>
      <c r="AI332" s="323"/>
      <c r="AJ332" s="323"/>
      <c r="AK332" s="323"/>
      <c r="AL332" s="323"/>
      <c r="AM332" s="326">
        <f t="shared" si="23"/>
        <v>134</v>
      </c>
      <c r="AN332" s="327">
        <f t="shared" si="26"/>
        <v>1.22104686</v>
      </c>
      <c r="AO332" s="323"/>
      <c r="AP332" s="323">
        <v>711.55920000000003</v>
      </c>
      <c r="AQ332" s="328">
        <f t="shared" si="27"/>
        <v>28478.02850779963</v>
      </c>
    </row>
    <row r="333" spans="1:43">
      <c r="A333" s="341" t="s">
        <v>184</v>
      </c>
      <c r="B333" s="323">
        <v>15.9</v>
      </c>
      <c r="C333" s="323">
        <v>1100</v>
      </c>
      <c r="D333" s="323">
        <v>521</v>
      </c>
      <c r="E333" s="323">
        <v>134</v>
      </c>
      <c r="F333" s="333" t="s">
        <v>198</v>
      </c>
      <c r="G333" s="335">
        <v>46204</v>
      </c>
      <c r="H333" s="323"/>
      <c r="I333" s="323"/>
      <c r="J333" s="323"/>
      <c r="K333" s="323"/>
      <c r="L333" s="323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  <c r="AA333" s="323"/>
      <c r="AB333" s="323"/>
      <c r="AC333" s="323"/>
      <c r="AD333" s="323"/>
      <c r="AE333" s="323"/>
      <c r="AF333" s="323"/>
      <c r="AG333" s="323"/>
      <c r="AH333" s="323"/>
      <c r="AI333" s="323"/>
      <c r="AJ333" s="323"/>
      <c r="AK333" s="323"/>
      <c r="AL333" s="323"/>
      <c r="AM333" s="326">
        <f t="shared" si="23"/>
        <v>134</v>
      </c>
      <c r="AN333" s="327">
        <f t="shared" si="26"/>
        <v>1.22104686</v>
      </c>
      <c r="AO333" s="323"/>
      <c r="AP333" s="323">
        <v>711.55920000000003</v>
      </c>
      <c r="AQ333" s="328">
        <f t="shared" si="27"/>
        <v>28478.02850779963</v>
      </c>
    </row>
    <row r="334" spans="1:43">
      <c r="A334" s="341" t="s">
        <v>184</v>
      </c>
      <c r="B334" s="323">
        <v>15.9</v>
      </c>
      <c r="C334" s="323">
        <v>1100</v>
      </c>
      <c r="D334" s="323">
        <v>521</v>
      </c>
      <c r="E334" s="323">
        <v>134</v>
      </c>
      <c r="F334" s="333" t="s">
        <v>198</v>
      </c>
      <c r="G334" s="335">
        <v>46204</v>
      </c>
      <c r="H334" s="323"/>
      <c r="I334" s="323"/>
      <c r="J334" s="323"/>
      <c r="K334" s="323"/>
      <c r="L334" s="323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/>
      <c r="W334" s="323"/>
      <c r="X334" s="323"/>
      <c r="Y334" s="323"/>
      <c r="Z334" s="323"/>
      <c r="AA334" s="323"/>
      <c r="AB334" s="323"/>
      <c r="AC334" s="323"/>
      <c r="AD334" s="323"/>
      <c r="AE334" s="323"/>
      <c r="AF334" s="323"/>
      <c r="AG334" s="323"/>
      <c r="AH334" s="323"/>
      <c r="AI334" s="323"/>
      <c r="AJ334" s="323"/>
      <c r="AK334" s="323"/>
      <c r="AL334" s="323"/>
      <c r="AM334" s="326">
        <f t="shared" si="23"/>
        <v>134</v>
      </c>
      <c r="AN334" s="327">
        <f t="shared" si="26"/>
        <v>1.22104686</v>
      </c>
      <c r="AO334" s="323"/>
      <c r="AP334" s="323">
        <v>711.55920000000003</v>
      </c>
      <c r="AQ334" s="328">
        <f t="shared" si="27"/>
        <v>28478.02850779963</v>
      </c>
    </row>
    <row r="335" spans="1:43">
      <c r="A335" s="341" t="s">
        <v>184</v>
      </c>
      <c r="B335" s="323">
        <v>15.9</v>
      </c>
      <c r="C335" s="323">
        <v>1100</v>
      </c>
      <c r="D335" s="323">
        <v>520</v>
      </c>
      <c r="E335" s="323">
        <v>134</v>
      </c>
      <c r="F335" s="333" t="s">
        <v>198</v>
      </c>
      <c r="G335" s="335">
        <v>46204</v>
      </c>
      <c r="H335" s="323"/>
      <c r="I335" s="323"/>
      <c r="J335" s="323"/>
      <c r="K335" s="323"/>
      <c r="L335" s="323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  <c r="AA335" s="323"/>
      <c r="AB335" s="323"/>
      <c r="AC335" s="323"/>
      <c r="AD335" s="323"/>
      <c r="AE335" s="323"/>
      <c r="AF335" s="323"/>
      <c r="AG335" s="323"/>
      <c r="AH335" s="323"/>
      <c r="AI335" s="323"/>
      <c r="AJ335" s="323"/>
      <c r="AK335" s="323"/>
      <c r="AL335" s="323"/>
      <c r="AM335" s="326">
        <f t="shared" si="23"/>
        <v>134</v>
      </c>
      <c r="AN335" s="327">
        <f t="shared" si="26"/>
        <v>1.2187032</v>
      </c>
      <c r="AO335" s="323"/>
      <c r="AP335" s="323">
        <v>711.55920000000003</v>
      </c>
      <c r="AQ335" s="328">
        <f t="shared" si="27"/>
        <v>28423.368184368152</v>
      </c>
    </row>
    <row r="336" spans="1:43">
      <c r="A336" s="341" t="s">
        <v>184</v>
      </c>
      <c r="B336" s="323">
        <v>15.9</v>
      </c>
      <c r="C336" s="323">
        <v>1100</v>
      </c>
      <c r="D336" s="323">
        <v>521</v>
      </c>
      <c r="E336" s="323">
        <v>134</v>
      </c>
      <c r="F336" s="333" t="s">
        <v>198</v>
      </c>
      <c r="G336" s="335">
        <v>46204</v>
      </c>
      <c r="H336" s="323"/>
      <c r="I336" s="323"/>
      <c r="J336" s="323"/>
      <c r="K336" s="323"/>
      <c r="L336" s="323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  <c r="AA336" s="323"/>
      <c r="AB336" s="323"/>
      <c r="AC336" s="323"/>
      <c r="AD336" s="323"/>
      <c r="AE336" s="323"/>
      <c r="AF336" s="323"/>
      <c r="AG336" s="323"/>
      <c r="AH336" s="323"/>
      <c r="AI336" s="323"/>
      <c r="AJ336" s="323"/>
      <c r="AK336" s="323"/>
      <c r="AL336" s="323"/>
      <c r="AM336" s="326">
        <f t="shared" si="23"/>
        <v>134</v>
      </c>
      <c r="AN336" s="327">
        <f t="shared" si="26"/>
        <v>1.22104686</v>
      </c>
      <c r="AO336" s="323"/>
      <c r="AP336" s="323">
        <v>711.55920000000003</v>
      </c>
      <c r="AQ336" s="328">
        <f t="shared" si="27"/>
        <v>28478.02850779963</v>
      </c>
    </row>
    <row r="337" spans="1:43">
      <c r="A337" s="341" t="s">
        <v>184</v>
      </c>
      <c r="B337" s="323">
        <v>15.9</v>
      </c>
      <c r="C337" s="323">
        <v>1100</v>
      </c>
      <c r="D337" s="323">
        <v>520</v>
      </c>
      <c r="E337" s="323">
        <v>134</v>
      </c>
      <c r="F337" s="333" t="s">
        <v>198</v>
      </c>
      <c r="G337" s="335">
        <v>46204</v>
      </c>
      <c r="H337" s="323"/>
      <c r="I337" s="323"/>
      <c r="J337" s="323"/>
      <c r="K337" s="323"/>
      <c r="L337" s="323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  <c r="AA337" s="323"/>
      <c r="AB337" s="323"/>
      <c r="AC337" s="323"/>
      <c r="AD337" s="323"/>
      <c r="AE337" s="323"/>
      <c r="AF337" s="323"/>
      <c r="AG337" s="323"/>
      <c r="AH337" s="323"/>
      <c r="AI337" s="323"/>
      <c r="AJ337" s="323"/>
      <c r="AK337" s="323"/>
      <c r="AL337" s="323"/>
      <c r="AM337" s="326">
        <f t="shared" si="23"/>
        <v>134</v>
      </c>
      <c r="AN337" s="327">
        <f t="shared" si="26"/>
        <v>1.2187032</v>
      </c>
      <c r="AO337" s="323"/>
      <c r="AP337" s="323">
        <v>711.55920000000003</v>
      </c>
      <c r="AQ337" s="328">
        <f t="shared" si="27"/>
        <v>28423.368184368152</v>
      </c>
    </row>
    <row r="338" spans="1:43">
      <c r="A338" s="341" t="s">
        <v>184</v>
      </c>
      <c r="B338" s="323">
        <v>15.9</v>
      </c>
      <c r="C338" s="323">
        <v>1100</v>
      </c>
      <c r="D338" s="323">
        <v>521</v>
      </c>
      <c r="E338" s="323">
        <v>134</v>
      </c>
      <c r="F338" s="333" t="s">
        <v>198</v>
      </c>
      <c r="G338" s="335">
        <v>46204</v>
      </c>
      <c r="H338" s="323"/>
      <c r="I338" s="323"/>
      <c r="J338" s="323"/>
      <c r="K338" s="323"/>
      <c r="L338" s="323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  <c r="AA338" s="323"/>
      <c r="AB338" s="323"/>
      <c r="AC338" s="323"/>
      <c r="AD338" s="323"/>
      <c r="AE338" s="323"/>
      <c r="AF338" s="323"/>
      <c r="AG338" s="323"/>
      <c r="AH338" s="323"/>
      <c r="AI338" s="323"/>
      <c r="AJ338" s="323"/>
      <c r="AK338" s="323"/>
      <c r="AL338" s="323"/>
      <c r="AM338" s="326">
        <f t="shared" si="23"/>
        <v>134</v>
      </c>
      <c r="AN338" s="327">
        <f t="shared" si="26"/>
        <v>1.22104686</v>
      </c>
      <c r="AO338" s="323"/>
      <c r="AP338" s="323">
        <v>711.55920000000003</v>
      </c>
      <c r="AQ338" s="328">
        <f t="shared" si="27"/>
        <v>28478.02850779963</v>
      </c>
    </row>
    <row r="339" spans="1:43">
      <c r="A339" s="341" t="s">
        <v>184</v>
      </c>
      <c r="B339" s="323">
        <v>15.9</v>
      </c>
      <c r="C339" s="323">
        <v>1100</v>
      </c>
      <c r="D339" s="323">
        <v>445</v>
      </c>
      <c r="E339" s="323">
        <v>150</v>
      </c>
      <c r="F339" s="333" t="s">
        <v>198</v>
      </c>
      <c r="G339" s="335">
        <v>46204</v>
      </c>
      <c r="H339" s="323"/>
      <c r="I339" s="323"/>
      <c r="J339" s="323"/>
      <c r="K339" s="323"/>
      <c r="L339" s="323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  <c r="AA339" s="323"/>
      <c r="AB339" s="323"/>
      <c r="AC339" s="323"/>
      <c r="AD339" s="323"/>
      <c r="AE339" s="323"/>
      <c r="AF339" s="323"/>
      <c r="AG339" s="323"/>
      <c r="AH339" s="323"/>
      <c r="AI339" s="323"/>
      <c r="AJ339" s="323"/>
      <c r="AK339" s="323"/>
      <c r="AL339" s="323"/>
      <c r="AM339" s="326">
        <f t="shared" si="23"/>
        <v>150</v>
      </c>
      <c r="AN339" s="327">
        <f t="shared" si="26"/>
        <v>1.1674575</v>
      </c>
      <c r="AO339" s="323"/>
      <c r="AP339" s="323">
        <v>711.55920000000003</v>
      </c>
      <c r="AQ339" s="328">
        <f t="shared" si="27"/>
        <v>27228.183500381372</v>
      </c>
    </row>
    <row r="340" spans="1:43">
      <c r="A340" s="341" t="s">
        <v>184</v>
      </c>
      <c r="B340" s="323">
        <v>15.9</v>
      </c>
      <c r="C340" s="323">
        <v>1100</v>
      </c>
      <c r="D340" s="323">
        <v>445</v>
      </c>
      <c r="E340" s="323">
        <v>150</v>
      </c>
      <c r="F340" s="333" t="s">
        <v>198</v>
      </c>
      <c r="G340" s="335">
        <v>46204</v>
      </c>
      <c r="H340" s="323"/>
      <c r="I340" s="323"/>
      <c r="J340" s="323"/>
      <c r="K340" s="323"/>
      <c r="L340" s="323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  <c r="AA340" s="323"/>
      <c r="AB340" s="323"/>
      <c r="AC340" s="323"/>
      <c r="AD340" s="323"/>
      <c r="AE340" s="323"/>
      <c r="AF340" s="323"/>
      <c r="AG340" s="323"/>
      <c r="AH340" s="323"/>
      <c r="AI340" s="323"/>
      <c r="AJ340" s="323"/>
      <c r="AK340" s="323"/>
      <c r="AL340" s="323"/>
      <c r="AM340" s="326">
        <f t="shared" si="23"/>
        <v>150</v>
      </c>
      <c r="AN340" s="327">
        <f t="shared" si="26"/>
        <v>1.1674575</v>
      </c>
      <c r="AO340" s="323"/>
      <c r="AP340" s="323">
        <v>711.55920000000003</v>
      </c>
      <c r="AQ340" s="328">
        <f t="shared" si="27"/>
        <v>27228.183500381372</v>
      </c>
    </row>
    <row r="341" spans="1:43">
      <c r="A341" s="341" t="s">
        <v>184</v>
      </c>
      <c r="B341" s="323">
        <v>15.9</v>
      </c>
      <c r="C341" s="323">
        <v>1100</v>
      </c>
      <c r="D341" s="323">
        <v>520</v>
      </c>
      <c r="E341" s="323">
        <v>134</v>
      </c>
      <c r="F341" s="333" t="s">
        <v>198</v>
      </c>
      <c r="G341" s="335">
        <v>46204</v>
      </c>
      <c r="H341" s="323"/>
      <c r="I341" s="323"/>
      <c r="J341" s="323"/>
      <c r="K341" s="323"/>
      <c r="L341" s="323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  <c r="AA341" s="323"/>
      <c r="AB341" s="323"/>
      <c r="AC341" s="323"/>
      <c r="AD341" s="323"/>
      <c r="AE341" s="323"/>
      <c r="AF341" s="323"/>
      <c r="AG341" s="323"/>
      <c r="AH341" s="323"/>
      <c r="AI341" s="323"/>
      <c r="AJ341" s="323"/>
      <c r="AK341" s="323"/>
      <c r="AL341" s="323"/>
      <c r="AM341" s="326">
        <f t="shared" si="23"/>
        <v>134</v>
      </c>
      <c r="AN341" s="327">
        <f t="shared" si="26"/>
        <v>1.2187032</v>
      </c>
      <c r="AO341" s="323"/>
      <c r="AP341" s="323">
        <v>711.55920000000003</v>
      </c>
      <c r="AQ341" s="328">
        <f t="shared" si="27"/>
        <v>28423.368184368152</v>
      </c>
    </row>
    <row r="342" spans="1:43">
      <c r="A342" s="341" t="s">
        <v>184</v>
      </c>
      <c r="B342" s="323">
        <v>15.9</v>
      </c>
      <c r="C342" s="323">
        <v>1100</v>
      </c>
      <c r="D342" s="323">
        <v>521</v>
      </c>
      <c r="E342" s="323">
        <v>134</v>
      </c>
      <c r="F342" s="333" t="s">
        <v>198</v>
      </c>
      <c r="G342" s="335">
        <v>46204</v>
      </c>
      <c r="H342" s="323"/>
      <c r="I342" s="323"/>
      <c r="J342" s="323"/>
      <c r="K342" s="323"/>
      <c r="L342" s="323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  <c r="AA342" s="323"/>
      <c r="AB342" s="323"/>
      <c r="AC342" s="323"/>
      <c r="AD342" s="323"/>
      <c r="AE342" s="323"/>
      <c r="AF342" s="323"/>
      <c r="AG342" s="323"/>
      <c r="AH342" s="323"/>
      <c r="AI342" s="323"/>
      <c r="AJ342" s="323"/>
      <c r="AK342" s="323"/>
      <c r="AL342" s="323"/>
      <c r="AM342" s="326">
        <f t="shared" si="23"/>
        <v>134</v>
      </c>
      <c r="AN342" s="327">
        <f t="shared" si="26"/>
        <v>1.22104686</v>
      </c>
      <c r="AO342" s="323"/>
      <c r="AP342" s="323">
        <v>711.55920000000003</v>
      </c>
      <c r="AQ342" s="328">
        <f t="shared" si="27"/>
        <v>28478.02850779963</v>
      </c>
    </row>
    <row r="343" spans="1:43">
      <c r="A343" s="341" t="s">
        <v>184</v>
      </c>
      <c r="B343" s="323">
        <v>15.9</v>
      </c>
      <c r="C343" s="323">
        <v>1100</v>
      </c>
      <c r="D343" s="323">
        <v>521</v>
      </c>
      <c r="E343" s="323">
        <v>134</v>
      </c>
      <c r="F343" s="333" t="s">
        <v>198</v>
      </c>
      <c r="G343" s="335">
        <v>46204</v>
      </c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6">
        <f t="shared" si="23"/>
        <v>134</v>
      </c>
      <c r="AN343" s="327">
        <f t="shared" si="26"/>
        <v>1.22104686</v>
      </c>
      <c r="AO343" s="323"/>
      <c r="AP343" s="323">
        <v>711.55920000000003</v>
      </c>
      <c r="AQ343" s="328">
        <f t="shared" si="27"/>
        <v>28478.02850779963</v>
      </c>
    </row>
    <row r="344" spans="1:43">
      <c r="A344" s="341" t="s">
        <v>184</v>
      </c>
      <c r="B344" s="323">
        <v>15.9</v>
      </c>
      <c r="C344" s="323">
        <v>1100</v>
      </c>
      <c r="D344" s="323">
        <v>521</v>
      </c>
      <c r="E344" s="323">
        <v>134</v>
      </c>
      <c r="F344" s="333" t="s">
        <v>198</v>
      </c>
      <c r="G344" s="335">
        <v>46204</v>
      </c>
      <c r="H344" s="323"/>
      <c r="I344" s="323"/>
      <c r="J344" s="323"/>
      <c r="K344" s="323"/>
      <c r="L344" s="323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  <c r="AA344" s="323"/>
      <c r="AB344" s="323"/>
      <c r="AC344" s="323"/>
      <c r="AD344" s="323"/>
      <c r="AE344" s="323"/>
      <c r="AF344" s="323"/>
      <c r="AG344" s="323"/>
      <c r="AH344" s="323"/>
      <c r="AI344" s="323"/>
      <c r="AJ344" s="323"/>
      <c r="AK344" s="323"/>
      <c r="AL344" s="323"/>
      <c r="AM344" s="326">
        <f t="shared" si="23"/>
        <v>134</v>
      </c>
      <c r="AN344" s="327">
        <f t="shared" si="26"/>
        <v>1.22104686</v>
      </c>
      <c r="AO344" s="323"/>
      <c r="AP344" s="323">
        <v>711.55920000000003</v>
      </c>
      <c r="AQ344" s="328">
        <f t="shared" si="27"/>
        <v>28478.02850779963</v>
      </c>
    </row>
    <row r="345" spans="1:43">
      <c r="A345" s="341" t="s">
        <v>184</v>
      </c>
      <c r="B345" s="323">
        <v>15.9</v>
      </c>
      <c r="C345" s="323">
        <v>1100</v>
      </c>
      <c r="D345" s="323">
        <v>520</v>
      </c>
      <c r="E345" s="323">
        <v>134</v>
      </c>
      <c r="F345" s="333" t="s">
        <v>198</v>
      </c>
      <c r="G345" s="335">
        <v>46204</v>
      </c>
      <c r="H345" s="323"/>
      <c r="I345" s="323"/>
      <c r="J345" s="323"/>
      <c r="K345" s="323"/>
      <c r="L345" s="323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  <c r="AA345" s="323"/>
      <c r="AB345" s="323"/>
      <c r="AC345" s="323"/>
      <c r="AD345" s="323"/>
      <c r="AE345" s="323"/>
      <c r="AF345" s="323"/>
      <c r="AG345" s="323"/>
      <c r="AH345" s="323"/>
      <c r="AI345" s="323"/>
      <c r="AJ345" s="323"/>
      <c r="AK345" s="323"/>
      <c r="AL345" s="323"/>
      <c r="AM345" s="326">
        <f t="shared" si="23"/>
        <v>134</v>
      </c>
      <c r="AN345" s="327">
        <f t="shared" si="26"/>
        <v>1.2187032</v>
      </c>
      <c r="AO345" s="323"/>
      <c r="AP345" s="323">
        <v>711.55920000000003</v>
      </c>
      <c r="AQ345" s="328">
        <f t="shared" si="27"/>
        <v>28423.368184368152</v>
      </c>
    </row>
    <row r="346" spans="1:43">
      <c r="A346" s="341" t="s">
        <v>184</v>
      </c>
      <c r="B346" s="323">
        <v>15.9</v>
      </c>
      <c r="C346" s="323">
        <v>1100</v>
      </c>
      <c r="D346" s="323">
        <v>521</v>
      </c>
      <c r="E346" s="323">
        <v>130</v>
      </c>
      <c r="F346" s="333" t="s">
        <v>198</v>
      </c>
      <c r="G346" s="335">
        <v>46204</v>
      </c>
      <c r="H346" s="323"/>
      <c r="I346" s="323"/>
      <c r="J346" s="323"/>
      <c r="K346" s="323"/>
      <c r="L346" s="323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  <c r="AA346" s="323"/>
      <c r="AB346" s="323"/>
      <c r="AC346" s="323"/>
      <c r="AD346" s="323"/>
      <c r="AE346" s="323"/>
      <c r="AF346" s="323"/>
      <c r="AG346" s="323"/>
      <c r="AH346" s="323"/>
      <c r="AI346" s="323"/>
      <c r="AJ346" s="323"/>
      <c r="AK346" s="323"/>
      <c r="AL346" s="323"/>
      <c r="AM346" s="326">
        <f t="shared" si="23"/>
        <v>130</v>
      </c>
      <c r="AN346" s="327">
        <f t="shared" si="26"/>
        <v>1.1845977000000001</v>
      </c>
      <c r="AO346" s="323"/>
      <c r="AP346" s="323">
        <v>711.55920000000003</v>
      </c>
      <c r="AQ346" s="328">
        <f t="shared" si="27"/>
        <v>27627.938104581732</v>
      </c>
    </row>
    <row r="347" spans="1:43">
      <c r="A347" s="341" t="s">
        <v>184</v>
      </c>
      <c r="B347" s="323">
        <v>15.9</v>
      </c>
      <c r="C347" s="323">
        <v>1100</v>
      </c>
      <c r="D347" s="323">
        <v>445</v>
      </c>
      <c r="E347" s="323">
        <v>150</v>
      </c>
      <c r="F347" s="333" t="s">
        <v>198</v>
      </c>
      <c r="G347" s="335">
        <v>46204</v>
      </c>
      <c r="H347" s="323"/>
      <c r="I347" s="323"/>
      <c r="J347" s="323"/>
      <c r="K347" s="323"/>
      <c r="L347" s="323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  <c r="AA347" s="323"/>
      <c r="AB347" s="323"/>
      <c r="AC347" s="323"/>
      <c r="AD347" s="323"/>
      <c r="AE347" s="323"/>
      <c r="AF347" s="323"/>
      <c r="AG347" s="323"/>
      <c r="AH347" s="323"/>
      <c r="AI347" s="323"/>
      <c r="AJ347" s="323"/>
      <c r="AK347" s="323"/>
      <c r="AL347" s="323"/>
      <c r="AM347" s="326">
        <f t="shared" si="23"/>
        <v>150</v>
      </c>
      <c r="AN347" s="327">
        <f t="shared" si="26"/>
        <v>1.1674575</v>
      </c>
      <c r="AO347" s="323"/>
      <c r="AP347" s="323">
        <v>711.55920000000003</v>
      </c>
      <c r="AQ347" s="328">
        <f t="shared" si="27"/>
        <v>27228.183500381372</v>
      </c>
    </row>
    <row r="348" spans="1:43">
      <c r="A348" s="341" t="s">
        <v>184</v>
      </c>
      <c r="B348" s="323">
        <v>15.9</v>
      </c>
      <c r="C348" s="323">
        <v>1100</v>
      </c>
      <c r="D348" s="323">
        <v>520</v>
      </c>
      <c r="E348" s="323">
        <v>130</v>
      </c>
      <c r="F348" s="333" t="s">
        <v>198</v>
      </c>
      <c r="G348" s="335">
        <v>46204</v>
      </c>
      <c r="H348" s="323"/>
      <c r="I348" s="323"/>
      <c r="J348" s="323"/>
      <c r="K348" s="323"/>
      <c r="L348" s="323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  <c r="AA348" s="323"/>
      <c r="AB348" s="323"/>
      <c r="AC348" s="323"/>
      <c r="AD348" s="323"/>
      <c r="AE348" s="323"/>
      <c r="AF348" s="323"/>
      <c r="AG348" s="323"/>
      <c r="AH348" s="323"/>
      <c r="AI348" s="323"/>
      <c r="AJ348" s="323"/>
      <c r="AK348" s="323"/>
      <c r="AL348" s="323"/>
      <c r="AM348" s="326">
        <f t="shared" si="23"/>
        <v>130</v>
      </c>
      <c r="AN348" s="327">
        <f t="shared" si="26"/>
        <v>1.1823239999999999</v>
      </c>
      <c r="AO348" s="323"/>
      <c r="AP348" s="323">
        <v>711.55920000000003</v>
      </c>
      <c r="AQ348" s="328">
        <f t="shared" si="27"/>
        <v>27574.909432595967</v>
      </c>
    </row>
    <row r="349" spans="1:43">
      <c r="A349" s="341" t="s">
        <v>184</v>
      </c>
      <c r="B349" s="323">
        <v>15.9</v>
      </c>
      <c r="C349" s="323">
        <v>1100</v>
      </c>
      <c r="D349" s="323">
        <v>445</v>
      </c>
      <c r="E349" s="323">
        <v>150</v>
      </c>
      <c r="F349" s="333" t="s">
        <v>198</v>
      </c>
      <c r="G349" s="335">
        <v>46204</v>
      </c>
      <c r="H349" s="323"/>
      <c r="I349" s="323"/>
      <c r="J349" s="323"/>
      <c r="K349" s="323"/>
      <c r="L349" s="323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  <c r="AA349" s="323"/>
      <c r="AB349" s="323"/>
      <c r="AC349" s="323"/>
      <c r="AD349" s="323"/>
      <c r="AE349" s="323"/>
      <c r="AF349" s="323"/>
      <c r="AG349" s="323"/>
      <c r="AH349" s="323"/>
      <c r="AI349" s="323"/>
      <c r="AJ349" s="323"/>
      <c r="AK349" s="323"/>
      <c r="AL349" s="323"/>
      <c r="AM349" s="326">
        <f t="shared" si="23"/>
        <v>150</v>
      </c>
      <c r="AN349" s="327">
        <f t="shared" si="26"/>
        <v>1.1674575</v>
      </c>
      <c r="AO349" s="323"/>
      <c r="AP349" s="323">
        <v>711.55920000000003</v>
      </c>
      <c r="AQ349" s="328">
        <f t="shared" si="27"/>
        <v>27228.183500381372</v>
      </c>
    </row>
    <row r="350" spans="1:43">
      <c r="A350" s="341" t="s">
        <v>184</v>
      </c>
      <c r="B350" s="323">
        <v>15.9</v>
      </c>
      <c r="C350" s="323">
        <v>1100</v>
      </c>
      <c r="D350" s="323">
        <v>1219</v>
      </c>
      <c r="E350" s="323">
        <v>66</v>
      </c>
      <c r="F350" s="333" t="s">
        <v>198</v>
      </c>
      <c r="G350" s="335">
        <v>46204</v>
      </c>
      <c r="H350" s="323"/>
      <c r="I350" s="323"/>
      <c r="J350" s="323"/>
      <c r="K350" s="323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  <c r="AA350" s="323"/>
      <c r="AB350" s="323"/>
      <c r="AC350" s="323"/>
      <c r="AD350" s="323"/>
      <c r="AE350" s="323"/>
      <c r="AF350" s="323"/>
      <c r="AG350" s="323"/>
      <c r="AH350" s="323"/>
      <c r="AI350" s="323"/>
      <c r="AJ350" s="323"/>
      <c r="AK350" s="323"/>
      <c r="AL350" s="323"/>
      <c r="AM350" s="326">
        <f t="shared" si="23"/>
        <v>66</v>
      </c>
      <c r="AN350" s="327">
        <f t="shared" si="26"/>
        <v>1.4071404599999999</v>
      </c>
      <c r="AO350" s="323"/>
      <c r="AP350" s="323">
        <v>711.55920000000003</v>
      </c>
      <c r="AQ350" s="328">
        <f t="shared" si="27"/>
        <v>32818.221353403489</v>
      </c>
    </row>
    <row r="351" spans="1:43">
      <c r="A351" s="341" t="s">
        <v>184</v>
      </c>
      <c r="B351" s="323">
        <v>15.9</v>
      </c>
      <c r="C351" s="323">
        <v>1100</v>
      </c>
      <c r="D351" s="323">
        <v>1219</v>
      </c>
      <c r="E351" s="323">
        <v>66</v>
      </c>
      <c r="F351" s="333" t="s">
        <v>198</v>
      </c>
      <c r="G351" s="335">
        <v>46204</v>
      </c>
      <c r="H351" s="323"/>
      <c r="I351" s="323"/>
      <c r="J351" s="323"/>
      <c r="K351" s="323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  <c r="AA351" s="323"/>
      <c r="AB351" s="323"/>
      <c r="AC351" s="323"/>
      <c r="AD351" s="323"/>
      <c r="AE351" s="323"/>
      <c r="AF351" s="323"/>
      <c r="AG351" s="323"/>
      <c r="AH351" s="323"/>
      <c r="AI351" s="323"/>
      <c r="AJ351" s="323"/>
      <c r="AK351" s="323"/>
      <c r="AL351" s="323"/>
      <c r="AM351" s="326">
        <f t="shared" si="23"/>
        <v>66</v>
      </c>
      <c r="AN351" s="327">
        <f t="shared" si="26"/>
        <v>1.4071404599999999</v>
      </c>
      <c r="AO351" s="323"/>
      <c r="AP351" s="323">
        <v>711.55920000000003</v>
      </c>
      <c r="AQ351" s="328">
        <f t="shared" si="27"/>
        <v>32818.221353403489</v>
      </c>
    </row>
    <row r="352" spans="1:43">
      <c r="A352" s="341" t="s">
        <v>184</v>
      </c>
      <c r="B352" s="323">
        <v>15.9</v>
      </c>
      <c r="C352" s="323">
        <v>1100</v>
      </c>
      <c r="D352" s="323">
        <v>1219</v>
      </c>
      <c r="E352" s="323">
        <v>66</v>
      </c>
      <c r="F352" s="333" t="s">
        <v>198</v>
      </c>
      <c r="G352" s="335">
        <v>46204</v>
      </c>
      <c r="H352" s="323"/>
      <c r="I352" s="323"/>
      <c r="J352" s="323"/>
      <c r="K352" s="323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  <c r="AA352" s="323"/>
      <c r="AB352" s="323"/>
      <c r="AC352" s="323"/>
      <c r="AD352" s="323"/>
      <c r="AE352" s="323"/>
      <c r="AF352" s="323"/>
      <c r="AG352" s="323"/>
      <c r="AH352" s="323"/>
      <c r="AI352" s="323"/>
      <c r="AJ352" s="323"/>
      <c r="AK352" s="323"/>
      <c r="AL352" s="323"/>
      <c r="AM352" s="326">
        <f t="shared" si="23"/>
        <v>66</v>
      </c>
      <c r="AN352" s="327">
        <f t="shared" si="26"/>
        <v>1.4071404599999999</v>
      </c>
      <c r="AO352" s="323"/>
      <c r="AP352" s="323">
        <v>711.55920000000003</v>
      </c>
      <c r="AQ352" s="328">
        <f t="shared" si="27"/>
        <v>32818.221353403489</v>
      </c>
    </row>
    <row r="353" spans="1:43">
      <c r="A353" s="341" t="s">
        <v>184</v>
      </c>
      <c r="B353" s="323">
        <v>15.9</v>
      </c>
      <c r="C353" s="323">
        <v>1100</v>
      </c>
      <c r="D353" s="323">
        <v>1219</v>
      </c>
      <c r="E353" s="323">
        <v>66</v>
      </c>
      <c r="F353" s="333" t="s">
        <v>198</v>
      </c>
      <c r="G353" s="335">
        <v>46204</v>
      </c>
      <c r="H353" s="323"/>
      <c r="I353" s="323"/>
      <c r="J353" s="323"/>
      <c r="K353" s="323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  <c r="AA353" s="323"/>
      <c r="AB353" s="323"/>
      <c r="AC353" s="323"/>
      <c r="AD353" s="323"/>
      <c r="AE353" s="323"/>
      <c r="AF353" s="323"/>
      <c r="AG353" s="323"/>
      <c r="AH353" s="323"/>
      <c r="AI353" s="323"/>
      <c r="AJ353" s="323"/>
      <c r="AK353" s="323"/>
      <c r="AL353" s="323"/>
      <c r="AM353" s="326">
        <f t="shared" si="23"/>
        <v>66</v>
      </c>
      <c r="AN353" s="327">
        <f t="shared" si="26"/>
        <v>1.4071404599999999</v>
      </c>
      <c r="AO353" s="323"/>
      <c r="AP353" s="323">
        <v>711.55920000000003</v>
      </c>
      <c r="AQ353" s="328">
        <f t="shared" si="27"/>
        <v>32818.221353403489</v>
      </c>
    </row>
    <row r="354" spans="1:43">
      <c r="A354" s="341" t="s">
        <v>184</v>
      </c>
      <c r="B354" s="323">
        <v>15.9</v>
      </c>
      <c r="C354" s="323">
        <v>1100</v>
      </c>
      <c r="D354" s="323">
        <v>1219</v>
      </c>
      <c r="E354" s="323">
        <v>66</v>
      </c>
      <c r="F354" s="333" t="s">
        <v>198</v>
      </c>
      <c r="G354" s="335">
        <v>46204</v>
      </c>
      <c r="H354" s="323"/>
      <c r="I354" s="323"/>
      <c r="J354" s="323"/>
      <c r="K354" s="323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  <c r="AA354" s="323"/>
      <c r="AB354" s="323"/>
      <c r="AC354" s="323"/>
      <c r="AD354" s="323"/>
      <c r="AE354" s="323"/>
      <c r="AF354" s="323"/>
      <c r="AG354" s="323"/>
      <c r="AH354" s="323"/>
      <c r="AI354" s="323"/>
      <c r="AJ354" s="323"/>
      <c r="AK354" s="323"/>
      <c r="AL354" s="323"/>
      <c r="AM354" s="326">
        <f t="shared" si="23"/>
        <v>66</v>
      </c>
      <c r="AN354" s="327">
        <f t="shared" si="26"/>
        <v>1.4071404599999999</v>
      </c>
      <c r="AO354" s="323"/>
      <c r="AP354" s="323">
        <v>711.55920000000003</v>
      </c>
      <c r="AQ354" s="328">
        <f t="shared" si="27"/>
        <v>32818.221353403489</v>
      </c>
    </row>
    <row r="355" spans="1:43">
      <c r="A355" s="341" t="s">
        <v>184</v>
      </c>
      <c r="B355" s="323">
        <v>15.9</v>
      </c>
      <c r="C355" s="323">
        <v>1100</v>
      </c>
      <c r="D355" s="323">
        <v>1219</v>
      </c>
      <c r="E355" s="323">
        <v>66</v>
      </c>
      <c r="F355" s="333" t="s">
        <v>198</v>
      </c>
      <c r="G355" s="335">
        <v>46204</v>
      </c>
      <c r="H355" s="323"/>
      <c r="I355" s="323"/>
      <c r="J355" s="323"/>
      <c r="K355" s="323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  <c r="AA355" s="323"/>
      <c r="AB355" s="323"/>
      <c r="AC355" s="323"/>
      <c r="AD355" s="323"/>
      <c r="AE355" s="323"/>
      <c r="AF355" s="323"/>
      <c r="AG355" s="323"/>
      <c r="AH355" s="323"/>
      <c r="AI355" s="323"/>
      <c r="AJ355" s="323"/>
      <c r="AK355" s="323"/>
      <c r="AL355" s="323"/>
      <c r="AM355" s="326">
        <f t="shared" si="23"/>
        <v>66</v>
      </c>
      <c r="AN355" s="327">
        <f t="shared" si="26"/>
        <v>1.4071404599999999</v>
      </c>
      <c r="AO355" s="323"/>
      <c r="AP355" s="323">
        <v>711.55920000000003</v>
      </c>
      <c r="AQ355" s="328">
        <f t="shared" si="27"/>
        <v>32818.221353403489</v>
      </c>
    </row>
    <row r="356" spans="1:43">
      <c r="A356" s="341" t="s">
        <v>184</v>
      </c>
      <c r="B356" s="323">
        <v>15.9</v>
      </c>
      <c r="C356" s="323">
        <v>1100</v>
      </c>
      <c r="D356" s="323">
        <v>1219</v>
      </c>
      <c r="E356" s="323">
        <v>34</v>
      </c>
      <c r="F356" s="333" t="s">
        <v>198</v>
      </c>
      <c r="G356" s="335">
        <v>46204</v>
      </c>
      <c r="H356" s="323"/>
      <c r="I356" s="323"/>
      <c r="J356" s="323"/>
      <c r="K356" s="323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  <c r="AA356" s="323"/>
      <c r="AB356" s="323"/>
      <c r="AC356" s="323"/>
      <c r="AD356" s="323"/>
      <c r="AE356" s="323"/>
      <c r="AF356" s="323"/>
      <c r="AG356" s="323"/>
      <c r="AH356" s="323"/>
      <c r="AI356" s="323"/>
      <c r="AJ356" s="323"/>
      <c r="AK356" s="323"/>
      <c r="AL356" s="323"/>
      <c r="AM356" s="326">
        <f t="shared" si="23"/>
        <v>34</v>
      </c>
      <c r="AN356" s="327">
        <f t="shared" si="26"/>
        <v>0.72489053999999997</v>
      </c>
      <c r="AO356" s="323"/>
      <c r="AP356" s="323">
        <v>711.55920000000003</v>
      </c>
      <c r="AQ356" s="328">
        <f t="shared" si="27"/>
        <v>16906.356454783614</v>
      </c>
    </row>
    <row r="357" spans="1:43">
      <c r="A357" s="341" t="s">
        <v>184</v>
      </c>
      <c r="B357" s="323">
        <v>15.9</v>
      </c>
      <c r="C357" s="323">
        <v>1100</v>
      </c>
      <c r="D357" s="323">
        <v>1219</v>
      </c>
      <c r="E357" s="323">
        <v>32</v>
      </c>
      <c r="F357" s="333" t="s">
        <v>198</v>
      </c>
      <c r="G357" s="335">
        <v>46204</v>
      </c>
      <c r="H357" s="323"/>
      <c r="I357" s="323"/>
      <c r="J357" s="323"/>
      <c r="K357" s="323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  <c r="AA357" s="323"/>
      <c r="AB357" s="323"/>
      <c r="AC357" s="323"/>
      <c r="AD357" s="323"/>
      <c r="AE357" s="323"/>
      <c r="AF357" s="323"/>
      <c r="AG357" s="323"/>
      <c r="AH357" s="323"/>
      <c r="AI357" s="323"/>
      <c r="AJ357" s="323"/>
      <c r="AK357" s="323"/>
      <c r="AL357" s="323"/>
      <c r="AM357" s="326">
        <f t="shared" si="23"/>
        <v>32</v>
      </c>
      <c r="AN357" s="327">
        <f t="shared" si="26"/>
        <v>0.68224991999999995</v>
      </c>
      <c r="AO357" s="323"/>
      <c r="AP357" s="323">
        <v>711.55920000000003</v>
      </c>
      <c r="AQ357" s="328">
        <f t="shared" si="27"/>
        <v>15911.864898619873</v>
      </c>
    </row>
    <row r="358" spans="1:43">
      <c r="A358" s="341" t="s">
        <v>184</v>
      </c>
      <c r="B358" s="323">
        <v>15.9</v>
      </c>
      <c r="C358" s="323">
        <v>1100</v>
      </c>
      <c r="D358" s="323">
        <v>1219</v>
      </c>
      <c r="E358" s="323">
        <v>22</v>
      </c>
      <c r="F358" s="333" t="s">
        <v>198</v>
      </c>
      <c r="G358" s="335">
        <v>46204</v>
      </c>
      <c r="H358" s="323"/>
      <c r="I358" s="323"/>
      <c r="J358" s="323"/>
      <c r="K358" s="323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  <c r="AA358" s="323"/>
      <c r="AB358" s="323"/>
      <c r="AC358" s="323"/>
      <c r="AD358" s="323"/>
      <c r="AE358" s="323"/>
      <c r="AF358" s="323"/>
      <c r="AG358" s="323"/>
      <c r="AH358" s="323"/>
      <c r="AI358" s="323"/>
      <c r="AJ358" s="323"/>
      <c r="AK358" s="323"/>
      <c r="AL358" s="323"/>
      <c r="AM358" s="326">
        <f t="shared" si="23"/>
        <v>22</v>
      </c>
      <c r="AN358" s="327">
        <f t="shared" si="26"/>
        <v>0.46904681999999998</v>
      </c>
      <c r="AO358" s="323"/>
      <c r="AP358" s="323">
        <v>711.55920000000003</v>
      </c>
      <c r="AQ358" s="328">
        <f t="shared" si="27"/>
        <v>10939.407117801164</v>
      </c>
    </row>
    <row r="359" spans="1:43">
      <c r="A359" s="341" t="s">
        <v>184</v>
      </c>
      <c r="B359" s="323">
        <v>15.9</v>
      </c>
      <c r="C359" s="323">
        <v>1100</v>
      </c>
      <c r="D359" s="323">
        <v>371</v>
      </c>
      <c r="E359" s="323">
        <v>130</v>
      </c>
      <c r="F359" s="333" t="s">
        <v>198</v>
      </c>
      <c r="G359" s="335">
        <v>46204</v>
      </c>
      <c r="H359" s="323"/>
      <c r="I359" s="323"/>
      <c r="J359" s="323"/>
      <c r="K359" s="323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  <c r="AA359" s="323"/>
      <c r="AB359" s="323"/>
      <c r="AC359" s="323"/>
      <c r="AD359" s="323"/>
      <c r="AE359" s="323"/>
      <c r="AF359" s="323"/>
      <c r="AG359" s="323"/>
      <c r="AH359" s="323"/>
      <c r="AI359" s="323"/>
      <c r="AJ359" s="323"/>
      <c r="AK359" s="323"/>
      <c r="AL359" s="323"/>
      <c r="AM359" s="326">
        <f t="shared" ref="AM359:AM422" si="28">E359-H359-I359-J359-K359-L359-M359-N359-O359-P359-Q359-R359-S359-T359-U359-V359-W359-X359-Y359-Z359-AA359-AB359-AC359-AD359-AE359-AF359-AG359-AH359-AI359-AJ359-AK359-AL359</f>
        <v>130</v>
      </c>
      <c r="AN359" s="327">
        <f t="shared" si="26"/>
        <v>0.84354269999999998</v>
      </c>
      <c r="AO359" s="323"/>
      <c r="AP359" s="323">
        <v>711.55920000000003</v>
      </c>
      <c r="AQ359" s="328">
        <f t="shared" si="27"/>
        <v>19673.637306717508</v>
      </c>
    </row>
    <row r="360" spans="1:43">
      <c r="A360" s="341" t="s">
        <v>184</v>
      </c>
      <c r="B360" s="323">
        <v>15.9</v>
      </c>
      <c r="C360" s="323">
        <v>1100</v>
      </c>
      <c r="D360" s="323">
        <v>445</v>
      </c>
      <c r="E360" s="323">
        <v>60</v>
      </c>
      <c r="F360" s="333" t="s">
        <v>199</v>
      </c>
      <c r="G360" s="335">
        <v>46220</v>
      </c>
      <c r="H360" s="323"/>
      <c r="I360" s="323"/>
      <c r="J360" s="323"/>
      <c r="K360" s="323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  <c r="AA360" s="323"/>
      <c r="AB360" s="323"/>
      <c r="AC360" s="323"/>
      <c r="AD360" s="323"/>
      <c r="AE360" s="323"/>
      <c r="AF360" s="323"/>
      <c r="AG360" s="323"/>
      <c r="AH360" s="323"/>
      <c r="AI360" s="323"/>
      <c r="AJ360" s="323"/>
      <c r="AK360" s="323"/>
      <c r="AL360" s="323"/>
      <c r="AM360" s="326">
        <f t="shared" si="28"/>
        <v>60</v>
      </c>
      <c r="AN360" s="327">
        <f t="shared" si="26"/>
        <v>0.46698299999999998</v>
      </c>
      <c r="AO360" s="323"/>
      <c r="AP360" s="323">
        <v>735</v>
      </c>
      <c r="AQ360" s="328">
        <f t="shared" ref="AQ360:AQ423" si="29">AN360*AP360*32.8679</f>
        <v>11281.3316510895</v>
      </c>
    </row>
    <row r="361" spans="1:43">
      <c r="A361" s="341" t="s">
        <v>184</v>
      </c>
      <c r="B361" s="323">
        <v>15.9</v>
      </c>
      <c r="C361" s="323">
        <v>1100</v>
      </c>
      <c r="D361" s="323">
        <v>762</v>
      </c>
      <c r="E361" s="323">
        <v>60</v>
      </c>
      <c r="F361" s="333" t="s">
        <v>199</v>
      </c>
      <c r="G361" s="335">
        <v>46220</v>
      </c>
      <c r="H361" s="323"/>
      <c r="I361" s="323"/>
      <c r="J361" s="323"/>
      <c r="K361" s="323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  <c r="AA361" s="323"/>
      <c r="AB361" s="323"/>
      <c r="AC361" s="323"/>
      <c r="AD361" s="323"/>
      <c r="AE361" s="323"/>
      <c r="AF361" s="323"/>
      <c r="AG361" s="323"/>
      <c r="AH361" s="323"/>
      <c r="AI361" s="323"/>
      <c r="AJ361" s="323"/>
      <c r="AK361" s="323"/>
      <c r="AL361" s="323"/>
      <c r="AM361" s="326">
        <f t="shared" si="28"/>
        <v>60</v>
      </c>
      <c r="AN361" s="327">
        <f t="shared" si="26"/>
        <v>0.79964279999999999</v>
      </c>
      <c r="AO361" s="323"/>
      <c r="AP361" s="323">
        <v>735</v>
      </c>
      <c r="AQ361" s="328">
        <f t="shared" si="29"/>
        <v>19317.695995798196</v>
      </c>
    </row>
    <row r="362" spans="1:43">
      <c r="A362" s="341" t="s">
        <v>184</v>
      </c>
      <c r="B362" s="323">
        <v>15.9</v>
      </c>
      <c r="C362" s="323">
        <v>1100</v>
      </c>
      <c r="D362" s="323">
        <v>445</v>
      </c>
      <c r="E362" s="323">
        <v>60</v>
      </c>
      <c r="F362" s="333" t="s">
        <v>199</v>
      </c>
      <c r="G362" s="335">
        <v>46220</v>
      </c>
      <c r="H362" s="323"/>
      <c r="I362" s="323"/>
      <c r="J362" s="323"/>
      <c r="K362" s="323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  <c r="AA362" s="323"/>
      <c r="AB362" s="323"/>
      <c r="AC362" s="323"/>
      <c r="AD362" s="323"/>
      <c r="AE362" s="323"/>
      <c r="AF362" s="323"/>
      <c r="AG362" s="323"/>
      <c r="AH362" s="323"/>
      <c r="AI362" s="323"/>
      <c r="AJ362" s="323"/>
      <c r="AK362" s="323"/>
      <c r="AL362" s="323"/>
      <c r="AM362" s="326">
        <f t="shared" si="28"/>
        <v>60</v>
      </c>
      <c r="AN362" s="327">
        <f t="shared" si="26"/>
        <v>0.46698299999999998</v>
      </c>
      <c r="AO362" s="323"/>
      <c r="AP362" s="323">
        <v>735</v>
      </c>
      <c r="AQ362" s="328">
        <f t="shared" si="29"/>
        <v>11281.3316510895</v>
      </c>
    </row>
    <row r="363" spans="1:43">
      <c r="A363" s="341" t="s">
        <v>184</v>
      </c>
      <c r="B363" s="323">
        <v>15.9</v>
      </c>
      <c r="C363" s="323">
        <v>1100</v>
      </c>
      <c r="D363" s="323">
        <v>762</v>
      </c>
      <c r="E363" s="323">
        <v>60</v>
      </c>
      <c r="F363" s="333" t="s">
        <v>199</v>
      </c>
      <c r="G363" s="335">
        <v>46220</v>
      </c>
      <c r="H363" s="323"/>
      <c r="I363" s="323"/>
      <c r="J363" s="323"/>
      <c r="K363" s="323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  <c r="AA363" s="323"/>
      <c r="AB363" s="323"/>
      <c r="AC363" s="323"/>
      <c r="AD363" s="323"/>
      <c r="AE363" s="323"/>
      <c r="AF363" s="323"/>
      <c r="AG363" s="323"/>
      <c r="AH363" s="323"/>
      <c r="AI363" s="323"/>
      <c r="AJ363" s="323"/>
      <c r="AK363" s="323"/>
      <c r="AL363" s="323"/>
      <c r="AM363" s="326">
        <f t="shared" si="28"/>
        <v>60</v>
      </c>
      <c r="AN363" s="327">
        <f t="shared" si="26"/>
        <v>0.79964279999999999</v>
      </c>
      <c r="AO363" s="323"/>
      <c r="AP363" s="323">
        <v>735</v>
      </c>
      <c r="AQ363" s="328">
        <f t="shared" si="29"/>
        <v>19317.695995798196</v>
      </c>
    </row>
    <row r="364" spans="1:43">
      <c r="A364" s="341" t="s">
        <v>184</v>
      </c>
      <c r="B364" s="323">
        <v>15.9</v>
      </c>
      <c r="C364" s="323">
        <v>1100</v>
      </c>
      <c r="D364" s="323">
        <v>445</v>
      </c>
      <c r="E364" s="323">
        <v>60</v>
      </c>
      <c r="F364" s="333" t="s">
        <v>199</v>
      </c>
      <c r="G364" s="335">
        <v>46220</v>
      </c>
      <c r="H364" s="323"/>
      <c r="I364" s="323"/>
      <c r="J364" s="323"/>
      <c r="K364" s="323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  <c r="AA364" s="323"/>
      <c r="AB364" s="323"/>
      <c r="AC364" s="323"/>
      <c r="AD364" s="323"/>
      <c r="AE364" s="323"/>
      <c r="AF364" s="323"/>
      <c r="AG364" s="323"/>
      <c r="AH364" s="323"/>
      <c r="AI364" s="323"/>
      <c r="AJ364" s="323"/>
      <c r="AK364" s="323"/>
      <c r="AL364" s="323"/>
      <c r="AM364" s="326">
        <f t="shared" si="28"/>
        <v>60</v>
      </c>
      <c r="AN364" s="327">
        <f t="shared" si="26"/>
        <v>0.46698299999999998</v>
      </c>
      <c r="AO364" s="323"/>
      <c r="AP364" s="323">
        <v>735</v>
      </c>
      <c r="AQ364" s="328">
        <f t="shared" si="29"/>
        <v>11281.3316510895</v>
      </c>
    </row>
    <row r="365" spans="1:43">
      <c r="A365" s="341" t="s">
        <v>184</v>
      </c>
      <c r="B365" s="323">
        <v>15.9</v>
      </c>
      <c r="C365" s="323">
        <v>1100</v>
      </c>
      <c r="D365" s="323">
        <v>762</v>
      </c>
      <c r="E365" s="323">
        <v>60</v>
      </c>
      <c r="F365" s="333" t="s">
        <v>199</v>
      </c>
      <c r="G365" s="335">
        <v>46220</v>
      </c>
      <c r="H365" s="323"/>
      <c r="I365" s="323"/>
      <c r="J365" s="323"/>
      <c r="K365" s="323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  <c r="AA365" s="323"/>
      <c r="AB365" s="323"/>
      <c r="AC365" s="323"/>
      <c r="AD365" s="323"/>
      <c r="AE365" s="323"/>
      <c r="AF365" s="323"/>
      <c r="AG365" s="323"/>
      <c r="AH365" s="323"/>
      <c r="AI365" s="323"/>
      <c r="AJ365" s="323"/>
      <c r="AK365" s="323"/>
      <c r="AL365" s="323"/>
      <c r="AM365" s="326">
        <f t="shared" si="28"/>
        <v>60</v>
      </c>
      <c r="AN365" s="327">
        <f t="shared" si="26"/>
        <v>0.79964279999999999</v>
      </c>
      <c r="AO365" s="323"/>
      <c r="AP365" s="323">
        <v>735</v>
      </c>
      <c r="AQ365" s="328">
        <f t="shared" si="29"/>
        <v>19317.695995798196</v>
      </c>
    </row>
    <row r="366" spans="1:43">
      <c r="A366" s="341" t="s">
        <v>184</v>
      </c>
      <c r="B366" s="323">
        <v>15.9</v>
      </c>
      <c r="C366" s="323">
        <v>1100</v>
      </c>
      <c r="D366" s="323">
        <v>445</v>
      </c>
      <c r="E366" s="323">
        <v>60</v>
      </c>
      <c r="F366" s="333" t="s">
        <v>199</v>
      </c>
      <c r="G366" s="335">
        <v>46220</v>
      </c>
      <c r="H366" s="323"/>
      <c r="I366" s="323"/>
      <c r="J366" s="323"/>
      <c r="K366" s="323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  <c r="AA366" s="323"/>
      <c r="AB366" s="323"/>
      <c r="AC366" s="323"/>
      <c r="AD366" s="323"/>
      <c r="AE366" s="323"/>
      <c r="AF366" s="323"/>
      <c r="AG366" s="323"/>
      <c r="AH366" s="323"/>
      <c r="AI366" s="323"/>
      <c r="AJ366" s="323"/>
      <c r="AK366" s="323"/>
      <c r="AL366" s="323"/>
      <c r="AM366" s="326">
        <f t="shared" si="28"/>
        <v>60</v>
      </c>
      <c r="AN366" s="327">
        <f t="shared" si="26"/>
        <v>0.46698299999999998</v>
      </c>
      <c r="AO366" s="323"/>
      <c r="AP366" s="323">
        <v>735</v>
      </c>
      <c r="AQ366" s="328">
        <f t="shared" si="29"/>
        <v>11281.3316510895</v>
      </c>
    </row>
    <row r="367" spans="1:43">
      <c r="A367" s="341" t="s">
        <v>184</v>
      </c>
      <c r="B367" s="323">
        <v>15.9</v>
      </c>
      <c r="C367" s="323">
        <v>1100</v>
      </c>
      <c r="D367" s="323">
        <v>762</v>
      </c>
      <c r="E367" s="323">
        <v>60</v>
      </c>
      <c r="F367" s="333" t="s">
        <v>199</v>
      </c>
      <c r="G367" s="335">
        <v>46220</v>
      </c>
      <c r="H367" s="323"/>
      <c r="I367" s="323"/>
      <c r="J367" s="323"/>
      <c r="K367" s="323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  <c r="AA367" s="323"/>
      <c r="AB367" s="323"/>
      <c r="AC367" s="323"/>
      <c r="AD367" s="323"/>
      <c r="AE367" s="323"/>
      <c r="AF367" s="323"/>
      <c r="AG367" s="323"/>
      <c r="AH367" s="323"/>
      <c r="AI367" s="323"/>
      <c r="AJ367" s="323"/>
      <c r="AK367" s="323"/>
      <c r="AL367" s="323"/>
      <c r="AM367" s="326">
        <f t="shared" si="28"/>
        <v>60</v>
      </c>
      <c r="AN367" s="327">
        <f t="shared" si="26"/>
        <v>0.79964279999999999</v>
      </c>
      <c r="AO367" s="323"/>
      <c r="AP367" s="323">
        <v>735</v>
      </c>
      <c r="AQ367" s="328">
        <f t="shared" si="29"/>
        <v>19317.695995798196</v>
      </c>
    </row>
    <row r="368" spans="1:43">
      <c r="A368" s="341" t="s">
        <v>184</v>
      </c>
      <c r="B368" s="323">
        <v>15.9</v>
      </c>
      <c r="C368" s="323">
        <v>1100</v>
      </c>
      <c r="D368" s="323">
        <v>445</v>
      </c>
      <c r="E368" s="323">
        <v>16</v>
      </c>
      <c r="F368" s="333" t="s">
        <v>199</v>
      </c>
      <c r="G368" s="335">
        <v>46220</v>
      </c>
      <c r="H368" s="323"/>
      <c r="I368" s="323"/>
      <c r="J368" s="323"/>
      <c r="K368" s="323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  <c r="AA368" s="323"/>
      <c r="AB368" s="323"/>
      <c r="AC368" s="323"/>
      <c r="AD368" s="323"/>
      <c r="AE368" s="323"/>
      <c r="AF368" s="323"/>
      <c r="AG368" s="323"/>
      <c r="AH368" s="323"/>
      <c r="AI368" s="323"/>
      <c r="AJ368" s="323"/>
      <c r="AK368" s="323"/>
      <c r="AL368" s="323"/>
      <c r="AM368" s="326">
        <f t="shared" si="28"/>
        <v>16</v>
      </c>
      <c r="AN368" s="327">
        <f t="shared" si="26"/>
        <v>0.1245288</v>
      </c>
      <c r="AO368" s="323"/>
      <c r="AP368" s="323">
        <v>735</v>
      </c>
      <c r="AQ368" s="328">
        <f t="shared" si="29"/>
        <v>3008.3551069572</v>
      </c>
    </row>
    <row r="369" spans="1:43">
      <c r="A369" s="341" t="s">
        <v>184</v>
      </c>
      <c r="B369" s="323">
        <v>15.9</v>
      </c>
      <c r="C369" s="323">
        <v>1100</v>
      </c>
      <c r="D369" s="323">
        <v>939</v>
      </c>
      <c r="E369" s="323">
        <v>60</v>
      </c>
      <c r="F369" s="333" t="s">
        <v>199</v>
      </c>
      <c r="G369" s="335">
        <v>46220</v>
      </c>
      <c r="H369" s="323"/>
      <c r="I369" s="323"/>
      <c r="J369" s="323"/>
      <c r="K369" s="323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  <c r="AA369" s="323"/>
      <c r="AB369" s="323"/>
      <c r="AC369" s="323"/>
      <c r="AD369" s="323"/>
      <c r="AE369" s="323"/>
      <c r="AF369" s="323"/>
      <c r="AG369" s="323"/>
      <c r="AH369" s="323"/>
      <c r="AI369" s="323"/>
      <c r="AJ369" s="323"/>
      <c r="AK369" s="323"/>
      <c r="AL369" s="323"/>
      <c r="AM369" s="326">
        <f t="shared" si="28"/>
        <v>60</v>
      </c>
      <c r="AN369" s="327">
        <f t="shared" si="26"/>
        <v>0.9853866</v>
      </c>
      <c r="AO369" s="323"/>
      <c r="AP369" s="323">
        <v>735</v>
      </c>
      <c r="AQ369" s="328">
        <f t="shared" si="29"/>
        <v>23804.877349152899</v>
      </c>
    </row>
    <row r="370" spans="1:43">
      <c r="A370" s="341" t="s">
        <v>184</v>
      </c>
      <c r="B370" s="323">
        <v>15.9</v>
      </c>
      <c r="C370" s="323">
        <v>1100</v>
      </c>
      <c r="D370" s="323">
        <v>445</v>
      </c>
      <c r="E370" s="323">
        <v>16</v>
      </c>
      <c r="F370" s="333" t="s">
        <v>199</v>
      </c>
      <c r="G370" s="335">
        <v>46220</v>
      </c>
      <c r="H370" s="323"/>
      <c r="I370" s="323"/>
      <c r="J370" s="323"/>
      <c r="K370" s="323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  <c r="AA370" s="323"/>
      <c r="AB370" s="323"/>
      <c r="AC370" s="323"/>
      <c r="AD370" s="323"/>
      <c r="AE370" s="323"/>
      <c r="AF370" s="323"/>
      <c r="AG370" s="323"/>
      <c r="AH370" s="323"/>
      <c r="AI370" s="323"/>
      <c r="AJ370" s="323"/>
      <c r="AK370" s="323"/>
      <c r="AL370" s="323"/>
      <c r="AM370" s="326">
        <f t="shared" si="28"/>
        <v>16</v>
      </c>
      <c r="AN370" s="327">
        <f t="shared" si="26"/>
        <v>0.1245288</v>
      </c>
      <c r="AO370" s="323"/>
      <c r="AP370" s="323">
        <v>735</v>
      </c>
      <c r="AQ370" s="328">
        <f t="shared" si="29"/>
        <v>3008.3551069572</v>
      </c>
    </row>
    <row r="371" spans="1:43">
      <c r="A371" s="341" t="s">
        <v>184</v>
      </c>
      <c r="B371" s="323">
        <v>15.9</v>
      </c>
      <c r="C371" s="323">
        <v>1100</v>
      </c>
      <c r="D371" s="323">
        <v>939</v>
      </c>
      <c r="E371" s="323">
        <v>60</v>
      </c>
      <c r="F371" s="333" t="s">
        <v>199</v>
      </c>
      <c r="G371" s="335">
        <v>46220</v>
      </c>
      <c r="H371" s="323"/>
      <c r="I371" s="323"/>
      <c r="J371" s="323"/>
      <c r="K371" s="323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  <c r="AA371" s="323"/>
      <c r="AB371" s="323"/>
      <c r="AC371" s="323"/>
      <c r="AD371" s="323"/>
      <c r="AE371" s="323"/>
      <c r="AF371" s="323"/>
      <c r="AG371" s="323"/>
      <c r="AH371" s="323"/>
      <c r="AI371" s="323"/>
      <c r="AJ371" s="323"/>
      <c r="AK371" s="323"/>
      <c r="AL371" s="323"/>
      <c r="AM371" s="326">
        <f t="shared" si="28"/>
        <v>60</v>
      </c>
      <c r="AN371" s="327">
        <f t="shared" si="26"/>
        <v>0.9853866</v>
      </c>
      <c r="AO371" s="323"/>
      <c r="AP371" s="323">
        <v>735</v>
      </c>
      <c r="AQ371" s="328">
        <f t="shared" si="29"/>
        <v>23804.877349152899</v>
      </c>
    </row>
    <row r="372" spans="1:43">
      <c r="A372" s="341" t="s">
        <v>184</v>
      </c>
      <c r="B372" s="323">
        <v>15.9</v>
      </c>
      <c r="C372" s="323">
        <v>1100</v>
      </c>
      <c r="D372" s="323">
        <v>445</v>
      </c>
      <c r="E372" s="323">
        <v>16</v>
      </c>
      <c r="F372" s="333" t="s">
        <v>199</v>
      </c>
      <c r="G372" s="335">
        <v>46220</v>
      </c>
      <c r="H372" s="323"/>
      <c r="I372" s="323"/>
      <c r="J372" s="323"/>
      <c r="K372" s="323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  <c r="AA372" s="323"/>
      <c r="AB372" s="323"/>
      <c r="AC372" s="323"/>
      <c r="AD372" s="323"/>
      <c r="AE372" s="323"/>
      <c r="AF372" s="323"/>
      <c r="AG372" s="323"/>
      <c r="AH372" s="323"/>
      <c r="AI372" s="323"/>
      <c r="AJ372" s="323"/>
      <c r="AK372" s="323"/>
      <c r="AL372" s="323"/>
      <c r="AM372" s="326">
        <f t="shared" si="28"/>
        <v>16</v>
      </c>
      <c r="AN372" s="327">
        <f t="shared" si="26"/>
        <v>0.1245288</v>
      </c>
      <c r="AO372" s="323"/>
      <c r="AP372" s="323">
        <v>735</v>
      </c>
      <c r="AQ372" s="328">
        <f t="shared" si="29"/>
        <v>3008.3551069572</v>
      </c>
    </row>
    <row r="373" spans="1:43">
      <c r="A373" s="341" t="s">
        <v>184</v>
      </c>
      <c r="B373" s="323">
        <v>15.9</v>
      </c>
      <c r="C373" s="323">
        <v>1100</v>
      </c>
      <c r="D373" s="323">
        <v>939</v>
      </c>
      <c r="E373" s="323">
        <v>60</v>
      </c>
      <c r="F373" s="333" t="s">
        <v>199</v>
      </c>
      <c r="G373" s="335">
        <v>46220</v>
      </c>
      <c r="H373" s="323"/>
      <c r="I373" s="323"/>
      <c r="J373" s="323"/>
      <c r="K373" s="323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  <c r="AA373" s="323"/>
      <c r="AB373" s="323"/>
      <c r="AC373" s="323"/>
      <c r="AD373" s="323"/>
      <c r="AE373" s="323"/>
      <c r="AF373" s="323"/>
      <c r="AG373" s="323"/>
      <c r="AH373" s="323"/>
      <c r="AI373" s="323"/>
      <c r="AJ373" s="323"/>
      <c r="AK373" s="323"/>
      <c r="AL373" s="323"/>
      <c r="AM373" s="326">
        <f t="shared" si="28"/>
        <v>60</v>
      </c>
      <c r="AN373" s="327">
        <f t="shared" si="26"/>
        <v>0.9853866</v>
      </c>
      <c r="AO373" s="323"/>
      <c r="AP373" s="323">
        <v>735</v>
      </c>
      <c r="AQ373" s="328">
        <f t="shared" si="29"/>
        <v>23804.877349152899</v>
      </c>
    </row>
    <row r="374" spans="1:43">
      <c r="A374" s="341" t="s">
        <v>184</v>
      </c>
      <c r="B374" s="323">
        <v>15.9</v>
      </c>
      <c r="C374" s="323">
        <v>1100</v>
      </c>
      <c r="D374" s="323">
        <v>445</v>
      </c>
      <c r="E374" s="323">
        <v>16</v>
      </c>
      <c r="F374" s="333" t="s">
        <v>199</v>
      </c>
      <c r="G374" s="335">
        <v>46220</v>
      </c>
      <c r="H374" s="323"/>
      <c r="I374" s="323"/>
      <c r="J374" s="323"/>
      <c r="K374" s="323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  <c r="AA374" s="323"/>
      <c r="AB374" s="323"/>
      <c r="AC374" s="323"/>
      <c r="AD374" s="323"/>
      <c r="AE374" s="323"/>
      <c r="AF374" s="323"/>
      <c r="AG374" s="323"/>
      <c r="AH374" s="323"/>
      <c r="AI374" s="323"/>
      <c r="AJ374" s="323"/>
      <c r="AK374" s="323"/>
      <c r="AL374" s="323"/>
      <c r="AM374" s="326">
        <f t="shared" si="28"/>
        <v>16</v>
      </c>
      <c r="AN374" s="327">
        <f t="shared" si="26"/>
        <v>0.1245288</v>
      </c>
      <c r="AO374" s="323"/>
      <c r="AP374" s="323">
        <v>735</v>
      </c>
      <c r="AQ374" s="328">
        <f t="shared" si="29"/>
        <v>3008.3551069572</v>
      </c>
    </row>
    <row r="375" spans="1:43">
      <c r="A375" s="341" t="s">
        <v>184</v>
      </c>
      <c r="B375" s="323">
        <v>15.9</v>
      </c>
      <c r="C375" s="323">
        <v>1100</v>
      </c>
      <c r="D375" s="323">
        <v>939</v>
      </c>
      <c r="E375" s="323">
        <v>60</v>
      </c>
      <c r="F375" s="333" t="s">
        <v>199</v>
      </c>
      <c r="G375" s="335">
        <v>46220</v>
      </c>
      <c r="H375" s="323"/>
      <c r="I375" s="323"/>
      <c r="J375" s="323"/>
      <c r="K375" s="323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  <c r="AA375" s="323"/>
      <c r="AB375" s="323"/>
      <c r="AC375" s="323"/>
      <c r="AD375" s="323"/>
      <c r="AE375" s="323"/>
      <c r="AF375" s="323"/>
      <c r="AG375" s="323"/>
      <c r="AH375" s="323"/>
      <c r="AI375" s="323"/>
      <c r="AJ375" s="323"/>
      <c r="AK375" s="323"/>
      <c r="AL375" s="323"/>
      <c r="AM375" s="326">
        <f t="shared" si="28"/>
        <v>60</v>
      </c>
      <c r="AN375" s="327">
        <f t="shared" si="26"/>
        <v>0.9853866</v>
      </c>
      <c r="AO375" s="323"/>
      <c r="AP375" s="323">
        <v>735</v>
      </c>
      <c r="AQ375" s="328">
        <f t="shared" si="29"/>
        <v>23804.877349152899</v>
      </c>
    </row>
    <row r="376" spans="1:43">
      <c r="A376" s="341" t="s">
        <v>184</v>
      </c>
      <c r="B376" s="323">
        <v>15.9</v>
      </c>
      <c r="C376" s="323">
        <v>1100</v>
      </c>
      <c r="D376" s="323">
        <v>445</v>
      </c>
      <c r="E376" s="323">
        <v>16</v>
      </c>
      <c r="F376" s="333" t="s">
        <v>199</v>
      </c>
      <c r="G376" s="335">
        <v>46220</v>
      </c>
      <c r="H376" s="323"/>
      <c r="I376" s="323"/>
      <c r="J376" s="323"/>
      <c r="K376" s="323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  <c r="AA376" s="323"/>
      <c r="AB376" s="323"/>
      <c r="AC376" s="323"/>
      <c r="AD376" s="323"/>
      <c r="AE376" s="323"/>
      <c r="AF376" s="323"/>
      <c r="AG376" s="323"/>
      <c r="AH376" s="323"/>
      <c r="AI376" s="323"/>
      <c r="AJ376" s="323"/>
      <c r="AK376" s="323"/>
      <c r="AL376" s="323"/>
      <c r="AM376" s="326">
        <f t="shared" si="28"/>
        <v>16</v>
      </c>
      <c r="AN376" s="327">
        <f t="shared" si="26"/>
        <v>0.1245288</v>
      </c>
      <c r="AO376" s="323"/>
      <c r="AP376" s="323">
        <v>735</v>
      </c>
      <c r="AQ376" s="328">
        <f t="shared" si="29"/>
        <v>3008.3551069572</v>
      </c>
    </row>
    <row r="377" spans="1:43">
      <c r="A377" s="341" t="s">
        <v>184</v>
      </c>
      <c r="B377" s="323">
        <v>15.9</v>
      </c>
      <c r="C377" s="323">
        <v>1100</v>
      </c>
      <c r="D377" s="323">
        <v>939</v>
      </c>
      <c r="E377" s="323">
        <v>60</v>
      </c>
      <c r="F377" s="333" t="s">
        <v>199</v>
      </c>
      <c r="G377" s="335">
        <v>46220</v>
      </c>
      <c r="H377" s="323"/>
      <c r="I377" s="323"/>
      <c r="J377" s="323"/>
      <c r="K377" s="323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  <c r="AA377" s="323"/>
      <c r="AB377" s="323"/>
      <c r="AC377" s="323"/>
      <c r="AD377" s="323"/>
      <c r="AE377" s="323"/>
      <c r="AF377" s="323"/>
      <c r="AG377" s="323"/>
      <c r="AH377" s="323"/>
      <c r="AI377" s="323"/>
      <c r="AJ377" s="323"/>
      <c r="AK377" s="323"/>
      <c r="AL377" s="323"/>
      <c r="AM377" s="326">
        <f t="shared" si="28"/>
        <v>60</v>
      </c>
      <c r="AN377" s="327">
        <f t="shared" si="26"/>
        <v>0.9853866</v>
      </c>
      <c r="AO377" s="323"/>
      <c r="AP377" s="323">
        <v>735</v>
      </c>
      <c r="AQ377" s="328">
        <f t="shared" si="29"/>
        <v>23804.877349152899</v>
      </c>
    </row>
    <row r="378" spans="1:43">
      <c r="A378" s="341" t="s">
        <v>184</v>
      </c>
      <c r="B378" s="323">
        <v>15.9</v>
      </c>
      <c r="C378" s="323">
        <v>1100</v>
      </c>
      <c r="D378" s="323">
        <v>521</v>
      </c>
      <c r="E378" s="323">
        <v>120</v>
      </c>
      <c r="F378" s="333" t="s">
        <v>199</v>
      </c>
      <c r="G378" s="335">
        <v>46220</v>
      </c>
      <c r="H378" s="323"/>
      <c r="I378" s="323"/>
      <c r="J378" s="323"/>
      <c r="K378" s="323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  <c r="AA378" s="323"/>
      <c r="AB378" s="323"/>
      <c r="AC378" s="323"/>
      <c r="AD378" s="323"/>
      <c r="AE378" s="323"/>
      <c r="AF378" s="323"/>
      <c r="AG378" s="323"/>
      <c r="AH378" s="323"/>
      <c r="AI378" s="323"/>
      <c r="AJ378" s="323"/>
      <c r="AK378" s="323"/>
      <c r="AL378" s="323"/>
      <c r="AM378" s="326">
        <f t="shared" si="28"/>
        <v>120</v>
      </c>
      <c r="AN378" s="327">
        <f t="shared" si="26"/>
        <v>1.0934748000000001</v>
      </c>
      <c r="AO378" s="323"/>
      <c r="AP378" s="323">
        <v>735</v>
      </c>
      <c r="AQ378" s="328">
        <f t="shared" si="29"/>
        <v>26416.061978506201</v>
      </c>
    </row>
    <row r="379" spans="1:43">
      <c r="A379" s="341" t="s">
        <v>184</v>
      </c>
      <c r="B379" s="323">
        <v>15.9</v>
      </c>
      <c r="C379" s="323">
        <v>1100</v>
      </c>
      <c r="D379" s="323">
        <v>521</v>
      </c>
      <c r="E379" s="323">
        <v>120</v>
      </c>
      <c r="F379" s="333" t="s">
        <v>199</v>
      </c>
      <c r="G379" s="335">
        <v>46220</v>
      </c>
      <c r="H379" s="323"/>
      <c r="I379" s="323"/>
      <c r="J379" s="323"/>
      <c r="K379" s="323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  <c r="AA379" s="323"/>
      <c r="AB379" s="323"/>
      <c r="AC379" s="323"/>
      <c r="AD379" s="323"/>
      <c r="AE379" s="323"/>
      <c r="AF379" s="323"/>
      <c r="AG379" s="323"/>
      <c r="AH379" s="323"/>
      <c r="AI379" s="323"/>
      <c r="AJ379" s="323"/>
      <c r="AK379" s="323"/>
      <c r="AL379" s="323"/>
      <c r="AM379" s="326">
        <f t="shared" si="28"/>
        <v>120</v>
      </c>
      <c r="AN379" s="327">
        <f t="shared" si="26"/>
        <v>1.0934748000000001</v>
      </c>
      <c r="AO379" s="323"/>
      <c r="AP379" s="323">
        <v>735</v>
      </c>
      <c r="AQ379" s="328">
        <f t="shared" si="29"/>
        <v>26416.061978506201</v>
      </c>
    </row>
    <row r="380" spans="1:43">
      <c r="A380" s="341" t="s">
        <v>184</v>
      </c>
      <c r="B380" s="323">
        <v>15.9</v>
      </c>
      <c r="C380" s="323">
        <v>1100</v>
      </c>
      <c r="D380" s="323">
        <v>521</v>
      </c>
      <c r="E380" s="323">
        <v>120</v>
      </c>
      <c r="F380" s="333" t="s">
        <v>199</v>
      </c>
      <c r="G380" s="335">
        <v>46220</v>
      </c>
      <c r="H380" s="323"/>
      <c r="I380" s="323"/>
      <c r="J380" s="323"/>
      <c r="K380" s="323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/>
      <c r="AA380" s="323"/>
      <c r="AB380" s="323"/>
      <c r="AC380" s="323"/>
      <c r="AD380" s="323"/>
      <c r="AE380" s="323"/>
      <c r="AF380" s="323"/>
      <c r="AG380" s="323"/>
      <c r="AH380" s="323"/>
      <c r="AI380" s="323"/>
      <c r="AJ380" s="323"/>
      <c r="AK380" s="323"/>
      <c r="AL380" s="323"/>
      <c r="AM380" s="326">
        <f t="shared" si="28"/>
        <v>120</v>
      </c>
      <c r="AN380" s="327">
        <f t="shared" si="26"/>
        <v>1.0934748000000001</v>
      </c>
      <c r="AO380" s="323"/>
      <c r="AP380" s="323">
        <v>735</v>
      </c>
      <c r="AQ380" s="328">
        <f t="shared" si="29"/>
        <v>26416.061978506201</v>
      </c>
    </row>
    <row r="381" spans="1:43">
      <c r="A381" s="341" t="s">
        <v>184</v>
      </c>
      <c r="B381" s="323">
        <v>15.9</v>
      </c>
      <c r="C381" s="323">
        <v>1100</v>
      </c>
      <c r="D381" s="323">
        <v>521</v>
      </c>
      <c r="E381" s="323">
        <v>120</v>
      </c>
      <c r="F381" s="333" t="s">
        <v>199</v>
      </c>
      <c r="G381" s="335">
        <v>46220</v>
      </c>
      <c r="H381" s="323"/>
      <c r="I381" s="323"/>
      <c r="J381" s="323"/>
      <c r="K381" s="323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  <c r="AA381" s="323"/>
      <c r="AB381" s="323"/>
      <c r="AC381" s="323"/>
      <c r="AD381" s="323"/>
      <c r="AE381" s="323"/>
      <c r="AF381" s="323"/>
      <c r="AG381" s="323"/>
      <c r="AH381" s="323"/>
      <c r="AI381" s="323"/>
      <c r="AJ381" s="323"/>
      <c r="AK381" s="323"/>
      <c r="AL381" s="323"/>
      <c r="AM381" s="326">
        <f t="shared" si="28"/>
        <v>120</v>
      </c>
      <c r="AN381" s="327">
        <f t="shared" si="26"/>
        <v>1.0934748000000001</v>
      </c>
      <c r="AO381" s="323"/>
      <c r="AP381" s="323">
        <v>735</v>
      </c>
      <c r="AQ381" s="328">
        <f t="shared" si="29"/>
        <v>26416.061978506201</v>
      </c>
    </row>
    <row r="382" spans="1:43">
      <c r="A382" s="341" t="s">
        <v>184</v>
      </c>
      <c r="B382" s="323">
        <v>15.9</v>
      </c>
      <c r="C382" s="323">
        <v>1100</v>
      </c>
      <c r="D382" s="323">
        <v>521</v>
      </c>
      <c r="E382" s="323">
        <v>120</v>
      </c>
      <c r="F382" s="333" t="s">
        <v>199</v>
      </c>
      <c r="G382" s="335">
        <v>46220</v>
      </c>
      <c r="H382" s="323"/>
      <c r="I382" s="323"/>
      <c r="J382" s="323"/>
      <c r="K382" s="323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  <c r="AA382" s="323"/>
      <c r="AB382" s="323"/>
      <c r="AC382" s="323"/>
      <c r="AD382" s="323"/>
      <c r="AE382" s="323"/>
      <c r="AF382" s="323"/>
      <c r="AG382" s="323"/>
      <c r="AH382" s="323"/>
      <c r="AI382" s="323"/>
      <c r="AJ382" s="323"/>
      <c r="AK382" s="323"/>
      <c r="AL382" s="323"/>
      <c r="AM382" s="326">
        <f t="shared" si="28"/>
        <v>120</v>
      </c>
      <c r="AN382" s="327">
        <f t="shared" si="26"/>
        <v>1.0934748000000001</v>
      </c>
      <c r="AO382" s="323"/>
      <c r="AP382" s="323">
        <v>735</v>
      </c>
      <c r="AQ382" s="328">
        <f t="shared" si="29"/>
        <v>26416.061978506201</v>
      </c>
    </row>
    <row r="383" spans="1:43">
      <c r="A383" s="341" t="s">
        <v>184</v>
      </c>
      <c r="B383" s="323">
        <v>15.9</v>
      </c>
      <c r="C383" s="323">
        <v>1100</v>
      </c>
      <c r="D383" s="323">
        <v>445</v>
      </c>
      <c r="E383" s="323">
        <v>140</v>
      </c>
      <c r="F383" s="333" t="s">
        <v>199</v>
      </c>
      <c r="G383" s="335">
        <v>46220</v>
      </c>
      <c r="H383" s="323"/>
      <c r="I383" s="323"/>
      <c r="J383" s="323"/>
      <c r="K383" s="323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  <c r="AA383" s="323"/>
      <c r="AB383" s="323"/>
      <c r="AC383" s="323"/>
      <c r="AD383" s="323"/>
      <c r="AE383" s="323"/>
      <c r="AF383" s="323"/>
      <c r="AG383" s="323"/>
      <c r="AH383" s="323"/>
      <c r="AI383" s="323"/>
      <c r="AJ383" s="323"/>
      <c r="AK383" s="323"/>
      <c r="AL383" s="323"/>
      <c r="AM383" s="326">
        <f t="shared" si="28"/>
        <v>140</v>
      </c>
      <c r="AN383" s="327">
        <f t="shared" si="26"/>
        <v>1.0896269999999999</v>
      </c>
      <c r="AO383" s="323"/>
      <c r="AP383" s="323">
        <v>735</v>
      </c>
      <c r="AQ383" s="328">
        <f t="shared" si="29"/>
        <v>26323.107185875495</v>
      </c>
    </row>
    <row r="384" spans="1:43">
      <c r="A384" s="341" t="s">
        <v>184</v>
      </c>
      <c r="B384" s="323">
        <v>15.9</v>
      </c>
      <c r="C384" s="323">
        <v>1100</v>
      </c>
      <c r="D384" s="323">
        <v>445</v>
      </c>
      <c r="E384" s="323">
        <v>140</v>
      </c>
      <c r="F384" s="333" t="s">
        <v>199</v>
      </c>
      <c r="G384" s="335">
        <v>46220</v>
      </c>
      <c r="H384" s="323"/>
      <c r="I384" s="323"/>
      <c r="J384" s="323"/>
      <c r="K384" s="323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  <c r="AA384" s="323"/>
      <c r="AB384" s="323"/>
      <c r="AC384" s="323"/>
      <c r="AD384" s="323"/>
      <c r="AE384" s="323"/>
      <c r="AF384" s="323"/>
      <c r="AG384" s="323"/>
      <c r="AH384" s="323"/>
      <c r="AI384" s="323"/>
      <c r="AJ384" s="323"/>
      <c r="AK384" s="323"/>
      <c r="AL384" s="323"/>
      <c r="AM384" s="326">
        <f t="shared" si="28"/>
        <v>140</v>
      </c>
      <c r="AN384" s="327">
        <f t="shared" si="26"/>
        <v>1.0896269999999999</v>
      </c>
      <c r="AO384" s="323"/>
      <c r="AP384" s="323">
        <v>735</v>
      </c>
      <c r="AQ384" s="328">
        <f t="shared" si="29"/>
        <v>26323.107185875495</v>
      </c>
    </row>
    <row r="385" spans="1:43">
      <c r="A385" s="341" t="s">
        <v>184</v>
      </c>
      <c r="B385" s="323">
        <v>15.9</v>
      </c>
      <c r="C385" s="323">
        <v>1100</v>
      </c>
      <c r="D385" s="323">
        <v>445</v>
      </c>
      <c r="E385" s="323">
        <v>140</v>
      </c>
      <c r="F385" s="333" t="s">
        <v>199</v>
      </c>
      <c r="G385" s="335">
        <v>46220</v>
      </c>
      <c r="H385" s="323"/>
      <c r="I385" s="323"/>
      <c r="J385" s="323"/>
      <c r="K385" s="323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  <c r="AA385" s="323"/>
      <c r="AB385" s="323"/>
      <c r="AC385" s="323"/>
      <c r="AD385" s="323"/>
      <c r="AE385" s="323"/>
      <c r="AF385" s="323"/>
      <c r="AG385" s="323"/>
      <c r="AH385" s="323"/>
      <c r="AI385" s="323"/>
      <c r="AJ385" s="323"/>
      <c r="AK385" s="323"/>
      <c r="AL385" s="323"/>
      <c r="AM385" s="326">
        <f t="shared" si="28"/>
        <v>140</v>
      </c>
      <c r="AN385" s="327">
        <f t="shared" si="26"/>
        <v>1.0896269999999999</v>
      </c>
      <c r="AO385" s="323"/>
      <c r="AP385" s="323">
        <v>735</v>
      </c>
      <c r="AQ385" s="328">
        <f t="shared" si="29"/>
        <v>26323.107185875495</v>
      </c>
    </row>
    <row r="386" spans="1:43">
      <c r="A386" s="341" t="s">
        <v>184</v>
      </c>
      <c r="B386" s="323">
        <v>15.9</v>
      </c>
      <c r="C386" s="323">
        <v>1100</v>
      </c>
      <c r="D386" s="323">
        <v>445</v>
      </c>
      <c r="E386" s="323">
        <v>140</v>
      </c>
      <c r="F386" s="333" t="s">
        <v>199</v>
      </c>
      <c r="G386" s="335">
        <v>46220</v>
      </c>
      <c r="H386" s="323"/>
      <c r="I386" s="323"/>
      <c r="J386" s="323"/>
      <c r="K386" s="323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  <c r="AA386" s="323"/>
      <c r="AB386" s="323"/>
      <c r="AC386" s="323"/>
      <c r="AD386" s="323"/>
      <c r="AE386" s="323"/>
      <c r="AF386" s="323"/>
      <c r="AG386" s="323"/>
      <c r="AH386" s="323"/>
      <c r="AI386" s="323"/>
      <c r="AJ386" s="323"/>
      <c r="AK386" s="323"/>
      <c r="AL386" s="323"/>
      <c r="AM386" s="326">
        <f t="shared" si="28"/>
        <v>140</v>
      </c>
      <c r="AN386" s="327">
        <f t="shared" si="26"/>
        <v>1.0896269999999999</v>
      </c>
      <c r="AO386" s="323"/>
      <c r="AP386" s="323">
        <v>735</v>
      </c>
      <c r="AQ386" s="328">
        <f t="shared" si="29"/>
        <v>26323.107185875495</v>
      </c>
    </row>
    <row r="387" spans="1:43">
      <c r="A387" s="341" t="s">
        <v>184</v>
      </c>
      <c r="B387" s="323">
        <v>15.9</v>
      </c>
      <c r="C387" s="323">
        <v>1100</v>
      </c>
      <c r="D387" s="323">
        <v>445</v>
      </c>
      <c r="E387" s="323">
        <v>70</v>
      </c>
      <c r="F387" s="333" t="s">
        <v>199</v>
      </c>
      <c r="G387" s="335">
        <v>46220</v>
      </c>
      <c r="H387" s="323"/>
      <c r="I387" s="323"/>
      <c r="J387" s="323"/>
      <c r="K387" s="323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  <c r="AA387" s="323"/>
      <c r="AB387" s="323"/>
      <c r="AC387" s="323"/>
      <c r="AD387" s="323"/>
      <c r="AE387" s="323"/>
      <c r="AF387" s="323"/>
      <c r="AG387" s="323"/>
      <c r="AH387" s="323"/>
      <c r="AI387" s="323"/>
      <c r="AJ387" s="323"/>
      <c r="AK387" s="323"/>
      <c r="AL387" s="323"/>
      <c r="AM387" s="326">
        <f t="shared" si="28"/>
        <v>70</v>
      </c>
      <c r="AN387" s="327">
        <f t="shared" ref="AN387:AN426" si="30">B387*C387*D387*AM387/1000000000</f>
        <v>0.54481349999999995</v>
      </c>
      <c r="AO387" s="323"/>
      <c r="AP387" s="323">
        <v>735</v>
      </c>
      <c r="AQ387" s="328">
        <f t="shared" si="29"/>
        <v>13161.553592937747</v>
      </c>
    </row>
    <row r="388" spans="1:43">
      <c r="A388" s="341" t="s">
        <v>184</v>
      </c>
      <c r="B388" s="323">
        <v>15.9</v>
      </c>
      <c r="C388" s="323">
        <v>1100</v>
      </c>
      <c r="D388" s="323">
        <v>762</v>
      </c>
      <c r="E388" s="323">
        <v>10</v>
      </c>
      <c r="F388" s="333" t="s">
        <v>199</v>
      </c>
      <c r="G388" s="335">
        <v>46220</v>
      </c>
      <c r="H388" s="323"/>
      <c r="I388" s="323"/>
      <c r="J388" s="323"/>
      <c r="K388" s="323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  <c r="AA388" s="323"/>
      <c r="AB388" s="323"/>
      <c r="AC388" s="323"/>
      <c r="AD388" s="323"/>
      <c r="AE388" s="323"/>
      <c r="AF388" s="323"/>
      <c r="AG388" s="323"/>
      <c r="AH388" s="323"/>
      <c r="AI388" s="323"/>
      <c r="AJ388" s="323"/>
      <c r="AK388" s="323"/>
      <c r="AL388" s="323"/>
      <c r="AM388" s="326">
        <f t="shared" si="28"/>
        <v>10</v>
      </c>
      <c r="AN388" s="327">
        <f t="shared" si="30"/>
        <v>0.1332738</v>
      </c>
      <c r="AO388" s="323"/>
      <c r="AP388" s="323">
        <v>735</v>
      </c>
      <c r="AQ388" s="328">
        <f t="shared" si="29"/>
        <v>3219.6159992997</v>
      </c>
    </row>
    <row r="389" spans="1:43">
      <c r="A389" s="341" t="s">
        <v>184</v>
      </c>
      <c r="B389" s="323">
        <v>15.9</v>
      </c>
      <c r="C389" s="323">
        <v>1100</v>
      </c>
      <c r="D389" s="323">
        <v>521</v>
      </c>
      <c r="E389" s="323">
        <v>100</v>
      </c>
      <c r="F389" s="333" t="s">
        <v>199</v>
      </c>
      <c r="G389" s="335">
        <v>46220</v>
      </c>
      <c r="H389" s="323"/>
      <c r="I389" s="323"/>
      <c r="J389" s="323"/>
      <c r="K389" s="323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  <c r="AA389" s="323"/>
      <c r="AB389" s="323"/>
      <c r="AC389" s="323"/>
      <c r="AD389" s="323"/>
      <c r="AE389" s="323"/>
      <c r="AF389" s="323"/>
      <c r="AG389" s="323"/>
      <c r="AH389" s="323"/>
      <c r="AI389" s="323"/>
      <c r="AJ389" s="323"/>
      <c r="AK389" s="323"/>
      <c r="AL389" s="323"/>
      <c r="AM389" s="326">
        <f t="shared" si="28"/>
        <v>100</v>
      </c>
      <c r="AN389" s="327">
        <f t="shared" si="30"/>
        <v>0.91122899999999996</v>
      </c>
      <c r="AO389" s="323"/>
      <c r="AP389" s="323">
        <v>735</v>
      </c>
      <c r="AQ389" s="328">
        <f t="shared" si="29"/>
        <v>22013.384982088497</v>
      </c>
    </row>
    <row r="390" spans="1:43">
      <c r="A390" s="341" t="s">
        <v>184</v>
      </c>
      <c r="B390" s="323">
        <v>15.9</v>
      </c>
      <c r="C390" s="323">
        <v>1100</v>
      </c>
      <c r="D390" s="323">
        <v>1219</v>
      </c>
      <c r="E390" s="345">
        <v>75</v>
      </c>
      <c r="F390" s="333" t="s">
        <v>199</v>
      </c>
      <c r="G390" s="335">
        <v>46220</v>
      </c>
      <c r="H390" s="323"/>
      <c r="I390" s="323"/>
      <c r="J390" s="323"/>
      <c r="K390" s="323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  <c r="AA390" s="323"/>
      <c r="AB390" s="323"/>
      <c r="AC390" s="323"/>
      <c r="AD390" s="323"/>
      <c r="AE390" s="323"/>
      <c r="AF390" s="323"/>
      <c r="AG390" s="323"/>
      <c r="AH390" s="323"/>
      <c r="AI390" s="323"/>
      <c r="AJ390" s="323"/>
      <c r="AK390" s="323"/>
      <c r="AL390" s="323"/>
      <c r="AM390" s="326">
        <f t="shared" si="28"/>
        <v>75</v>
      </c>
      <c r="AN390" s="327">
        <f t="shared" si="30"/>
        <v>1.5990232499999999</v>
      </c>
      <c r="AO390" s="323"/>
      <c r="AP390" s="323">
        <v>735</v>
      </c>
      <c r="AQ390" s="328">
        <f t="shared" si="29"/>
        <v>38629.054164826121</v>
      </c>
    </row>
    <row r="391" spans="1:43">
      <c r="A391" s="341" t="s">
        <v>184</v>
      </c>
      <c r="B391" s="323">
        <v>15.9</v>
      </c>
      <c r="C391" s="323">
        <v>1100</v>
      </c>
      <c r="D391" s="323">
        <v>1219</v>
      </c>
      <c r="E391" s="323">
        <v>75</v>
      </c>
      <c r="F391" s="333" t="s">
        <v>199</v>
      </c>
      <c r="G391" s="335">
        <v>46220</v>
      </c>
      <c r="H391" s="323"/>
      <c r="I391" s="323"/>
      <c r="J391" s="323"/>
      <c r="K391" s="323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  <c r="AA391" s="323"/>
      <c r="AB391" s="323"/>
      <c r="AC391" s="323"/>
      <c r="AD391" s="323"/>
      <c r="AE391" s="323"/>
      <c r="AF391" s="323"/>
      <c r="AG391" s="323"/>
      <c r="AH391" s="323"/>
      <c r="AI391" s="323"/>
      <c r="AJ391" s="323"/>
      <c r="AK391" s="323"/>
      <c r="AL391" s="323"/>
      <c r="AM391" s="326">
        <f t="shared" si="28"/>
        <v>75</v>
      </c>
      <c r="AN391" s="327">
        <f t="shared" si="30"/>
        <v>1.5990232499999999</v>
      </c>
      <c r="AO391" s="323"/>
      <c r="AP391" s="323">
        <v>735</v>
      </c>
      <c r="AQ391" s="328">
        <f t="shared" si="29"/>
        <v>38629.054164826121</v>
      </c>
    </row>
    <row r="392" spans="1:43">
      <c r="A392" s="341" t="s">
        <v>184</v>
      </c>
      <c r="B392" s="323">
        <v>15.9</v>
      </c>
      <c r="C392" s="323">
        <v>1100</v>
      </c>
      <c r="D392" s="323">
        <v>445</v>
      </c>
      <c r="E392" s="323">
        <v>164</v>
      </c>
      <c r="F392" s="333" t="s">
        <v>199</v>
      </c>
      <c r="G392" s="335">
        <v>46220</v>
      </c>
      <c r="H392" s="323"/>
      <c r="I392" s="323"/>
      <c r="J392" s="323"/>
      <c r="K392" s="323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  <c r="AA392" s="323"/>
      <c r="AB392" s="323"/>
      <c r="AC392" s="323"/>
      <c r="AD392" s="323"/>
      <c r="AE392" s="323"/>
      <c r="AF392" s="323"/>
      <c r="AG392" s="323"/>
      <c r="AH392" s="323"/>
      <c r="AI392" s="323"/>
      <c r="AJ392" s="323"/>
      <c r="AK392" s="323"/>
      <c r="AL392" s="323"/>
      <c r="AM392" s="326">
        <f t="shared" si="28"/>
        <v>164</v>
      </c>
      <c r="AN392" s="327">
        <f t="shared" si="30"/>
        <v>1.2764202</v>
      </c>
      <c r="AO392" s="323"/>
      <c r="AP392" s="323">
        <v>735</v>
      </c>
      <c r="AQ392" s="328">
        <f t="shared" si="29"/>
        <v>30835.6398463113</v>
      </c>
    </row>
    <row r="393" spans="1:43">
      <c r="A393" s="341" t="s">
        <v>184</v>
      </c>
      <c r="B393" s="323">
        <v>15.9</v>
      </c>
      <c r="C393" s="323">
        <v>1100</v>
      </c>
      <c r="D393" s="323">
        <v>800</v>
      </c>
      <c r="E393" s="323">
        <v>72</v>
      </c>
      <c r="F393" s="333" t="s">
        <v>199</v>
      </c>
      <c r="G393" s="335">
        <v>46220</v>
      </c>
      <c r="H393" s="323"/>
      <c r="I393" s="323"/>
      <c r="J393" s="323"/>
      <c r="K393" s="323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  <c r="AA393" s="323"/>
      <c r="AB393" s="323"/>
      <c r="AC393" s="323"/>
      <c r="AD393" s="323"/>
      <c r="AE393" s="323"/>
      <c r="AF393" s="323"/>
      <c r="AG393" s="323"/>
      <c r="AH393" s="323"/>
      <c r="AI393" s="323"/>
      <c r="AJ393" s="323"/>
      <c r="AK393" s="323"/>
      <c r="AL393" s="323"/>
      <c r="AM393" s="326">
        <f t="shared" si="28"/>
        <v>72</v>
      </c>
      <c r="AN393" s="327">
        <f t="shared" si="30"/>
        <v>1.0074240000000001</v>
      </c>
      <c r="AO393" s="323"/>
      <c r="AP393" s="323">
        <v>680</v>
      </c>
      <c r="AQ393" s="328">
        <f t="shared" si="29"/>
        <v>22516.099676928003</v>
      </c>
    </row>
    <row r="394" spans="1:43">
      <c r="A394" s="341" t="s">
        <v>184</v>
      </c>
      <c r="B394" s="323">
        <v>15.9</v>
      </c>
      <c r="C394" s="323">
        <v>1100</v>
      </c>
      <c r="D394" s="323">
        <v>750</v>
      </c>
      <c r="E394" s="323">
        <v>72</v>
      </c>
      <c r="F394" s="333" t="s">
        <v>199</v>
      </c>
      <c r="G394" s="335">
        <v>46220</v>
      </c>
      <c r="H394" s="323"/>
      <c r="I394" s="323"/>
      <c r="J394" s="323"/>
      <c r="K394" s="323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  <c r="AA394" s="323"/>
      <c r="AB394" s="323"/>
      <c r="AC394" s="323"/>
      <c r="AD394" s="323"/>
      <c r="AE394" s="323"/>
      <c r="AF394" s="323"/>
      <c r="AG394" s="323"/>
      <c r="AH394" s="323"/>
      <c r="AI394" s="323"/>
      <c r="AJ394" s="323"/>
      <c r="AK394" s="323"/>
      <c r="AL394" s="323"/>
      <c r="AM394" s="326">
        <f t="shared" si="28"/>
        <v>72</v>
      </c>
      <c r="AN394" s="327">
        <f t="shared" si="30"/>
        <v>0.94445999999999997</v>
      </c>
      <c r="AO394" s="323"/>
      <c r="AP394" s="323">
        <v>680</v>
      </c>
      <c r="AQ394" s="328">
        <f t="shared" si="29"/>
        <v>21108.843447119998</v>
      </c>
    </row>
    <row r="395" spans="1:43">
      <c r="A395" s="341" t="s">
        <v>184</v>
      </c>
      <c r="B395" s="323">
        <v>15.9</v>
      </c>
      <c r="C395" s="323">
        <v>1100</v>
      </c>
      <c r="D395" s="323">
        <v>295</v>
      </c>
      <c r="E395" s="323">
        <v>28</v>
      </c>
      <c r="F395" s="333" t="s">
        <v>199</v>
      </c>
      <c r="G395" s="335">
        <v>46220</v>
      </c>
      <c r="H395" s="323"/>
      <c r="I395" s="323"/>
      <c r="J395" s="323"/>
      <c r="K395" s="323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  <c r="AA395" s="323"/>
      <c r="AB395" s="323"/>
      <c r="AC395" s="323"/>
      <c r="AD395" s="323"/>
      <c r="AE395" s="323"/>
      <c r="AF395" s="323"/>
      <c r="AG395" s="323"/>
      <c r="AH395" s="323"/>
      <c r="AI395" s="323"/>
      <c r="AJ395" s="323"/>
      <c r="AK395" s="323"/>
      <c r="AL395" s="323"/>
      <c r="AM395" s="326">
        <f t="shared" si="28"/>
        <v>28</v>
      </c>
      <c r="AN395" s="327">
        <f t="shared" si="30"/>
        <v>0.1444674</v>
      </c>
      <c r="AO395" s="323"/>
      <c r="AP395" s="323">
        <v>680</v>
      </c>
      <c r="AQ395" s="328">
        <f t="shared" si="29"/>
        <v>3228.8712383927996</v>
      </c>
    </row>
    <row r="396" spans="1:43">
      <c r="A396" s="341" t="s">
        <v>184</v>
      </c>
      <c r="B396" s="323">
        <v>15.9</v>
      </c>
      <c r="C396" s="323">
        <v>1100</v>
      </c>
      <c r="D396" s="323">
        <v>371</v>
      </c>
      <c r="E396" s="323">
        <v>76</v>
      </c>
      <c r="F396" s="333" t="s">
        <v>199</v>
      </c>
      <c r="G396" s="335">
        <v>46220</v>
      </c>
      <c r="H396" s="323"/>
      <c r="I396" s="323"/>
      <c r="J396" s="323"/>
      <c r="K396" s="323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  <c r="AA396" s="323"/>
      <c r="AB396" s="323"/>
      <c r="AC396" s="323"/>
      <c r="AD396" s="323"/>
      <c r="AE396" s="323"/>
      <c r="AF396" s="323"/>
      <c r="AG396" s="323"/>
      <c r="AH396" s="323"/>
      <c r="AI396" s="323"/>
      <c r="AJ396" s="323"/>
      <c r="AK396" s="323"/>
      <c r="AL396" s="323"/>
      <c r="AM396" s="326">
        <f t="shared" si="28"/>
        <v>76</v>
      </c>
      <c r="AN396" s="327">
        <f t="shared" si="30"/>
        <v>0.49314804000000001</v>
      </c>
      <c r="AO396" s="323"/>
      <c r="AP396" s="323">
        <v>680</v>
      </c>
      <c r="AQ396" s="328">
        <f t="shared" si="29"/>
        <v>11021.943515462879</v>
      </c>
    </row>
    <row r="397" spans="1:43">
      <c r="A397" s="341" t="s">
        <v>184</v>
      </c>
      <c r="B397" s="323">
        <v>15.9</v>
      </c>
      <c r="C397" s="323">
        <v>1100</v>
      </c>
      <c r="D397" s="323">
        <v>750</v>
      </c>
      <c r="E397" s="323">
        <v>28</v>
      </c>
      <c r="F397" s="333" t="s">
        <v>199</v>
      </c>
      <c r="G397" s="335">
        <v>46220</v>
      </c>
      <c r="H397" s="323"/>
      <c r="I397" s="323"/>
      <c r="J397" s="323"/>
      <c r="K397" s="323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  <c r="AA397" s="323"/>
      <c r="AB397" s="323"/>
      <c r="AC397" s="323"/>
      <c r="AD397" s="323"/>
      <c r="AE397" s="323"/>
      <c r="AF397" s="323"/>
      <c r="AG397" s="323"/>
      <c r="AH397" s="323"/>
      <c r="AI397" s="323"/>
      <c r="AJ397" s="323"/>
      <c r="AK397" s="323"/>
      <c r="AL397" s="323"/>
      <c r="AM397" s="326">
        <f t="shared" si="28"/>
        <v>28</v>
      </c>
      <c r="AN397" s="327">
        <f t="shared" si="30"/>
        <v>0.36729000000000001</v>
      </c>
      <c r="AO397" s="323"/>
      <c r="AP397" s="323">
        <v>680</v>
      </c>
      <c r="AQ397" s="328">
        <f t="shared" si="29"/>
        <v>8208.9946738800008</v>
      </c>
    </row>
    <row r="398" spans="1:43">
      <c r="A398" s="341" t="s">
        <v>184</v>
      </c>
      <c r="B398" s="323">
        <v>15.9</v>
      </c>
      <c r="C398" s="323">
        <v>1100</v>
      </c>
      <c r="D398" s="323">
        <v>521</v>
      </c>
      <c r="E398" s="323">
        <v>146</v>
      </c>
      <c r="F398" s="333" t="s">
        <v>199</v>
      </c>
      <c r="G398" s="335">
        <v>46220</v>
      </c>
      <c r="H398" s="323"/>
      <c r="I398" s="323"/>
      <c r="J398" s="323"/>
      <c r="K398" s="323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  <c r="AA398" s="323"/>
      <c r="AB398" s="323"/>
      <c r="AC398" s="323"/>
      <c r="AD398" s="323"/>
      <c r="AE398" s="323"/>
      <c r="AF398" s="323"/>
      <c r="AG398" s="323"/>
      <c r="AH398" s="323"/>
      <c r="AI398" s="323"/>
      <c r="AJ398" s="323"/>
      <c r="AK398" s="323"/>
      <c r="AL398" s="323"/>
      <c r="AM398" s="326">
        <f t="shared" si="28"/>
        <v>146</v>
      </c>
      <c r="AN398" s="327">
        <f t="shared" si="30"/>
        <v>1.33039434</v>
      </c>
      <c r="AO398" s="323"/>
      <c r="AP398" s="323">
        <v>735</v>
      </c>
      <c r="AQ398" s="328">
        <f t="shared" si="29"/>
        <v>32139.54207384921</v>
      </c>
    </row>
    <row r="399" spans="1:43">
      <c r="A399" s="341" t="s">
        <v>184</v>
      </c>
      <c r="B399" s="323">
        <v>15.9</v>
      </c>
      <c r="C399" s="323">
        <v>1100</v>
      </c>
      <c r="D399" s="323">
        <v>521</v>
      </c>
      <c r="E399" s="323">
        <v>146</v>
      </c>
      <c r="F399" s="333" t="s">
        <v>199</v>
      </c>
      <c r="G399" s="335">
        <v>46220</v>
      </c>
      <c r="H399" s="323"/>
      <c r="I399" s="323"/>
      <c r="J399" s="323"/>
      <c r="K399" s="323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  <c r="AA399" s="323"/>
      <c r="AB399" s="323"/>
      <c r="AC399" s="323"/>
      <c r="AD399" s="323"/>
      <c r="AE399" s="323"/>
      <c r="AF399" s="323"/>
      <c r="AG399" s="323"/>
      <c r="AH399" s="323"/>
      <c r="AI399" s="323"/>
      <c r="AJ399" s="323"/>
      <c r="AK399" s="323"/>
      <c r="AL399" s="323"/>
      <c r="AM399" s="326">
        <f t="shared" si="28"/>
        <v>146</v>
      </c>
      <c r="AN399" s="327">
        <f t="shared" si="30"/>
        <v>1.33039434</v>
      </c>
      <c r="AO399" s="323"/>
      <c r="AP399" s="323">
        <v>735</v>
      </c>
      <c r="AQ399" s="328">
        <f t="shared" si="29"/>
        <v>32139.54207384921</v>
      </c>
    </row>
    <row r="400" spans="1:43">
      <c r="A400" s="341" t="s">
        <v>184</v>
      </c>
      <c r="B400" s="323">
        <v>15.9</v>
      </c>
      <c r="C400" s="323">
        <v>1100</v>
      </c>
      <c r="D400" s="323">
        <v>521</v>
      </c>
      <c r="E400" s="323">
        <v>146</v>
      </c>
      <c r="F400" s="333" t="s">
        <v>199</v>
      </c>
      <c r="G400" s="335">
        <v>46220</v>
      </c>
      <c r="H400" s="323"/>
      <c r="I400" s="323"/>
      <c r="J400" s="323"/>
      <c r="K400" s="323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  <c r="AA400" s="323"/>
      <c r="AB400" s="323"/>
      <c r="AC400" s="323"/>
      <c r="AD400" s="323"/>
      <c r="AE400" s="323"/>
      <c r="AF400" s="323"/>
      <c r="AG400" s="323"/>
      <c r="AH400" s="323"/>
      <c r="AI400" s="323"/>
      <c r="AJ400" s="323"/>
      <c r="AK400" s="323"/>
      <c r="AL400" s="323"/>
      <c r="AM400" s="326">
        <f t="shared" si="28"/>
        <v>146</v>
      </c>
      <c r="AN400" s="327">
        <f t="shared" si="30"/>
        <v>1.33039434</v>
      </c>
      <c r="AO400" s="323"/>
      <c r="AP400" s="323">
        <v>735</v>
      </c>
      <c r="AQ400" s="328">
        <f t="shared" si="29"/>
        <v>32139.54207384921</v>
      </c>
    </row>
    <row r="401" spans="1:43">
      <c r="A401" s="341" t="s">
        <v>184</v>
      </c>
      <c r="B401" s="323">
        <v>15.9</v>
      </c>
      <c r="C401" s="323">
        <v>1100</v>
      </c>
      <c r="D401" s="323">
        <v>521</v>
      </c>
      <c r="E401" s="323">
        <v>146</v>
      </c>
      <c r="F401" s="333" t="s">
        <v>199</v>
      </c>
      <c r="G401" s="335">
        <v>46220</v>
      </c>
      <c r="H401" s="323"/>
      <c r="I401" s="323"/>
      <c r="J401" s="323"/>
      <c r="K401" s="323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  <c r="AA401" s="323"/>
      <c r="AB401" s="323"/>
      <c r="AC401" s="323"/>
      <c r="AD401" s="323"/>
      <c r="AE401" s="323"/>
      <c r="AF401" s="323"/>
      <c r="AG401" s="323"/>
      <c r="AH401" s="323"/>
      <c r="AI401" s="323"/>
      <c r="AJ401" s="323"/>
      <c r="AK401" s="323"/>
      <c r="AL401" s="323"/>
      <c r="AM401" s="326">
        <f t="shared" si="28"/>
        <v>146</v>
      </c>
      <c r="AN401" s="327">
        <f t="shared" si="30"/>
        <v>1.33039434</v>
      </c>
      <c r="AO401" s="323"/>
      <c r="AP401" s="323">
        <v>735</v>
      </c>
      <c r="AQ401" s="328">
        <f t="shared" si="29"/>
        <v>32139.54207384921</v>
      </c>
    </row>
    <row r="402" spans="1:43">
      <c r="A402" s="341" t="s">
        <v>184</v>
      </c>
      <c r="B402" s="323">
        <v>15.9</v>
      </c>
      <c r="C402" s="323">
        <v>1100</v>
      </c>
      <c r="D402" s="323">
        <v>445</v>
      </c>
      <c r="E402" s="323">
        <v>164</v>
      </c>
      <c r="F402" s="333" t="s">
        <v>199</v>
      </c>
      <c r="G402" s="335">
        <v>46220</v>
      </c>
      <c r="H402" s="323"/>
      <c r="I402" s="323"/>
      <c r="J402" s="323"/>
      <c r="K402" s="323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  <c r="AA402" s="323"/>
      <c r="AB402" s="323"/>
      <c r="AC402" s="323"/>
      <c r="AD402" s="323"/>
      <c r="AE402" s="323"/>
      <c r="AF402" s="323"/>
      <c r="AG402" s="323"/>
      <c r="AH402" s="323"/>
      <c r="AI402" s="323"/>
      <c r="AJ402" s="323"/>
      <c r="AK402" s="323"/>
      <c r="AL402" s="323"/>
      <c r="AM402" s="326">
        <f t="shared" si="28"/>
        <v>164</v>
      </c>
      <c r="AN402" s="327">
        <f t="shared" si="30"/>
        <v>1.2764202</v>
      </c>
      <c r="AO402" s="323"/>
      <c r="AP402" s="323">
        <v>735</v>
      </c>
      <c r="AQ402" s="328">
        <f t="shared" si="29"/>
        <v>30835.6398463113</v>
      </c>
    </row>
    <row r="403" spans="1:43">
      <c r="A403" s="341" t="s">
        <v>184</v>
      </c>
      <c r="B403" s="323">
        <v>15.9</v>
      </c>
      <c r="C403" s="323">
        <v>1100</v>
      </c>
      <c r="D403" s="323">
        <v>445</v>
      </c>
      <c r="E403" s="323">
        <v>164</v>
      </c>
      <c r="F403" s="333" t="s">
        <v>199</v>
      </c>
      <c r="G403" s="335">
        <v>46220</v>
      </c>
      <c r="H403" s="323"/>
      <c r="I403" s="323"/>
      <c r="J403" s="323"/>
      <c r="K403" s="323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  <c r="AA403" s="323"/>
      <c r="AB403" s="323"/>
      <c r="AC403" s="323"/>
      <c r="AD403" s="323"/>
      <c r="AE403" s="323"/>
      <c r="AF403" s="323"/>
      <c r="AG403" s="323"/>
      <c r="AH403" s="323"/>
      <c r="AI403" s="323"/>
      <c r="AJ403" s="323"/>
      <c r="AK403" s="323"/>
      <c r="AL403" s="323"/>
      <c r="AM403" s="326">
        <f t="shared" si="28"/>
        <v>164</v>
      </c>
      <c r="AN403" s="327">
        <f t="shared" si="30"/>
        <v>1.2764202</v>
      </c>
      <c r="AO403" s="323"/>
      <c r="AP403" s="323">
        <v>735</v>
      </c>
      <c r="AQ403" s="328">
        <f t="shared" si="29"/>
        <v>30835.6398463113</v>
      </c>
    </row>
    <row r="404" spans="1:43">
      <c r="A404" s="341" t="s">
        <v>184</v>
      </c>
      <c r="B404" s="323">
        <v>15.9</v>
      </c>
      <c r="C404" s="323">
        <v>1100</v>
      </c>
      <c r="D404" s="323">
        <v>445</v>
      </c>
      <c r="E404" s="323">
        <v>164</v>
      </c>
      <c r="F404" s="333" t="s">
        <v>199</v>
      </c>
      <c r="G404" s="335">
        <v>46220</v>
      </c>
      <c r="H404" s="323"/>
      <c r="I404" s="323"/>
      <c r="J404" s="323"/>
      <c r="K404" s="323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  <c r="AA404" s="323"/>
      <c r="AB404" s="323"/>
      <c r="AC404" s="323"/>
      <c r="AD404" s="323"/>
      <c r="AE404" s="323"/>
      <c r="AF404" s="323"/>
      <c r="AG404" s="323"/>
      <c r="AH404" s="323"/>
      <c r="AI404" s="323"/>
      <c r="AJ404" s="323"/>
      <c r="AK404" s="323"/>
      <c r="AL404" s="323"/>
      <c r="AM404" s="326">
        <f t="shared" si="28"/>
        <v>164</v>
      </c>
      <c r="AN404" s="327">
        <f t="shared" si="30"/>
        <v>1.2764202</v>
      </c>
      <c r="AO404" s="323"/>
      <c r="AP404" s="323">
        <v>735</v>
      </c>
      <c r="AQ404" s="328">
        <f t="shared" si="29"/>
        <v>30835.6398463113</v>
      </c>
    </row>
    <row r="405" spans="1:43">
      <c r="A405" s="341" t="s">
        <v>184</v>
      </c>
      <c r="B405" s="323">
        <v>15.9</v>
      </c>
      <c r="C405" s="323">
        <v>1100</v>
      </c>
      <c r="D405" s="323">
        <v>445</v>
      </c>
      <c r="E405" s="323">
        <v>164</v>
      </c>
      <c r="F405" s="333" t="s">
        <v>199</v>
      </c>
      <c r="G405" s="335">
        <v>46220</v>
      </c>
      <c r="H405" s="323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/>
      <c r="X405" s="323"/>
      <c r="Y405" s="323"/>
      <c r="Z405" s="323"/>
      <c r="AA405" s="323"/>
      <c r="AB405" s="323"/>
      <c r="AC405" s="323"/>
      <c r="AD405" s="323"/>
      <c r="AE405" s="323"/>
      <c r="AF405" s="323"/>
      <c r="AG405" s="323"/>
      <c r="AH405" s="323"/>
      <c r="AI405" s="323"/>
      <c r="AJ405" s="323"/>
      <c r="AK405" s="323"/>
      <c r="AL405" s="323"/>
      <c r="AM405" s="326">
        <f t="shared" si="28"/>
        <v>164</v>
      </c>
      <c r="AN405" s="327">
        <f t="shared" si="30"/>
        <v>1.2764202</v>
      </c>
      <c r="AO405" s="323"/>
      <c r="AP405" s="323">
        <v>735</v>
      </c>
      <c r="AQ405" s="328">
        <f t="shared" si="29"/>
        <v>30835.6398463113</v>
      </c>
    </row>
    <row r="406" spans="1:43">
      <c r="A406" s="341" t="s">
        <v>184</v>
      </c>
      <c r="B406" s="323">
        <v>15.9</v>
      </c>
      <c r="C406" s="323">
        <v>1100</v>
      </c>
      <c r="D406" s="323">
        <v>520</v>
      </c>
      <c r="E406" s="323">
        <v>146</v>
      </c>
      <c r="F406" s="333" t="s">
        <v>199</v>
      </c>
      <c r="G406" s="335">
        <v>46220</v>
      </c>
      <c r="H406" s="323"/>
      <c r="I406" s="323"/>
      <c r="J406" s="323"/>
      <c r="K406" s="323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  <c r="AA406" s="323"/>
      <c r="AB406" s="323"/>
      <c r="AC406" s="323"/>
      <c r="AD406" s="323"/>
      <c r="AE406" s="323"/>
      <c r="AF406" s="323"/>
      <c r="AG406" s="323"/>
      <c r="AH406" s="323"/>
      <c r="AI406" s="323"/>
      <c r="AJ406" s="323"/>
      <c r="AK406" s="323"/>
      <c r="AL406" s="323"/>
      <c r="AM406" s="326">
        <f t="shared" si="28"/>
        <v>146</v>
      </c>
      <c r="AN406" s="327">
        <f t="shared" si="30"/>
        <v>1.3278407999999999</v>
      </c>
      <c r="AO406" s="323"/>
      <c r="AP406" s="323">
        <v>680</v>
      </c>
      <c r="AQ406" s="328">
        <f t="shared" si="29"/>
        <v>29677.470268617599</v>
      </c>
    </row>
    <row r="407" spans="1:43">
      <c r="A407" s="341" t="s">
        <v>184</v>
      </c>
      <c r="B407" s="323">
        <v>15.9</v>
      </c>
      <c r="C407" s="323">
        <v>1100</v>
      </c>
      <c r="D407" s="323">
        <v>371</v>
      </c>
      <c r="E407" s="323">
        <v>152</v>
      </c>
      <c r="F407" s="333" t="s">
        <v>199</v>
      </c>
      <c r="G407" s="335">
        <v>46220</v>
      </c>
      <c r="H407" s="323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  <c r="AA407" s="323"/>
      <c r="AB407" s="323"/>
      <c r="AC407" s="323"/>
      <c r="AD407" s="323"/>
      <c r="AE407" s="323"/>
      <c r="AF407" s="323"/>
      <c r="AG407" s="323"/>
      <c r="AH407" s="323"/>
      <c r="AI407" s="323"/>
      <c r="AJ407" s="323"/>
      <c r="AK407" s="323"/>
      <c r="AL407" s="323"/>
      <c r="AM407" s="326">
        <f t="shared" si="28"/>
        <v>152</v>
      </c>
      <c r="AN407" s="327">
        <f t="shared" si="30"/>
        <v>0.98629608000000002</v>
      </c>
      <c r="AO407" s="323"/>
      <c r="AP407" s="323">
        <v>680</v>
      </c>
      <c r="AQ407" s="328">
        <f t="shared" si="29"/>
        <v>22043.887030925758</v>
      </c>
    </row>
    <row r="408" spans="1:43">
      <c r="A408" s="341" t="s">
        <v>184</v>
      </c>
      <c r="B408" s="323">
        <v>15.9</v>
      </c>
      <c r="C408" s="323">
        <v>1100</v>
      </c>
      <c r="D408" s="323">
        <v>520</v>
      </c>
      <c r="E408" s="323">
        <v>146</v>
      </c>
      <c r="F408" s="333" t="s">
        <v>199</v>
      </c>
      <c r="G408" s="335">
        <v>46220</v>
      </c>
      <c r="H408" s="323"/>
      <c r="I408" s="323"/>
      <c r="J408" s="323"/>
      <c r="K408" s="323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  <c r="AA408" s="323"/>
      <c r="AB408" s="323"/>
      <c r="AC408" s="323"/>
      <c r="AD408" s="323"/>
      <c r="AE408" s="323"/>
      <c r="AF408" s="323"/>
      <c r="AG408" s="323"/>
      <c r="AH408" s="323"/>
      <c r="AI408" s="323"/>
      <c r="AJ408" s="323"/>
      <c r="AK408" s="323"/>
      <c r="AL408" s="323"/>
      <c r="AM408" s="326">
        <f t="shared" si="28"/>
        <v>146</v>
      </c>
      <c r="AN408" s="327">
        <f t="shared" si="30"/>
        <v>1.3278407999999999</v>
      </c>
      <c r="AO408" s="323"/>
      <c r="AP408" s="323">
        <v>680</v>
      </c>
      <c r="AQ408" s="328">
        <f t="shared" si="29"/>
        <v>29677.470268617599</v>
      </c>
    </row>
    <row r="409" spans="1:43">
      <c r="A409" s="341" t="s">
        <v>184</v>
      </c>
      <c r="B409" s="323">
        <v>15.9</v>
      </c>
      <c r="C409" s="323">
        <v>1100</v>
      </c>
      <c r="D409" s="323">
        <v>445</v>
      </c>
      <c r="E409" s="323">
        <v>164</v>
      </c>
      <c r="F409" s="333" t="s">
        <v>199</v>
      </c>
      <c r="G409" s="335">
        <v>46220</v>
      </c>
      <c r="H409" s="323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  <c r="AA409" s="323"/>
      <c r="AB409" s="323"/>
      <c r="AC409" s="323"/>
      <c r="AD409" s="323"/>
      <c r="AE409" s="323"/>
      <c r="AF409" s="323"/>
      <c r="AG409" s="323"/>
      <c r="AH409" s="323"/>
      <c r="AI409" s="323"/>
      <c r="AJ409" s="323"/>
      <c r="AK409" s="323"/>
      <c r="AL409" s="323"/>
      <c r="AM409" s="326">
        <f t="shared" si="28"/>
        <v>164</v>
      </c>
      <c r="AN409" s="327">
        <f t="shared" si="30"/>
        <v>1.2764202</v>
      </c>
      <c r="AO409" s="323"/>
      <c r="AP409" s="323">
        <v>735</v>
      </c>
      <c r="AQ409" s="328">
        <f t="shared" si="29"/>
        <v>30835.6398463113</v>
      </c>
    </row>
    <row r="410" spans="1:43">
      <c r="A410" s="341" t="s">
        <v>184</v>
      </c>
      <c r="B410" s="323">
        <v>15.9</v>
      </c>
      <c r="C410" s="323">
        <v>1100</v>
      </c>
      <c r="D410" s="323">
        <v>445</v>
      </c>
      <c r="E410" s="323">
        <v>164</v>
      </c>
      <c r="F410" s="333" t="s">
        <v>199</v>
      </c>
      <c r="G410" s="335">
        <v>46220</v>
      </c>
      <c r="H410" s="323"/>
      <c r="I410" s="323"/>
      <c r="J410" s="323"/>
      <c r="K410" s="323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  <c r="AA410" s="323"/>
      <c r="AB410" s="323"/>
      <c r="AC410" s="323"/>
      <c r="AD410" s="323"/>
      <c r="AE410" s="323"/>
      <c r="AF410" s="323"/>
      <c r="AG410" s="323"/>
      <c r="AH410" s="323"/>
      <c r="AI410" s="323"/>
      <c r="AJ410" s="323"/>
      <c r="AK410" s="323"/>
      <c r="AL410" s="323"/>
      <c r="AM410" s="326">
        <f t="shared" si="28"/>
        <v>164</v>
      </c>
      <c r="AN410" s="327">
        <f t="shared" si="30"/>
        <v>1.2764202</v>
      </c>
      <c r="AO410" s="323"/>
      <c r="AP410" s="323">
        <v>735</v>
      </c>
      <c r="AQ410" s="328">
        <f t="shared" si="29"/>
        <v>30835.6398463113</v>
      </c>
    </row>
    <row r="411" spans="1:43">
      <c r="A411" s="341" t="s">
        <v>184</v>
      </c>
      <c r="B411" s="323">
        <v>15.9</v>
      </c>
      <c r="C411" s="323">
        <v>1100</v>
      </c>
      <c r="D411" s="323">
        <v>521</v>
      </c>
      <c r="E411" s="323">
        <v>46</v>
      </c>
      <c r="F411" s="333" t="s">
        <v>199</v>
      </c>
      <c r="G411" s="335">
        <v>46220</v>
      </c>
      <c r="H411" s="323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  <c r="AA411" s="323"/>
      <c r="AB411" s="323"/>
      <c r="AC411" s="323"/>
      <c r="AD411" s="323"/>
      <c r="AE411" s="323"/>
      <c r="AF411" s="323"/>
      <c r="AG411" s="323"/>
      <c r="AH411" s="323"/>
      <c r="AI411" s="323"/>
      <c r="AJ411" s="323"/>
      <c r="AK411" s="323"/>
      <c r="AL411" s="323"/>
      <c r="AM411" s="326">
        <f t="shared" si="28"/>
        <v>46</v>
      </c>
      <c r="AN411" s="327">
        <f t="shared" si="30"/>
        <v>0.41916534</v>
      </c>
      <c r="AO411" s="323"/>
      <c r="AP411" s="323">
        <v>735</v>
      </c>
      <c r="AQ411" s="328">
        <f t="shared" si="29"/>
        <v>10126.15709176071</v>
      </c>
    </row>
    <row r="412" spans="1:43">
      <c r="A412" s="341" t="s">
        <v>184</v>
      </c>
      <c r="B412" s="323">
        <v>15.9</v>
      </c>
      <c r="C412" s="323">
        <v>1100</v>
      </c>
      <c r="D412" s="323">
        <v>445</v>
      </c>
      <c r="E412" s="323">
        <v>86</v>
      </c>
      <c r="F412" s="333" t="s">
        <v>199</v>
      </c>
      <c r="G412" s="335">
        <v>46220</v>
      </c>
      <c r="H412" s="323"/>
      <c r="I412" s="323"/>
      <c r="J412" s="323"/>
      <c r="K412" s="323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  <c r="AA412" s="323"/>
      <c r="AB412" s="323"/>
      <c r="AC412" s="323"/>
      <c r="AD412" s="323"/>
      <c r="AE412" s="323"/>
      <c r="AF412" s="323"/>
      <c r="AG412" s="323"/>
      <c r="AH412" s="323"/>
      <c r="AI412" s="323"/>
      <c r="AJ412" s="323"/>
      <c r="AK412" s="323"/>
      <c r="AL412" s="323"/>
      <c r="AM412" s="326">
        <f t="shared" si="28"/>
        <v>86</v>
      </c>
      <c r="AN412" s="327">
        <f t="shared" si="30"/>
        <v>0.66934229999999995</v>
      </c>
      <c r="AO412" s="323"/>
      <c r="AP412" s="323">
        <v>680</v>
      </c>
      <c r="AQ412" s="328">
        <f t="shared" si="29"/>
        <v>14959.915531875598</v>
      </c>
    </row>
    <row r="413" spans="1:43">
      <c r="A413" s="341" t="s">
        <v>184</v>
      </c>
      <c r="B413" s="323">
        <v>15.9</v>
      </c>
      <c r="C413" s="323">
        <v>1100</v>
      </c>
      <c r="D413" s="323">
        <v>520</v>
      </c>
      <c r="E413" s="323">
        <v>16</v>
      </c>
      <c r="F413" s="333" t="s">
        <v>199</v>
      </c>
      <c r="G413" s="335">
        <v>46220</v>
      </c>
      <c r="H413" s="323"/>
      <c r="I413" s="323"/>
      <c r="J413" s="323"/>
      <c r="K413" s="323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  <c r="AA413" s="323"/>
      <c r="AB413" s="323"/>
      <c r="AC413" s="323"/>
      <c r="AD413" s="323"/>
      <c r="AE413" s="323"/>
      <c r="AF413" s="323"/>
      <c r="AG413" s="323"/>
      <c r="AH413" s="323"/>
      <c r="AI413" s="323"/>
      <c r="AJ413" s="323"/>
      <c r="AK413" s="323"/>
      <c r="AL413" s="323"/>
      <c r="AM413" s="326">
        <f t="shared" si="28"/>
        <v>16</v>
      </c>
      <c r="AN413" s="327">
        <f t="shared" si="30"/>
        <v>0.1455168</v>
      </c>
      <c r="AO413" s="323"/>
      <c r="AP413" s="323">
        <v>680</v>
      </c>
      <c r="AQ413" s="328">
        <f t="shared" si="29"/>
        <v>3252.3255088895999</v>
      </c>
    </row>
    <row r="414" spans="1:43">
      <c r="A414" s="341" t="s">
        <v>184</v>
      </c>
      <c r="B414" s="323">
        <v>15.9</v>
      </c>
      <c r="C414" s="323">
        <v>1100</v>
      </c>
      <c r="D414" s="323">
        <v>445</v>
      </c>
      <c r="E414" s="323">
        <v>164</v>
      </c>
      <c r="F414" s="333" t="s">
        <v>199</v>
      </c>
      <c r="G414" s="335">
        <v>46220</v>
      </c>
      <c r="H414" s="323"/>
      <c r="I414" s="323"/>
      <c r="J414" s="323"/>
      <c r="K414" s="323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  <c r="AA414" s="323"/>
      <c r="AB414" s="323"/>
      <c r="AC414" s="323"/>
      <c r="AD414" s="323"/>
      <c r="AE414" s="323"/>
      <c r="AF414" s="323"/>
      <c r="AG414" s="323"/>
      <c r="AH414" s="323"/>
      <c r="AI414" s="323"/>
      <c r="AJ414" s="323"/>
      <c r="AK414" s="323"/>
      <c r="AL414" s="323"/>
      <c r="AM414" s="326">
        <f t="shared" si="28"/>
        <v>164</v>
      </c>
      <c r="AN414" s="327">
        <f t="shared" si="30"/>
        <v>1.2764202</v>
      </c>
      <c r="AO414" s="323"/>
      <c r="AP414" s="323">
        <v>680</v>
      </c>
      <c r="AQ414" s="328">
        <f t="shared" si="29"/>
        <v>28528.211014274399</v>
      </c>
    </row>
    <row r="415" spans="1:43">
      <c r="A415" s="341" t="s">
        <v>184</v>
      </c>
      <c r="B415" s="323">
        <v>15.9</v>
      </c>
      <c r="C415" s="323">
        <v>1100</v>
      </c>
      <c r="D415" s="323">
        <v>445</v>
      </c>
      <c r="E415" s="323">
        <v>96</v>
      </c>
      <c r="F415" s="333" t="s">
        <v>199</v>
      </c>
      <c r="G415" s="335">
        <v>46220</v>
      </c>
      <c r="H415" s="323"/>
      <c r="I415" s="323"/>
      <c r="J415" s="323"/>
      <c r="K415" s="323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  <c r="AA415" s="323"/>
      <c r="AB415" s="323"/>
      <c r="AC415" s="323"/>
      <c r="AD415" s="323"/>
      <c r="AE415" s="323"/>
      <c r="AF415" s="323"/>
      <c r="AG415" s="323"/>
      <c r="AH415" s="323"/>
      <c r="AI415" s="323"/>
      <c r="AJ415" s="323"/>
      <c r="AK415" s="323"/>
      <c r="AL415" s="323"/>
      <c r="AM415" s="326">
        <f t="shared" si="28"/>
        <v>96</v>
      </c>
      <c r="AN415" s="327">
        <f t="shared" si="30"/>
        <v>0.74717279999999997</v>
      </c>
      <c r="AO415" s="323"/>
      <c r="AP415" s="323">
        <v>735</v>
      </c>
      <c r="AQ415" s="328">
        <f t="shared" si="29"/>
        <v>18050.130641743199</v>
      </c>
    </row>
    <row r="416" spans="1:43">
      <c r="A416" s="341" t="s">
        <v>184</v>
      </c>
      <c r="B416" s="323">
        <v>15.9</v>
      </c>
      <c r="C416" s="323">
        <v>1100</v>
      </c>
      <c r="D416" s="323">
        <v>521</v>
      </c>
      <c r="E416" s="323">
        <v>58</v>
      </c>
      <c r="F416" s="333" t="s">
        <v>199</v>
      </c>
      <c r="G416" s="335">
        <v>46220</v>
      </c>
      <c r="H416" s="323"/>
      <c r="I416" s="323"/>
      <c r="J416" s="323"/>
      <c r="K416" s="323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  <c r="AA416" s="323"/>
      <c r="AB416" s="323"/>
      <c r="AC416" s="323"/>
      <c r="AD416" s="323"/>
      <c r="AE416" s="323"/>
      <c r="AF416" s="323"/>
      <c r="AG416" s="323"/>
      <c r="AH416" s="323"/>
      <c r="AI416" s="323"/>
      <c r="AJ416" s="323"/>
      <c r="AK416" s="323"/>
      <c r="AL416" s="323"/>
      <c r="AM416" s="326">
        <f t="shared" si="28"/>
        <v>58</v>
      </c>
      <c r="AN416" s="327">
        <f t="shared" si="30"/>
        <v>0.52851281999999999</v>
      </c>
      <c r="AO416" s="323"/>
      <c r="AP416" s="323">
        <v>735</v>
      </c>
      <c r="AQ416" s="328">
        <f t="shared" si="29"/>
        <v>12767.76328961133</v>
      </c>
    </row>
    <row r="417" spans="1:44">
      <c r="A417" s="341" t="s">
        <v>184</v>
      </c>
      <c r="B417" s="323">
        <v>15.9</v>
      </c>
      <c r="C417" s="323">
        <v>1100</v>
      </c>
      <c r="D417" s="323">
        <v>445</v>
      </c>
      <c r="E417" s="323">
        <v>164</v>
      </c>
      <c r="F417" s="333" t="s">
        <v>199</v>
      </c>
      <c r="G417" s="335">
        <v>46220</v>
      </c>
      <c r="H417" s="323"/>
      <c r="I417" s="323"/>
      <c r="J417" s="323"/>
      <c r="K417" s="323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  <c r="AA417" s="323"/>
      <c r="AB417" s="323"/>
      <c r="AC417" s="323"/>
      <c r="AD417" s="323"/>
      <c r="AE417" s="323"/>
      <c r="AF417" s="323"/>
      <c r="AG417" s="323"/>
      <c r="AH417" s="323"/>
      <c r="AI417" s="323"/>
      <c r="AJ417" s="323"/>
      <c r="AK417" s="323"/>
      <c r="AL417" s="323"/>
      <c r="AM417" s="326">
        <f t="shared" si="28"/>
        <v>164</v>
      </c>
      <c r="AN417" s="327">
        <f t="shared" si="30"/>
        <v>1.2764202</v>
      </c>
      <c r="AO417" s="323"/>
      <c r="AP417" s="323">
        <v>735</v>
      </c>
      <c r="AQ417" s="328">
        <f t="shared" si="29"/>
        <v>30835.6398463113</v>
      </c>
    </row>
    <row r="418" spans="1:44">
      <c r="A418" s="341" t="s">
        <v>184</v>
      </c>
      <c r="B418" s="323">
        <v>15.9</v>
      </c>
      <c r="C418" s="323">
        <v>1100</v>
      </c>
      <c r="D418" s="323">
        <v>445</v>
      </c>
      <c r="E418" s="323">
        <v>164</v>
      </c>
      <c r="F418" s="333" t="s">
        <v>199</v>
      </c>
      <c r="G418" s="335">
        <v>46220</v>
      </c>
      <c r="H418" s="323"/>
      <c r="I418" s="323"/>
      <c r="J418" s="323"/>
      <c r="K418" s="323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  <c r="AA418" s="323"/>
      <c r="AB418" s="323"/>
      <c r="AC418" s="323"/>
      <c r="AD418" s="323"/>
      <c r="AE418" s="323"/>
      <c r="AF418" s="323"/>
      <c r="AG418" s="323"/>
      <c r="AH418" s="323"/>
      <c r="AI418" s="323"/>
      <c r="AJ418" s="323"/>
      <c r="AK418" s="323"/>
      <c r="AL418" s="323"/>
      <c r="AM418" s="326">
        <f t="shared" si="28"/>
        <v>164</v>
      </c>
      <c r="AN418" s="327">
        <f t="shared" si="30"/>
        <v>1.2764202</v>
      </c>
      <c r="AO418" s="323"/>
      <c r="AP418" s="323">
        <v>735</v>
      </c>
      <c r="AQ418" s="328">
        <f t="shared" si="29"/>
        <v>30835.6398463113</v>
      </c>
    </row>
    <row r="419" spans="1:44">
      <c r="A419" s="341" t="s">
        <v>184</v>
      </c>
      <c r="B419" s="323">
        <v>15.9</v>
      </c>
      <c r="C419" s="323">
        <v>1100</v>
      </c>
      <c r="D419" s="323">
        <v>1219</v>
      </c>
      <c r="E419" s="323">
        <v>72</v>
      </c>
      <c r="F419" s="333" t="s">
        <v>199</v>
      </c>
      <c r="G419" s="335">
        <v>46220</v>
      </c>
      <c r="H419" s="323"/>
      <c r="I419" s="323"/>
      <c r="J419" s="323"/>
      <c r="K419" s="323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  <c r="AA419" s="323"/>
      <c r="AB419" s="323"/>
      <c r="AC419" s="323"/>
      <c r="AD419" s="323"/>
      <c r="AE419" s="323"/>
      <c r="AF419" s="323"/>
      <c r="AG419" s="323"/>
      <c r="AH419" s="323"/>
      <c r="AI419" s="323"/>
      <c r="AJ419" s="323"/>
      <c r="AK419" s="323"/>
      <c r="AL419" s="323"/>
      <c r="AM419" s="326">
        <f t="shared" si="28"/>
        <v>72</v>
      </c>
      <c r="AN419" s="327">
        <f t="shared" si="30"/>
        <v>1.53506232</v>
      </c>
      <c r="AO419" s="323"/>
      <c r="AP419" s="323">
        <v>680</v>
      </c>
      <c r="AQ419" s="328">
        <f t="shared" si="29"/>
        <v>34308.906882719035</v>
      </c>
    </row>
    <row r="420" spans="1:44">
      <c r="A420" s="341" t="s">
        <v>184</v>
      </c>
      <c r="B420" s="323">
        <v>15.9</v>
      </c>
      <c r="C420" s="323">
        <v>1100</v>
      </c>
      <c r="D420" s="323">
        <v>1219</v>
      </c>
      <c r="E420" s="323">
        <v>72</v>
      </c>
      <c r="F420" s="333" t="s">
        <v>199</v>
      </c>
      <c r="G420" s="335">
        <v>46220</v>
      </c>
      <c r="H420" s="323"/>
      <c r="I420" s="323"/>
      <c r="J420" s="323"/>
      <c r="K420" s="323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  <c r="AA420" s="323"/>
      <c r="AB420" s="323"/>
      <c r="AC420" s="323"/>
      <c r="AD420" s="323"/>
      <c r="AE420" s="323"/>
      <c r="AF420" s="323"/>
      <c r="AG420" s="323"/>
      <c r="AH420" s="323"/>
      <c r="AI420" s="323"/>
      <c r="AJ420" s="323"/>
      <c r="AK420" s="323"/>
      <c r="AL420" s="323"/>
      <c r="AM420" s="326">
        <f t="shared" si="28"/>
        <v>72</v>
      </c>
      <c r="AN420" s="327">
        <f t="shared" si="30"/>
        <v>1.53506232</v>
      </c>
      <c r="AO420" s="323"/>
      <c r="AP420" s="323">
        <v>680</v>
      </c>
      <c r="AQ420" s="328">
        <f t="shared" si="29"/>
        <v>34308.906882719035</v>
      </c>
    </row>
    <row r="421" spans="1:44">
      <c r="A421" s="341" t="s">
        <v>184</v>
      </c>
      <c r="B421" s="323">
        <v>15.9</v>
      </c>
      <c r="C421" s="323">
        <v>1100</v>
      </c>
      <c r="D421" s="323">
        <v>1219</v>
      </c>
      <c r="E421" s="323">
        <v>72</v>
      </c>
      <c r="F421" s="333" t="s">
        <v>199</v>
      </c>
      <c r="G421" s="335">
        <v>46220</v>
      </c>
      <c r="H421" s="323"/>
      <c r="I421" s="323"/>
      <c r="J421" s="323"/>
      <c r="K421" s="323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  <c r="AA421" s="323"/>
      <c r="AB421" s="323"/>
      <c r="AC421" s="323"/>
      <c r="AD421" s="323"/>
      <c r="AE421" s="323"/>
      <c r="AF421" s="323"/>
      <c r="AG421" s="323"/>
      <c r="AH421" s="323"/>
      <c r="AI421" s="323"/>
      <c r="AJ421" s="323"/>
      <c r="AK421" s="323"/>
      <c r="AL421" s="323"/>
      <c r="AM421" s="326">
        <f t="shared" si="28"/>
        <v>72</v>
      </c>
      <c r="AN421" s="327">
        <f t="shared" si="30"/>
        <v>1.53506232</v>
      </c>
      <c r="AO421" s="323"/>
      <c r="AP421" s="323">
        <v>680</v>
      </c>
      <c r="AQ421" s="328">
        <f t="shared" si="29"/>
        <v>34308.906882719035</v>
      </c>
    </row>
    <row r="422" spans="1:44">
      <c r="A422" s="341" t="s">
        <v>184</v>
      </c>
      <c r="B422" s="323">
        <v>15.9</v>
      </c>
      <c r="C422" s="323">
        <v>1100</v>
      </c>
      <c r="D422" s="323">
        <v>1219</v>
      </c>
      <c r="E422" s="323">
        <v>72</v>
      </c>
      <c r="F422" s="333" t="s">
        <v>199</v>
      </c>
      <c r="G422" s="335">
        <v>46220</v>
      </c>
      <c r="H422" s="323"/>
      <c r="I422" s="323"/>
      <c r="J422" s="323"/>
      <c r="K422" s="323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  <c r="AA422" s="323"/>
      <c r="AB422" s="323"/>
      <c r="AC422" s="323"/>
      <c r="AD422" s="323"/>
      <c r="AE422" s="323"/>
      <c r="AF422" s="323"/>
      <c r="AG422" s="323"/>
      <c r="AH422" s="323"/>
      <c r="AI422" s="323"/>
      <c r="AJ422" s="323"/>
      <c r="AK422" s="323"/>
      <c r="AL422" s="323"/>
      <c r="AM422" s="326">
        <f t="shared" si="28"/>
        <v>72</v>
      </c>
      <c r="AN422" s="327">
        <f t="shared" si="30"/>
        <v>1.53506232</v>
      </c>
      <c r="AO422" s="323"/>
      <c r="AP422" s="323">
        <v>680</v>
      </c>
      <c r="AQ422" s="328">
        <f t="shared" si="29"/>
        <v>34308.906882719035</v>
      </c>
    </row>
    <row r="423" spans="1:44">
      <c r="A423" s="341" t="s">
        <v>184</v>
      </c>
      <c r="B423" s="323">
        <v>15.9</v>
      </c>
      <c r="C423" s="323">
        <v>1100</v>
      </c>
      <c r="D423" s="323">
        <v>1219</v>
      </c>
      <c r="E423" s="323">
        <v>62</v>
      </c>
      <c r="F423" s="333" t="s">
        <v>199</v>
      </c>
      <c r="G423" s="335">
        <v>46220</v>
      </c>
      <c r="H423" s="323"/>
      <c r="I423" s="323"/>
      <c r="J423" s="323"/>
      <c r="K423" s="323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  <c r="AA423" s="323"/>
      <c r="AB423" s="323"/>
      <c r="AC423" s="323"/>
      <c r="AD423" s="323"/>
      <c r="AE423" s="323"/>
      <c r="AF423" s="323"/>
      <c r="AG423" s="323"/>
      <c r="AH423" s="323"/>
      <c r="AI423" s="323"/>
      <c r="AJ423" s="323"/>
      <c r="AK423" s="323"/>
      <c r="AL423" s="323"/>
      <c r="AM423" s="326">
        <f t="shared" ref="AM423:AM426" si="31">E423-H423-I423-J423-K423-L423-M423-N423-O423-P423-Q423-R423-S423-T423-U423-V423-W423-X423-Y423-Z423-AA423-AB423-AC423-AD423-AE423-AF423-AG423-AH423-AI423-AJ423-AK423-AL423</f>
        <v>62</v>
      </c>
      <c r="AN423" s="327">
        <f t="shared" si="30"/>
        <v>1.3218592199999999</v>
      </c>
      <c r="AO423" s="323"/>
      <c r="AP423" s="323">
        <v>680</v>
      </c>
      <c r="AQ423" s="328">
        <f t="shared" si="29"/>
        <v>29543.780926785836</v>
      </c>
    </row>
    <row r="424" spans="1:44">
      <c r="A424" s="341" t="s">
        <v>184</v>
      </c>
      <c r="B424" s="323">
        <v>15.9</v>
      </c>
      <c r="C424" s="323">
        <v>1100</v>
      </c>
      <c r="D424" s="323">
        <v>521</v>
      </c>
      <c r="E424" s="323">
        <v>20</v>
      </c>
      <c r="F424" s="333" t="s">
        <v>199</v>
      </c>
      <c r="G424" s="335">
        <v>46220</v>
      </c>
      <c r="H424" s="323"/>
      <c r="I424" s="323"/>
      <c r="J424" s="323"/>
      <c r="K424" s="323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  <c r="AA424" s="323"/>
      <c r="AB424" s="323"/>
      <c r="AC424" s="323"/>
      <c r="AD424" s="323"/>
      <c r="AE424" s="323"/>
      <c r="AF424" s="323"/>
      <c r="AG424" s="323"/>
      <c r="AH424" s="323"/>
      <c r="AI424" s="323"/>
      <c r="AJ424" s="323"/>
      <c r="AK424" s="323"/>
      <c r="AL424" s="323"/>
      <c r="AM424" s="326">
        <f t="shared" si="31"/>
        <v>20</v>
      </c>
      <c r="AN424" s="327">
        <f t="shared" si="30"/>
        <v>0.18224580000000001</v>
      </c>
      <c r="AO424" s="323"/>
      <c r="AP424" s="323">
        <v>735</v>
      </c>
      <c r="AQ424" s="328">
        <f t="shared" ref="AQ424:AQ426" si="32">AN424*AP424*32.8679</f>
        <v>4402.6769964177001</v>
      </c>
    </row>
    <row r="425" spans="1:44">
      <c r="A425" s="341" t="s">
        <v>184</v>
      </c>
      <c r="B425" s="323">
        <v>15.9</v>
      </c>
      <c r="C425" s="323">
        <v>1100</v>
      </c>
      <c r="D425" s="323">
        <v>520</v>
      </c>
      <c r="E425" s="323">
        <v>146</v>
      </c>
      <c r="F425" s="333" t="s">
        <v>199</v>
      </c>
      <c r="G425" s="335">
        <v>46220</v>
      </c>
      <c r="H425" s="323"/>
      <c r="I425" s="323"/>
      <c r="J425" s="323"/>
      <c r="K425" s="323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  <c r="AA425" s="323"/>
      <c r="AB425" s="323"/>
      <c r="AC425" s="323"/>
      <c r="AD425" s="323"/>
      <c r="AE425" s="323"/>
      <c r="AF425" s="323"/>
      <c r="AG425" s="323"/>
      <c r="AH425" s="323"/>
      <c r="AI425" s="323"/>
      <c r="AJ425" s="323"/>
      <c r="AK425" s="323"/>
      <c r="AL425" s="323"/>
      <c r="AM425" s="326">
        <f t="shared" si="31"/>
        <v>146</v>
      </c>
      <c r="AN425" s="327">
        <f t="shared" si="30"/>
        <v>1.3278407999999999</v>
      </c>
      <c r="AO425" s="323"/>
      <c r="AP425" s="323">
        <v>680</v>
      </c>
      <c r="AQ425" s="328">
        <f t="shared" si="32"/>
        <v>29677.470268617599</v>
      </c>
    </row>
    <row r="426" spans="1:44">
      <c r="A426" s="341" t="s">
        <v>184</v>
      </c>
      <c r="B426" s="323">
        <v>15.9</v>
      </c>
      <c r="C426" s="323">
        <v>1100</v>
      </c>
      <c r="D426" s="323">
        <v>520</v>
      </c>
      <c r="E426" s="323">
        <v>146</v>
      </c>
      <c r="F426" s="333" t="s">
        <v>199</v>
      </c>
      <c r="G426" s="335">
        <v>46220</v>
      </c>
      <c r="H426" s="323"/>
      <c r="I426" s="323"/>
      <c r="J426" s="323"/>
      <c r="K426" s="323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  <c r="AA426" s="323"/>
      <c r="AB426" s="323"/>
      <c r="AC426" s="323"/>
      <c r="AD426" s="323"/>
      <c r="AE426" s="323"/>
      <c r="AF426" s="323"/>
      <c r="AG426" s="323"/>
      <c r="AH426" s="323"/>
      <c r="AI426" s="323"/>
      <c r="AJ426" s="323"/>
      <c r="AK426" s="323"/>
      <c r="AL426" s="323"/>
      <c r="AM426" s="326">
        <f t="shared" si="31"/>
        <v>146</v>
      </c>
      <c r="AN426" s="327">
        <f t="shared" si="30"/>
        <v>1.3278407999999999</v>
      </c>
      <c r="AO426" s="323"/>
      <c r="AP426" s="323">
        <v>680</v>
      </c>
      <c r="AQ426" s="328">
        <f t="shared" si="32"/>
        <v>29677.470268617599</v>
      </c>
    </row>
    <row r="429" spans="1:44">
      <c r="G429" s="321" t="s">
        <v>184</v>
      </c>
      <c r="AN429" s="367">
        <f>SUM(AN3:AN63)+SUM(AN186:AN426)</f>
        <v>249.42131451565569</v>
      </c>
      <c r="AQ429" s="348">
        <f>SUM(AQ3:AQ63)+SUM(AQ186:AQ426)</f>
        <v>5736832.8454370201</v>
      </c>
      <c r="AR429" s="321">
        <f>AQ429/AN429</f>
        <v>23000.571769807309</v>
      </c>
    </row>
    <row r="430" spans="1:44">
      <c r="G430" s="321" t="s">
        <v>177</v>
      </c>
      <c r="AN430" s="367">
        <f>SUM(AN64:AN185)</f>
        <v>56.82305595664802</v>
      </c>
      <c r="AQ430" s="348">
        <f>SUM(AQ64:AQ185)</f>
        <v>1765042.1409712248</v>
      </c>
      <c r="AR430" s="321">
        <f>AQ430/AN430</f>
        <v>31062.077025878851</v>
      </c>
    </row>
    <row r="431" spans="1:44">
      <c r="AN431" s="367">
        <f>AN429+AN430</f>
        <v>306.24437047230373</v>
      </c>
      <c r="AQ431" s="348">
        <f>AQ429+AQ430</f>
        <v>7501874.9864082448</v>
      </c>
    </row>
  </sheetData>
  <autoFilter ref="A1:AQ426" xr:uid="{8374D155-7D6B-4FDD-9583-F2B935F0A06E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sortState xmlns:xlrd2="http://schemas.microsoft.com/office/spreadsheetml/2017/richdata2" ref="A4:AQ426">
      <sortCondition ref="A1:A426"/>
    </sortState>
  </autoFilter>
  <mergeCells count="13">
    <mergeCell ref="F1:F2"/>
    <mergeCell ref="A1:A2"/>
    <mergeCell ref="B1:B2"/>
    <mergeCell ref="C1:C2"/>
    <mergeCell ref="D1:D2"/>
    <mergeCell ref="E1:E2"/>
    <mergeCell ref="AQ1:AQ2"/>
    <mergeCell ref="G1:G2"/>
    <mergeCell ref="H1:AL1"/>
    <mergeCell ref="AM1:AM2"/>
    <mergeCell ref="AN1:AN2"/>
    <mergeCell ref="AO1:AO2"/>
    <mergeCell ref="AP1:AP2"/>
  </mergeCells>
  <pageMargins left="1.4173228346456692" right="0.23622047244094488" top="0.74803149606299213" bottom="0.74803149606299213" header="0.31496062992125984" footer="0.31496062992125984"/>
  <pageSetup paperSize="9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249E-97B1-44DD-9AE4-4D2DCF1AF3CD}">
  <dimension ref="B1:N13"/>
  <sheetViews>
    <sheetView tabSelected="1" zoomScale="88" zoomScaleNormal="88" workbookViewId="0">
      <selection activeCell="H7" sqref="H7"/>
    </sheetView>
  </sheetViews>
  <sheetFormatPr defaultRowHeight="14.5"/>
  <cols>
    <col min="2" max="2" width="7.36328125" bestFit="1" customWidth="1"/>
    <col min="3" max="3" width="28.1796875" bestFit="1" customWidth="1"/>
    <col min="4" max="4" width="21.7265625" bestFit="1" customWidth="1"/>
    <col min="5" max="5" width="7.36328125" bestFit="1" customWidth="1"/>
    <col min="6" max="6" width="5.7265625" bestFit="1" customWidth="1"/>
    <col min="7" max="7" width="6.26953125" customWidth="1"/>
    <col min="8" max="8" width="12.6328125" bestFit="1" customWidth="1"/>
    <col min="9" max="9" width="11.1796875" bestFit="1" customWidth="1"/>
    <col min="10" max="10" width="14.453125" bestFit="1" customWidth="1"/>
    <col min="11" max="11" width="13.453125" bestFit="1" customWidth="1"/>
    <col min="12" max="12" width="12.90625" bestFit="1" customWidth="1"/>
    <col min="13" max="14" width="17.08984375" bestFit="1" customWidth="1"/>
  </cols>
  <sheetData>
    <row r="1" spans="2:14" ht="15" thickBot="1"/>
    <row r="2" spans="2:14" ht="26.5" thickBot="1">
      <c r="B2" s="456" t="s">
        <v>4</v>
      </c>
      <c r="C2" s="458" t="s">
        <v>49</v>
      </c>
      <c r="D2" s="459" t="s">
        <v>5</v>
      </c>
      <c r="E2" s="460" t="s">
        <v>7</v>
      </c>
      <c r="F2" s="454"/>
      <c r="G2" s="455"/>
      <c r="H2" s="461" t="s">
        <v>152</v>
      </c>
      <c r="I2" s="462"/>
      <c r="J2" s="447" t="s">
        <v>219</v>
      </c>
      <c r="K2" s="449" t="s">
        <v>12</v>
      </c>
      <c r="L2" s="371" t="s">
        <v>220</v>
      </c>
      <c r="M2" s="451" t="s">
        <v>13</v>
      </c>
      <c r="N2" s="452" t="s">
        <v>14</v>
      </c>
    </row>
    <row r="3" spans="2:14" ht="26.5" thickBot="1">
      <c r="B3" s="457"/>
      <c r="C3" s="450"/>
      <c r="D3" s="448"/>
      <c r="E3" s="372" t="s">
        <v>0</v>
      </c>
      <c r="F3" s="373" t="s">
        <v>1</v>
      </c>
      <c r="G3" s="374" t="s">
        <v>2</v>
      </c>
      <c r="H3" s="448"/>
      <c r="I3" s="450"/>
      <c r="J3" s="448"/>
      <c r="K3" s="450"/>
      <c r="L3" s="375"/>
      <c r="M3" s="450"/>
      <c r="N3" s="453"/>
    </row>
    <row r="4" spans="2:14" s="536" customFormat="1" ht="32" thickBot="1">
      <c r="B4" s="522"/>
      <c r="C4" s="376" t="s">
        <v>221</v>
      </c>
      <c r="D4" s="377" t="s">
        <v>222</v>
      </c>
      <c r="E4" s="378">
        <v>14</v>
      </c>
      <c r="F4" s="379">
        <v>1220</v>
      </c>
      <c r="G4" s="380">
        <v>2440</v>
      </c>
      <c r="H4" s="381">
        <v>124</v>
      </c>
      <c r="I4" s="382">
        <f t="shared" ref="I4:I9" si="0">ROUND(E4*F4*G4*H4/1000000000,2)</f>
        <v>5.17</v>
      </c>
      <c r="J4" s="383">
        <f t="shared" ref="J4:J9" si="1">I4*35.315</f>
        <v>182.57854999999998</v>
      </c>
      <c r="K4" s="384">
        <v>22500</v>
      </c>
      <c r="L4" s="385">
        <f t="shared" ref="L4:L6" si="2">E4*F4*G4*K4/1000000000</f>
        <v>937.69200000000001</v>
      </c>
      <c r="M4" s="386">
        <v>116273.25</v>
      </c>
      <c r="N4" s="387">
        <f t="shared" ref="N4:N9" si="3">H4*L4</f>
        <v>116273.808</v>
      </c>
    </row>
    <row r="5" spans="2:14" s="536" customFormat="1" ht="32" thickBot="1">
      <c r="B5" s="522"/>
      <c r="C5" s="376" t="s">
        <v>223</v>
      </c>
      <c r="D5" s="377" t="s">
        <v>224</v>
      </c>
      <c r="E5" s="378">
        <v>14</v>
      </c>
      <c r="F5" s="379">
        <v>1220</v>
      </c>
      <c r="G5" s="380">
        <v>1550</v>
      </c>
      <c r="H5" s="381">
        <v>20</v>
      </c>
      <c r="I5" s="382">
        <f t="shared" si="0"/>
        <v>0.53</v>
      </c>
      <c r="J5" s="383">
        <f t="shared" si="1"/>
        <v>18.716950000000001</v>
      </c>
      <c r="K5" s="384">
        <v>23000</v>
      </c>
      <c r="L5" s="385">
        <f t="shared" si="2"/>
        <v>608.90200000000004</v>
      </c>
      <c r="M5" s="386">
        <v>12178</v>
      </c>
      <c r="N5" s="387">
        <f t="shared" si="3"/>
        <v>12178.04</v>
      </c>
    </row>
    <row r="6" spans="2:14" s="536" customFormat="1" ht="32" thickBot="1">
      <c r="B6" s="522"/>
      <c r="C6" s="376" t="s">
        <v>225</v>
      </c>
      <c r="D6" s="377" t="s">
        <v>226</v>
      </c>
      <c r="E6" s="378">
        <v>16</v>
      </c>
      <c r="F6" s="379">
        <v>1220</v>
      </c>
      <c r="G6" s="380">
        <v>2440</v>
      </c>
      <c r="H6" s="381">
        <v>265</v>
      </c>
      <c r="I6" s="382">
        <f t="shared" si="0"/>
        <v>12.62</v>
      </c>
      <c r="J6" s="383">
        <f t="shared" si="1"/>
        <v>445.67529999999994</v>
      </c>
      <c r="K6" s="384">
        <v>19316.03</v>
      </c>
      <c r="L6" s="385">
        <f t="shared" si="2"/>
        <v>919.99932966400002</v>
      </c>
      <c r="M6" s="386">
        <v>243800</v>
      </c>
      <c r="N6" s="387">
        <f t="shared" si="3"/>
        <v>243799.82236096001</v>
      </c>
    </row>
    <row r="7" spans="2:14" s="536" customFormat="1" ht="32" thickBot="1">
      <c r="B7" s="523"/>
      <c r="C7" s="537" t="s">
        <v>227</v>
      </c>
      <c r="D7" s="538" t="s">
        <v>228</v>
      </c>
      <c r="E7" s="539">
        <v>16</v>
      </c>
      <c r="F7" s="540">
        <v>1180</v>
      </c>
      <c r="G7" s="541">
        <v>1100</v>
      </c>
      <c r="H7" s="542">
        <v>513</v>
      </c>
      <c r="I7" s="543">
        <f t="shared" si="0"/>
        <v>10.65</v>
      </c>
      <c r="J7" s="544">
        <f t="shared" si="1"/>
        <v>376.10474999999997</v>
      </c>
      <c r="K7" s="545">
        <v>18684.580000000002</v>
      </c>
      <c r="L7" s="546">
        <f t="shared" ref="L7:L9" si="4">+M7/H7</f>
        <v>388.09846003898639</v>
      </c>
      <c r="M7" s="545">
        <v>199094.51</v>
      </c>
      <c r="N7" s="387">
        <f t="shared" si="3"/>
        <v>199094.51</v>
      </c>
    </row>
    <row r="8" spans="2:14" s="536" customFormat="1" ht="32" thickBot="1">
      <c r="B8" s="524"/>
      <c r="C8" s="537" t="s">
        <v>229</v>
      </c>
      <c r="D8" s="538" t="s">
        <v>230</v>
      </c>
      <c r="E8" s="539">
        <v>16</v>
      </c>
      <c r="F8" s="540">
        <v>1180</v>
      </c>
      <c r="G8" s="541">
        <v>1000</v>
      </c>
      <c r="H8" s="542">
        <v>219</v>
      </c>
      <c r="I8" s="543">
        <f t="shared" si="0"/>
        <v>4.13</v>
      </c>
      <c r="J8" s="544">
        <f t="shared" si="1"/>
        <v>145.85094999999998</v>
      </c>
      <c r="K8" s="545">
        <v>18684.580000000002</v>
      </c>
      <c r="L8" s="546">
        <f t="shared" si="4"/>
        <v>352.36219178082195</v>
      </c>
      <c r="M8" s="545">
        <v>77167.320000000007</v>
      </c>
      <c r="N8" s="387">
        <f t="shared" si="3"/>
        <v>77167.320000000007</v>
      </c>
    </row>
    <row r="9" spans="2:14" s="536" customFormat="1" ht="32" thickBot="1">
      <c r="B9" s="524"/>
      <c r="C9" s="537" t="s">
        <v>231</v>
      </c>
      <c r="D9" s="538" t="s">
        <v>232</v>
      </c>
      <c r="E9" s="539">
        <v>16</v>
      </c>
      <c r="F9" s="540">
        <v>1200</v>
      </c>
      <c r="G9" s="541">
        <v>900</v>
      </c>
      <c r="H9" s="542">
        <v>40</v>
      </c>
      <c r="I9" s="543">
        <f t="shared" si="0"/>
        <v>0.69</v>
      </c>
      <c r="J9" s="544">
        <f t="shared" si="1"/>
        <v>24.367349999999998</v>
      </c>
      <c r="K9" s="545">
        <v>18684.580000000002</v>
      </c>
      <c r="L9" s="546">
        <f t="shared" si="4"/>
        <v>322.40050000000002</v>
      </c>
      <c r="M9" s="545">
        <v>12896.02</v>
      </c>
      <c r="N9" s="387">
        <f t="shared" si="3"/>
        <v>12896.02</v>
      </c>
    </row>
    <row r="10" spans="2:14" s="536" customFormat="1" ht="36.5" thickBot="1">
      <c r="B10" s="525" t="s">
        <v>18</v>
      </c>
      <c r="C10" s="547"/>
      <c r="D10" s="548"/>
      <c r="E10" s="548"/>
      <c r="F10" s="548"/>
      <c r="G10" s="549"/>
      <c r="H10" s="526">
        <f>SUM(H4:H9)</f>
        <v>1181</v>
      </c>
      <c r="I10" s="550">
        <f>SUM(I4:I9)</f>
        <v>33.79</v>
      </c>
      <c r="J10" s="527"/>
      <c r="K10" s="528"/>
      <c r="L10" s="529"/>
      <c r="M10" s="551">
        <f>SUM(M4:M9)</f>
        <v>661409.10000000009</v>
      </c>
      <c r="N10" s="551">
        <f>SUM(N4:N9)</f>
        <v>661409.52036096016</v>
      </c>
    </row>
    <row r="11" spans="2:14" s="536" customFormat="1" ht="35" thickBot="1">
      <c r="B11" s="530"/>
      <c r="C11" s="531"/>
      <c r="D11" s="531"/>
      <c r="E11" s="531"/>
      <c r="F11" s="531"/>
      <c r="G11" s="531"/>
      <c r="H11" s="532" t="s">
        <v>233</v>
      </c>
      <c r="I11" s="533">
        <f>I10</f>
        <v>33.79</v>
      </c>
      <c r="J11" s="531"/>
      <c r="K11" s="531"/>
      <c r="L11" s="531"/>
      <c r="M11" s="534">
        <f>M10</f>
        <v>661409.10000000009</v>
      </c>
      <c r="N11" s="535">
        <f>M11/I11</f>
        <v>19574.107724178753</v>
      </c>
    </row>
    <row r="12" spans="2:14" s="536" customFormat="1"/>
    <row r="13" spans="2:14" s="536" customFormat="1"/>
  </sheetData>
  <mergeCells count="11">
    <mergeCell ref="J2:J3"/>
    <mergeCell ref="K2:K3"/>
    <mergeCell ref="M2:M3"/>
    <mergeCell ref="N2:N3"/>
    <mergeCell ref="B10:G10"/>
    <mergeCell ref="B2:B3"/>
    <mergeCell ref="C2:C3"/>
    <mergeCell ref="D2:D3"/>
    <mergeCell ref="E2:G2"/>
    <mergeCell ref="H2:H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7D78-E98E-4D19-B31F-A2DFF1642DD1}">
  <sheetPr>
    <pageSetUpPr fitToPage="1"/>
  </sheetPr>
  <dimension ref="A1:AQ51"/>
  <sheetViews>
    <sheetView zoomScale="70" zoomScaleNormal="70" workbookViewId="0">
      <pane xSplit="7" ySplit="1" topLeftCell="H35" activePane="bottomRight" state="frozen"/>
      <selection activeCell="AV254" sqref="AV254"/>
      <selection pane="topRight" activeCell="AV254" sqref="AV254"/>
      <selection pane="bottomLeft" activeCell="AV254" sqref="AV254"/>
      <selection pane="bottomRight" activeCell="AS50" sqref="AS50"/>
    </sheetView>
  </sheetViews>
  <sheetFormatPr defaultColWidth="8.90625" defaultRowHeight="14.5"/>
  <cols>
    <col min="1" max="1" width="18.1796875" style="347" bestFit="1" customWidth="1"/>
    <col min="2" max="4" width="8.90625" style="321"/>
    <col min="5" max="5" width="9.81640625" style="321" customWidth="1"/>
    <col min="6" max="6" width="22.1796875" style="321" customWidth="1"/>
    <col min="7" max="7" width="14.90625" style="321" customWidth="1"/>
    <col min="8" max="23" width="9.81640625" style="321" hidden="1" customWidth="1"/>
    <col min="24" max="24" width="9.90625" style="321" hidden="1" customWidth="1"/>
    <col min="25" max="25" width="8.08984375" style="321" hidden="1" customWidth="1"/>
    <col min="26" max="26" width="10.81640625" style="321" hidden="1" customWidth="1"/>
    <col min="27" max="28" width="9.81640625" style="321" hidden="1" customWidth="1"/>
    <col min="29" max="29" width="10.08984375" style="321" hidden="1" customWidth="1"/>
    <col min="30" max="31" width="9.81640625" style="321" hidden="1" customWidth="1"/>
    <col min="32" max="32" width="10.453125" style="321" hidden="1" customWidth="1"/>
    <col min="33" max="38" width="9.81640625" style="321" hidden="1" customWidth="1"/>
    <col min="39" max="39" width="15.6328125" style="321" bestFit="1" customWidth="1"/>
    <col min="40" max="40" width="10.1796875" style="321" customWidth="1"/>
    <col min="41" max="41" width="14.90625" style="321" customWidth="1"/>
    <col min="42" max="42" width="17.90625" style="321" customWidth="1"/>
    <col min="43" max="43" width="10.08984375" style="321" bestFit="1" customWidth="1"/>
    <col min="44" max="16384" width="8.90625" style="321"/>
  </cols>
  <sheetData>
    <row r="1" spans="1:42" ht="27.65" customHeight="1">
      <c r="A1" s="463" t="s">
        <v>146</v>
      </c>
      <c r="B1" s="464" t="s">
        <v>147</v>
      </c>
      <c r="C1" s="464" t="s">
        <v>1</v>
      </c>
      <c r="D1" s="464" t="s">
        <v>2</v>
      </c>
      <c r="E1" s="464" t="s">
        <v>148</v>
      </c>
      <c r="F1" s="464" t="s">
        <v>149</v>
      </c>
      <c r="G1" s="464" t="s">
        <v>150</v>
      </c>
      <c r="H1" s="441" t="s">
        <v>151</v>
      </c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2" t="s">
        <v>152</v>
      </c>
      <c r="AN1" s="443" t="s">
        <v>153</v>
      </c>
      <c r="AO1" s="443" t="s">
        <v>155</v>
      </c>
      <c r="AP1" s="443" t="s">
        <v>156</v>
      </c>
    </row>
    <row r="2" spans="1:42">
      <c r="A2" s="463"/>
      <c r="B2" s="464"/>
      <c r="C2" s="464"/>
      <c r="D2" s="464"/>
      <c r="E2" s="464"/>
      <c r="F2" s="464"/>
      <c r="G2" s="464"/>
      <c r="H2" s="320">
        <v>1</v>
      </c>
      <c r="I2" s="320">
        <v>2</v>
      </c>
      <c r="J2" s="320">
        <v>3</v>
      </c>
      <c r="K2" s="320">
        <v>4</v>
      </c>
      <c r="L2" s="320">
        <v>5</v>
      </c>
      <c r="M2" s="320">
        <v>6</v>
      </c>
      <c r="N2" s="320">
        <v>7</v>
      </c>
      <c r="O2" s="320">
        <v>8</v>
      </c>
      <c r="P2" s="320">
        <v>9</v>
      </c>
      <c r="Q2" s="320">
        <v>10</v>
      </c>
      <c r="R2" s="320">
        <v>11</v>
      </c>
      <c r="S2" s="320">
        <v>12</v>
      </c>
      <c r="T2" s="320">
        <v>13</v>
      </c>
      <c r="U2" s="320">
        <v>14</v>
      </c>
      <c r="V2" s="320">
        <v>15</v>
      </c>
      <c r="W2" s="320">
        <v>16</v>
      </c>
      <c r="X2" s="320">
        <v>17</v>
      </c>
      <c r="Y2" s="320">
        <v>18</v>
      </c>
      <c r="Z2" s="320">
        <v>19</v>
      </c>
      <c r="AA2" s="320">
        <v>20</v>
      </c>
      <c r="AB2" s="320">
        <v>21</v>
      </c>
      <c r="AC2" s="320">
        <v>22</v>
      </c>
      <c r="AD2" s="320">
        <v>23</v>
      </c>
      <c r="AE2" s="320">
        <v>24</v>
      </c>
      <c r="AF2" s="320">
        <v>25</v>
      </c>
      <c r="AG2" s="320">
        <v>26</v>
      </c>
      <c r="AH2" s="320">
        <v>27</v>
      </c>
      <c r="AI2" s="320">
        <v>28</v>
      </c>
      <c r="AJ2" s="320">
        <v>29</v>
      </c>
      <c r="AK2" s="320">
        <v>30</v>
      </c>
      <c r="AL2" s="320">
        <v>31</v>
      </c>
      <c r="AM2" s="442"/>
      <c r="AN2" s="443"/>
      <c r="AO2" s="443"/>
      <c r="AP2" s="443"/>
    </row>
    <row r="3" spans="1:42">
      <c r="A3" s="333">
        <v>6601608</v>
      </c>
      <c r="B3" s="323">
        <v>15</v>
      </c>
      <c r="C3" s="323">
        <v>101.6</v>
      </c>
      <c r="D3" s="323">
        <v>520.70000000000005</v>
      </c>
      <c r="E3" s="323">
        <v>1100</v>
      </c>
      <c r="F3" s="323" t="s">
        <v>200</v>
      </c>
      <c r="G3" s="335">
        <v>46107</v>
      </c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6">
        <f t="shared" ref="AM3:AM49" si="0">E3-H3-I3-J3-K3-L3-M3-N3-O3-P3-Q3-R3-S3-T3-U3-V3-W3-X3-Y3-Z3-AA3-AB3-AC3-AD3-AE3-AF3-AG3-AH3-AI3-AJ3-AK3-AL3</f>
        <v>1100</v>
      </c>
      <c r="AN3" s="327">
        <f t="shared" ref="AN3:AN49" si="1">B3*C3*D3*AM3/1000000000</f>
        <v>0.87290148000000001</v>
      </c>
      <c r="AO3" s="323">
        <v>590</v>
      </c>
      <c r="AP3" s="350">
        <f t="shared" ref="AP3:AP35" si="2">AN3*AO3*31.3303</f>
        <v>16135.476490917959</v>
      </c>
    </row>
    <row r="4" spans="1:42">
      <c r="A4" s="333">
        <v>6601608</v>
      </c>
      <c r="B4" s="323">
        <v>15</v>
      </c>
      <c r="C4" s="323">
        <v>101.6</v>
      </c>
      <c r="D4" s="323">
        <v>520.70000000000005</v>
      </c>
      <c r="E4" s="323">
        <v>1500</v>
      </c>
      <c r="F4" s="323" t="s">
        <v>200</v>
      </c>
      <c r="G4" s="335">
        <v>46107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6">
        <f t="shared" si="0"/>
        <v>1500</v>
      </c>
      <c r="AN4" s="327">
        <f t="shared" si="1"/>
        <v>1.1903201999999999</v>
      </c>
      <c r="AO4" s="323">
        <v>590</v>
      </c>
      <c r="AP4" s="350">
        <f t="shared" si="2"/>
        <v>22002.9224876154</v>
      </c>
    </row>
    <row r="5" spans="1:42">
      <c r="A5" s="333">
        <v>6601608</v>
      </c>
      <c r="B5" s="323">
        <v>15</v>
      </c>
      <c r="C5" s="323">
        <v>101.6</v>
      </c>
      <c r="D5" s="323">
        <v>520.70000000000005</v>
      </c>
      <c r="E5" s="323">
        <v>1500</v>
      </c>
      <c r="F5" s="323" t="s">
        <v>200</v>
      </c>
      <c r="G5" s="335">
        <v>46107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6">
        <f t="shared" si="0"/>
        <v>1500</v>
      </c>
      <c r="AN5" s="327">
        <f t="shared" si="1"/>
        <v>1.1903201999999999</v>
      </c>
      <c r="AO5" s="323">
        <v>590</v>
      </c>
      <c r="AP5" s="350">
        <f t="shared" si="2"/>
        <v>22002.9224876154</v>
      </c>
    </row>
    <row r="6" spans="1:42">
      <c r="A6" s="333">
        <v>6601609</v>
      </c>
      <c r="B6" s="323">
        <v>15</v>
      </c>
      <c r="C6" s="323">
        <v>101.6</v>
      </c>
      <c r="D6" s="323">
        <v>566.70000000000005</v>
      </c>
      <c r="E6" s="323">
        <v>550</v>
      </c>
      <c r="F6" s="323" t="s">
        <v>200</v>
      </c>
      <c r="G6" s="335">
        <v>46107</v>
      </c>
      <c r="H6" s="323"/>
      <c r="I6" s="323">
        <v>300</v>
      </c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6">
        <f t="shared" si="0"/>
        <v>250</v>
      </c>
      <c r="AN6" s="327">
        <f t="shared" si="1"/>
        <v>0.21591270000000001</v>
      </c>
      <c r="AO6" s="323">
        <v>590</v>
      </c>
      <c r="AP6" s="350">
        <f t="shared" si="2"/>
        <v>3991.1197022379006</v>
      </c>
    </row>
    <row r="7" spans="1:42">
      <c r="A7" s="333">
        <v>6601613</v>
      </c>
      <c r="B7" s="323">
        <v>15</v>
      </c>
      <c r="C7" s="323">
        <v>101.6</v>
      </c>
      <c r="D7" s="323">
        <v>673.1</v>
      </c>
      <c r="E7" s="323">
        <v>1000</v>
      </c>
      <c r="F7" s="323" t="s">
        <v>200</v>
      </c>
      <c r="G7" s="335">
        <v>46107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6">
        <f t="shared" si="0"/>
        <v>1000</v>
      </c>
      <c r="AN7" s="327">
        <f t="shared" si="1"/>
        <v>1.0258043999999999</v>
      </c>
      <c r="AO7" s="323">
        <v>590</v>
      </c>
      <c r="AP7" s="350">
        <f t="shared" si="2"/>
        <v>18961.868160058802</v>
      </c>
    </row>
    <row r="8" spans="1:42">
      <c r="A8" s="333">
        <v>6601625</v>
      </c>
      <c r="B8" s="323">
        <v>15</v>
      </c>
      <c r="C8" s="323">
        <v>177.8</v>
      </c>
      <c r="D8" s="323">
        <v>520.70000000000005</v>
      </c>
      <c r="E8" s="323">
        <v>736</v>
      </c>
      <c r="F8" s="323" t="s">
        <v>200</v>
      </c>
      <c r="G8" s="335">
        <v>46107</v>
      </c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6">
        <f t="shared" si="0"/>
        <v>736</v>
      </c>
      <c r="AN8" s="327">
        <f t="shared" si="1"/>
        <v>1.0220882784</v>
      </c>
      <c r="AO8" s="323">
        <v>590</v>
      </c>
      <c r="AP8" s="350">
        <f t="shared" si="2"/>
        <v>18893.176109365759</v>
      </c>
    </row>
    <row r="9" spans="1:42">
      <c r="A9" s="333">
        <v>6601628</v>
      </c>
      <c r="B9" s="323">
        <v>15</v>
      </c>
      <c r="C9" s="323">
        <v>177.8</v>
      </c>
      <c r="D9" s="323">
        <v>673.1</v>
      </c>
      <c r="E9" s="323">
        <v>300</v>
      </c>
      <c r="F9" s="323" t="s">
        <v>200</v>
      </c>
      <c r="G9" s="335">
        <v>46107</v>
      </c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3"/>
      <c r="AM9" s="326">
        <f t="shared" si="0"/>
        <v>300</v>
      </c>
      <c r="AN9" s="327">
        <f t="shared" si="1"/>
        <v>0.53854731</v>
      </c>
      <c r="AO9" s="323">
        <v>590</v>
      </c>
      <c r="AP9" s="350">
        <f t="shared" si="2"/>
        <v>9954.9807840308713</v>
      </c>
    </row>
    <row r="10" spans="1:42">
      <c r="A10" s="333">
        <v>6601632</v>
      </c>
      <c r="B10" s="323">
        <v>15</v>
      </c>
      <c r="C10" s="323">
        <v>228.6</v>
      </c>
      <c r="D10" s="323">
        <v>292.10000000000002</v>
      </c>
      <c r="E10" s="323">
        <v>450</v>
      </c>
      <c r="F10" s="323" t="s">
        <v>200</v>
      </c>
      <c r="G10" s="335">
        <v>46107</v>
      </c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6">
        <f t="shared" si="0"/>
        <v>450</v>
      </c>
      <c r="AN10" s="327">
        <f t="shared" si="1"/>
        <v>0.45072490500000001</v>
      </c>
      <c r="AO10" s="323">
        <v>590</v>
      </c>
      <c r="AP10" s="350">
        <f t="shared" si="2"/>
        <v>8331.5944297616843</v>
      </c>
    </row>
    <row r="11" spans="1:42">
      <c r="A11" s="333">
        <v>6601634</v>
      </c>
      <c r="B11" s="323">
        <v>15</v>
      </c>
      <c r="C11" s="323">
        <v>228.6</v>
      </c>
      <c r="D11" s="323">
        <v>368.3</v>
      </c>
      <c r="E11" s="323">
        <v>500</v>
      </c>
      <c r="F11" s="323" t="s">
        <v>200</v>
      </c>
      <c r="G11" s="335">
        <v>46107</v>
      </c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6">
        <f t="shared" si="0"/>
        <v>500</v>
      </c>
      <c r="AN11" s="327">
        <f t="shared" si="1"/>
        <v>0.63145035000000005</v>
      </c>
      <c r="AO11" s="323">
        <v>590</v>
      </c>
      <c r="AP11" s="350">
        <f t="shared" si="2"/>
        <v>11672.282051356951</v>
      </c>
    </row>
    <row r="12" spans="1:42">
      <c r="A12" s="333">
        <v>7719403</v>
      </c>
      <c r="B12" s="323">
        <v>15.9</v>
      </c>
      <c r="C12" s="323">
        <v>161.9</v>
      </c>
      <c r="D12" s="323">
        <v>523.79999999999995</v>
      </c>
      <c r="E12" s="323">
        <v>480</v>
      </c>
      <c r="F12" s="323" t="s">
        <v>201</v>
      </c>
      <c r="G12" s="335">
        <v>46100</v>
      </c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>
        <v>132</v>
      </c>
      <c r="AK12" s="323"/>
      <c r="AL12" s="323"/>
      <c r="AM12" s="326">
        <f t="shared" si="0"/>
        <v>348</v>
      </c>
      <c r="AN12" s="327">
        <f t="shared" si="1"/>
        <v>0.4692331769039999</v>
      </c>
      <c r="AO12" s="323">
        <v>590</v>
      </c>
      <c r="AP12" s="350">
        <f t="shared" si="2"/>
        <v>8673.7175593896791</v>
      </c>
    </row>
    <row r="13" spans="1:42">
      <c r="A13" s="333">
        <v>8156423</v>
      </c>
      <c r="B13" s="323">
        <v>10.5</v>
      </c>
      <c r="C13" s="323">
        <v>51</v>
      </c>
      <c r="D13" s="323">
        <v>550</v>
      </c>
      <c r="E13" s="323">
        <v>2400</v>
      </c>
      <c r="F13" s="323" t="s">
        <v>200</v>
      </c>
      <c r="G13" s="335">
        <v>46107</v>
      </c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6">
        <f t="shared" si="0"/>
        <v>2400</v>
      </c>
      <c r="AN13" s="327">
        <f t="shared" si="1"/>
        <v>0.70686000000000004</v>
      </c>
      <c r="AO13" s="323">
        <v>590</v>
      </c>
      <c r="AP13" s="350">
        <f t="shared" si="2"/>
        <v>13066.220156220003</v>
      </c>
    </row>
    <row r="14" spans="1:42">
      <c r="A14" s="333">
        <v>8156506</v>
      </c>
      <c r="B14" s="323">
        <v>16</v>
      </c>
      <c r="C14" s="323">
        <v>86</v>
      </c>
      <c r="D14" s="323">
        <v>466</v>
      </c>
      <c r="E14" s="323">
        <v>640</v>
      </c>
      <c r="F14" s="323" t="s">
        <v>200</v>
      </c>
      <c r="G14" s="335">
        <v>46107</v>
      </c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6">
        <f t="shared" si="0"/>
        <v>640</v>
      </c>
      <c r="AN14" s="327">
        <f t="shared" si="1"/>
        <v>0.41037824000000001</v>
      </c>
      <c r="AO14" s="323">
        <v>590</v>
      </c>
      <c r="AP14" s="350">
        <f t="shared" si="2"/>
        <v>7585.7912898764807</v>
      </c>
    </row>
    <row r="15" spans="1:42">
      <c r="A15" s="333">
        <v>8156521</v>
      </c>
      <c r="B15" s="323">
        <v>16</v>
      </c>
      <c r="C15" s="323">
        <v>162</v>
      </c>
      <c r="D15" s="323">
        <v>524</v>
      </c>
      <c r="E15" s="323">
        <v>336</v>
      </c>
      <c r="F15" s="323" t="s">
        <v>200</v>
      </c>
      <c r="G15" s="335">
        <v>46107</v>
      </c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6">
        <f t="shared" si="0"/>
        <v>336</v>
      </c>
      <c r="AN15" s="327">
        <f t="shared" si="1"/>
        <v>0.45635788799999999</v>
      </c>
      <c r="AO15" s="323">
        <v>590</v>
      </c>
      <c r="AP15" s="350">
        <f t="shared" si="2"/>
        <v>8435.7194276597747</v>
      </c>
    </row>
    <row r="16" spans="1:42">
      <c r="A16" s="333">
        <v>8156565</v>
      </c>
      <c r="B16" s="323">
        <v>16</v>
      </c>
      <c r="C16" s="323">
        <v>86</v>
      </c>
      <c r="D16" s="323">
        <v>474</v>
      </c>
      <c r="E16" s="323">
        <v>1608</v>
      </c>
      <c r="F16" s="323" t="s">
        <v>200</v>
      </c>
      <c r="G16" s="335">
        <v>46107</v>
      </c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6">
        <f t="shared" si="0"/>
        <v>1608</v>
      </c>
      <c r="AN16" s="327">
        <f t="shared" si="1"/>
        <v>1.0487761920000001</v>
      </c>
      <c r="AO16" s="323">
        <v>590</v>
      </c>
      <c r="AP16" s="350">
        <f t="shared" si="2"/>
        <v>19386.498909648384</v>
      </c>
    </row>
    <row r="17" spans="1:42">
      <c r="A17" s="333">
        <v>8156565</v>
      </c>
      <c r="B17" s="323">
        <v>16</v>
      </c>
      <c r="C17" s="323">
        <v>86</v>
      </c>
      <c r="D17" s="323">
        <v>474</v>
      </c>
      <c r="E17" s="323">
        <v>952</v>
      </c>
      <c r="F17" s="323" t="s">
        <v>200</v>
      </c>
      <c r="G17" s="335">
        <v>46107</v>
      </c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6">
        <f t="shared" si="0"/>
        <v>952</v>
      </c>
      <c r="AN17" s="327">
        <f t="shared" si="1"/>
        <v>0.62091724800000003</v>
      </c>
      <c r="AO17" s="323">
        <v>590</v>
      </c>
      <c r="AP17" s="350">
        <f t="shared" si="2"/>
        <v>11477.578956458497</v>
      </c>
    </row>
    <row r="18" spans="1:42">
      <c r="A18" s="333">
        <v>8156575</v>
      </c>
      <c r="B18" s="323">
        <v>16</v>
      </c>
      <c r="C18" s="323">
        <v>86</v>
      </c>
      <c r="D18" s="323">
        <v>524</v>
      </c>
      <c r="E18" s="323">
        <v>296</v>
      </c>
      <c r="F18" s="323" t="s">
        <v>200</v>
      </c>
      <c r="G18" s="335">
        <v>46107</v>
      </c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6">
        <f t="shared" si="0"/>
        <v>296</v>
      </c>
      <c r="AN18" s="327">
        <f t="shared" si="1"/>
        <v>0.213423104</v>
      </c>
      <c r="AO18" s="323">
        <v>590</v>
      </c>
      <c r="AP18" s="350">
        <f t="shared" si="2"/>
        <v>3945.0998263982078</v>
      </c>
    </row>
    <row r="19" spans="1:42">
      <c r="A19" s="333">
        <v>8156575</v>
      </c>
      <c r="B19" s="323">
        <v>16</v>
      </c>
      <c r="C19" s="323">
        <v>86</v>
      </c>
      <c r="D19" s="323">
        <v>524</v>
      </c>
      <c r="E19" s="323">
        <v>1608</v>
      </c>
      <c r="F19" s="323" t="s">
        <v>200</v>
      </c>
      <c r="G19" s="335">
        <v>46107</v>
      </c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6">
        <f t="shared" si="0"/>
        <v>1608</v>
      </c>
      <c r="AN19" s="327">
        <f t="shared" si="1"/>
        <v>1.1594065920000001</v>
      </c>
      <c r="AO19" s="323">
        <v>590</v>
      </c>
      <c r="AP19" s="350">
        <f t="shared" si="2"/>
        <v>21431.488246109184</v>
      </c>
    </row>
    <row r="20" spans="1:42">
      <c r="A20" s="333">
        <v>8156575</v>
      </c>
      <c r="B20" s="323">
        <v>16</v>
      </c>
      <c r="C20" s="323">
        <v>86</v>
      </c>
      <c r="D20" s="323">
        <v>524</v>
      </c>
      <c r="E20" s="323">
        <v>1608</v>
      </c>
      <c r="F20" s="323" t="s">
        <v>200</v>
      </c>
      <c r="G20" s="335">
        <v>46107</v>
      </c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6">
        <f t="shared" si="0"/>
        <v>1608</v>
      </c>
      <c r="AN20" s="327">
        <f t="shared" si="1"/>
        <v>1.1594065920000001</v>
      </c>
      <c r="AO20" s="323">
        <v>590</v>
      </c>
      <c r="AP20" s="350">
        <f t="shared" si="2"/>
        <v>21431.488246109184</v>
      </c>
    </row>
    <row r="21" spans="1:42">
      <c r="A21" s="333">
        <v>8156575</v>
      </c>
      <c r="B21" s="323">
        <v>16</v>
      </c>
      <c r="C21" s="323">
        <v>86</v>
      </c>
      <c r="D21" s="323">
        <v>524</v>
      </c>
      <c r="E21" s="323">
        <v>1608</v>
      </c>
      <c r="F21" s="323" t="s">
        <v>200</v>
      </c>
      <c r="G21" s="335">
        <v>46107</v>
      </c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6">
        <f t="shared" si="0"/>
        <v>1608</v>
      </c>
      <c r="AN21" s="327">
        <f t="shared" si="1"/>
        <v>1.1594065920000001</v>
      </c>
      <c r="AO21" s="323">
        <v>590</v>
      </c>
      <c r="AP21" s="350">
        <f t="shared" si="2"/>
        <v>21431.488246109184</v>
      </c>
    </row>
    <row r="22" spans="1:42">
      <c r="A22" s="333">
        <v>8156578</v>
      </c>
      <c r="B22" s="323">
        <v>16</v>
      </c>
      <c r="C22" s="323">
        <v>162</v>
      </c>
      <c r="D22" s="323">
        <v>491</v>
      </c>
      <c r="E22" s="323">
        <v>640</v>
      </c>
      <c r="F22" s="323" t="s">
        <v>200</v>
      </c>
      <c r="G22" s="335">
        <v>46107</v>
      </c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  <c r="AK22" s="323"/>
      <c r="AL22" s="323"/>
      <c r="AM22" s="326">
        <f t="shared" si="0"/>
        <v>640</v>
      </c>
      <c r="AN22" s="327">
        <f t="shared" si="1"/>
        <v>0.81451008000000003</v>
      </c>
      <c r="AO22" s="323">
        <v>590</v>
      </c>
      <c r="AP22" s="350">
        <f t="shared" si="2"/>
        <v>15056.11864406016</v>
      </c>
    </row>
    <row r="23" spans="1:42">
      <c r="A23" s="333">
        <v>8156585</v>
      </c>
      <c r="B23" s="323">
        <v>16</v>
      </c>
      <c r="C23" s="323">
        <v>162</v>
      </c>
      <c r="D23" s="323">
        <v>568</v>
      </c>
      <c r="E23" s="323">
        <v>720</v>
      </c>
      <c r="F23" s="323" t="s">
        <v>200</v>
      </c>
      <c r="G23" s="335">
        <v>46107</v>
      </c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6">
        <f t="shared" si="0"/>
        <v>720</v>
      </c>
      <c r="AN23" s="327">
        <f t="shared" si="1"/>
        <v>1.0600243199999999</v>
      </c>
      <c r="AO23" s="323">
        <v>590</v>
      </c>
      <c r="AP23" s="350">
        <f t="shared" si="2"/>
        <v>19594.41917220864</v>
      </c>
    </row>
    <row r="24" spans="1:42">
      <c r="A24" s="333">
        <v>8156588</v>
      </c>
      <c r="B24" s="323">
        <v>12</v>
      </c>
      <c r="C24" s="323">
        <v>89</v>
      </c>
      <c r="D24" s="323">
        <v>864</v>
      </c>
      <c r="E24" s="323">
        <v>320</v>
      </c>
      <c r="F24" s="323" t="s">
        <v>200</v>
      </c>
      <c r="G24" s="335">
        <v>46107</v>
      </c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323"/>
      <c r="AK24" s="323"/>
      <c r="AL24" s="323"/>
      <c r="AM24" s="326">
        <f t="shared" si="0"/>
        <v>320</v>
      </c>
      <c r="AN24" s="327">
        <f t="shared" si="1"/>
        <v>0.29528063999999998</v>
      </c>
      <c r="AO24" s="323">
        <v>590</v>
      </c>
      <c r="AP24" s="350">
        <f t="shared" si="2"/>
        <v>5458.2263108812795</v>
      </c>
    </row>
    <row r="25" spans="1:42">
      <c r="A25" s="333">
        <v>8156594</v>
      </c>
      <c r="B25" s="323">
        <v>16</v>
      </c>
      <c r="C25" s="323">
        <v>162</v>
      </c>
      <c r="D25" s="323">
        <v>644</v>
      </c>
      <c r="E25" s="323">
        <v>480</v>
      </c>
      <c r="F25" s="323" t="s">
        <v>200</v>
      </c>
      <c r="G25" s="335">
        <v>46107</v>
      </c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323"/>
      <c r="AJ25" s="323"/>
      <c r="AK25" s="323"/>
      <c r="AL25" s="323"/>
      <c r="AM25" s="326">
        <f t="shared" si="0"/>
        <v>480</v>
      </c>
      <c r="AN25" s="327">
        <f t="shared" si="1"/>
        <v>0.80123904000000001</v>
      </c>
      <c r="AO25" s="323">
        <v>590</v>
      </c>
      <c r="AP25" s="350">
        <f t="shared" si="2"/>
        <v>14810.805101998079</v>
      </c>
    </row>
    <row r="26" spans="1:42">
      <c r="A26" s="333">
        <v>8156604</v>
      </c>
      <c r="B26" s="323">
        <v>16</v>
      </c>
      <c r="C26" s="323">
        <v>162</v>
      </c>
      <c r="D26" s="323">
        <v>720</v>
      </c>
      <c r="E26" s="323">
        <v>438</v>
      </c>
      <c r="F26" s="323" t="s">
        <v>200</v>
      </c>
      <c r="G26" s="335">
        <v>46107</v>
      </c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  <c r="AK26" s="323"/>
      <c r="AL26" s="323"/>
      <c r="AM26" s="326">
        <f t="shared" si="0"/>
        <v>438</v>
      </c>
      <c r="AN26" s="327">
        <f t="shared" si="1"/>
        <v>0.81741311999999999</v>
      </c>
      <c r="AO26" s="323">
        <v>590</v>
      </c>
      <c r="AP26" s="350">
        <f t="shared" si="2"/>
        <v>15109.78098138624</v>
      </c>
    </row>
    <row r="27" spans="1:42">
      <c r="A27" s="333">
        <v>8156604</v>
      </c>
      <c r="B27" s="323">
        <v>16</v>
      </c>
      <c r="C27" s="323">
        <v>162</v>
      </c>
      <c r="D27" s="323">
        <v>720</v>
      </c>
      <c r="E27" s="323">
        <v>282</v>
      </c>
      <c r="F27" s="323" t="s">
        <v>200</v>
      </c>
      <c r="G27" s="335">
        <v>46107</v>
      </c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L27" s="323"/>
      <c r="AM27" s="326">
        <f t="shared" si="0"/>
        <v>282</v>
      </c>
      <c r="AN27" s="327">
        <f t="shared" si="1"/>
        <v>0.52627968000000003</v>
      </c>
      <c r="AO27" s="323">
        <v>590</v>
      </c>
      <c r="AP27" s="350">
        <f t="shared" si="2"/>
        <v>9728.2151523993616</v>
      </c>
    </row>
    <row r="28" spans="1:42">
      <c r="A28" s="333">
        <v>8156614</v>
      </c>
      <c r="B28" s="323">
        <v>16</v>
      </c>
      <c r="C28" s="323">
        <v>162</v>
      </c>
      <c r="D28" s="323">
        <v>796</v>
      </c>
      <c r="E28" s="323">
        <v>480</v>
      </c>
      <c r="F28" s="323" t="s">
        <v>200</v>
      </c>
      <c r="G28" s="335">
        <v>46107</v>
      </c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3"/>
      <c r="AM28" s="326">
        <f t="shared" si="0"/>
        <v>480</v>
      </c>
      <c r="AN28" s="327">
        <f t="shared" si="1"/>
        <v>0.99035136000000001</v>
      </c>
      <c r="AO28" s="323">
        <v>590</v>
      </c>
      <c r="AP28" s="350">
        <f t="shared" si="2"/>
        <v>18306.52307638272</v>
      </c>
    </row>
    <row r="29" spans="1:42">
      <c r="A29" s="333">
        <v>8156618</v>
      </c>
      <c r="B29" s="323">
        <v>12</v>
      </c>
      <c r="C29" s="323">
        <v>85</v>
      </c>
      <c r="D29" s="323">
        <v>978</v>
      </c>
      <c r="E29" s="323">
        <v>180</v>
      </c>
      <c r="F29" s="323" t="s">
        <v>200</v>
      </c>
      <c r="G29" s="335">
        <v>46107</v>
      </c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6">
        <f t="shared" si="0"/>
        <v>180</v>
      </c>
      <c r="AN29" s="327">
        <f t="shared" si="1"/>
        <v>0.17956079999999999</v>
      </c>
      <c r="AO29" s="323">
        <v>590</v>
      </c>
      <c r="AP29" s="350">
        <f t="shared" si="2"/>
        <v>3319.1593020216001</v>
      </c>
    </row>
    <row r="30" spans="1:42">
      <c r="A30" s="333">
        <v>8156646</v>
      </c>
      <c r="B30" s="323">
        <v>16</v>
      </c>
      <c r="C30" s="323">
        <v>86</v>
      </c>
      <c r="D30" s="323">
        <v>568</v>
      </c>
      <c r="E30" s="323">
        <v>1040</v>
      </c>
      <c r="F30" s="323" t="s">
        <v>200</v>
      </c>
      <c r="G30" s="335">
        <v>46107</v>
      </c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6">
        <f t="shared" si="0"/>
        <v>1040</v>
      </c>
      <c r="AN30" s="327">
        <f t="shared" si="1"/>
        <v>0.81283072000000001</v>
      </c>
      <c r="AO30" s="323">
        <v>590</v>
      </c>
      <c r="AP30" s="350">
        <f t="shared" si="2"/>
        <v>15025.075881021441</v>
      </c>
    </row>
    <row r="31" spans="1:42">
      <c r="A31" s="333">
        <v>8156649</v>
      </c>
      <c r="B31" s="323">
        <v>16</v>
      </c>
      <c r="C31" s="323">
        <v>86</v>
      </c>
      <c r="D31" s="323">
        <v>644</v>
      </c>
      <c r="E31" s="323">
        <v>480</v>
      </c>
      <c r="F31" s="323" t="s">
        <v>200</v>
      </c>
      <c r="G31" s="335">
        <v>46107</v>
      </c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23"/>
      <c r="AJ31" s="323"/>
      <c r="AK31" s="323"/>
      <c r="AL31" s="323"/>
      <c r="AM31" s="326">
        <f t="shared" si="0"/>
        <v>480</v>
      </c>
      <c r="AN31" s="327">
        <f t="shared" si="1"/>
        <v>0.42534912000000002</v>
      </c>
      <c r="AO31" s="323">
        <v>590</v>
      </c>
      <c r="AP31" s="350">
        <f t="shared" si="2"/>
        <v>7862.5261652582412</v>
      </c>
    </row>
    <row r="32" spans="1:42">
      <c r="A32" s="333">
        <v>8156663</v>
      </c>
      <c r="B32" s="323">
        <v>16</v>
      </c>
      <c r="C32" s="323">
        <v>86</v>
      </c>
      <c r="D32" s="323">
        <v>796</v>
      </c>
      <c r="E32" s="323">
        <v>480</v>
      </c>
      <c r="F32" s="323" t="s">
        <v>200</v>
      </c>
      <c r="G32" s="335">
        <v>46107</v>
      </c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  <c r="AK32" s="323"/>
      <c r="AL32" s="323"/>
      <c r="AM32" s="326">
        <f t="shared" si="0"/>
        <v>480</v>
      </c>
      <c r="AN32" s="327">
        <f t="shared" si="1"/>
        <v>0.52574208</v>
      </c>
      <c r="AO32" s="323">
        <v>590</v>
      </c>
      <c r="AP32" s="350">
        <f t="shared" si="2"/>
        <v>9718.2776825241617</v>
      </c>
    </row>
    <row r="33" spans="1:42">
      <c r="A33" s="333">
        <v>8156666</v>
      </c>
      <c r="B33" s="323">
        <v>16</v>
      </c>
      <c r="C33" s="323">
        <v>86</v>
      </c>
      <c r="D33" s="323">
        <v>872</v>
      </c>
      <c r="E33" s="323">
        <v>320</v>
      </c>
      <c r="F33" s="323" t="s">
        <v>200</v>
      </c>
      <c r="G33" s="335">
        <v>46107</v>
      </c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6">
        <f t="shared" si="0"/>
        <v>320</v>
      </c>
      <c r="AN33" s="327">
        <f t="shared" si="1"/>
        <v>0.38395903999999997</v>
      </c>
      <c r="AO33" s="323">
        <v>590</v>
      </c>
      <c r="AP33" s="350">
        <f t="shared" si="2"/>
        <v>7097.4356274380798</v>
      </c>
    </row>
    <row r="34" spans="1:42">
      <c r="A34" s="333">
        <v>8163986</v>
      </c>
      <c r="B34" s="323">
        <v>16</v>
      </c>
      <c r="C34" s="323">
        <v>254</v>
      </c>
      <c r="D34" s="323">
        <v>524</v>
      </c>
      <c r="E34" s="323">
        <v>480</v>
      </c>
      <c r="F34" s="323" t="s">
        <v>200</v>
      </c>
      <c r="G34" s="335">
        <v>46107</v>
      </c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6">
        <f t="shared" si="0"/>
        <v>480</v>
      </c>
      <c r="AN34" s="327">
        <f t="shared" si="1"/>
        <v>1.02217728</v>
      </c>
      <c r="AO34" s="323">
        <v>590</v>
      </c>
      <c r="AP34" s="350">
        <f t="shared" si="2"/>
        <v>18894.821292994558</v>
      </c>
    </row>
    <row r="35" spans="1:42">
      <c r="A35" s="333">
        <v>8843617</v>
      </c>
      <c r="B35" s="323">
        <v>15</v>
      </c>
      <c r="C35" s="323">
        <v>229</v>
      </c>
      <c r="D35" s="323">
        <v>215.9</v>
      </c>
      <c r="E35" s="323">
        <v>588</v>
      </c>
      <c r="F35" s="323" t="s">
        <v>200</v>
      </c>
      <c r="G35" s="335">
        <v>46107</v>
      </c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6">
        <f t="shared" si="0"/>
        <v>588</v>
      </c>
      <c r="AN35" s="327">
        <f t="shared" si="1"/>
        <v>0.43607050200000003</v>
      </c>
      <c r="AO35" s="323">
        <v>590</v>
      </c>
      <c r="AP35" s="350">
        <f t="shared" si="2"/>
        <v>8060.7095927982546</v>
      </c>
    </row>
    <row r="36" spans="1:42">
      <c r="A36" s="333" t="s">
        <v>202</v>
      </c>
      <c r="B36" s="323">
        <v>15</v>
      </c>
      <c r="C36" s="323">
        <v>101.6</v>
      </c>
      <c r="D36" s="323">
        <v>520.70000000000005</v>
      </c>
      <c r="E36" s="323">
        <v>1500</v>
      </c>
      <c r="F36" s="323" t="s">
        <v>203</v>
      </c>
      <c r="G36" s="335">
        <v>46220</v>
      </c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  <c r="AK36" s="323"/>
      <c r="AL36" s="323"/>
      <c r="AM36" s="326">
        <f t="shared" si="0"/>
        <v>1500</v>
      </c>
      <c r="AN36" s="327">
        <f t="shared" si="1"/>
        <v>1.1903201999999999</v>
      </c>
      <c r="AO36" s="323">
        <v>590</v>
      </c>
      <c r="AP36" s="350">
        <f t="shared" ref="AP36:AP49" si="3">AN36*AO36*32.8679</f>
        <v>23082.761927932199</v>
      </c>
    </row>
    <row r="37" spans="1:42">
      <c r="A37" s="333" t="s">
        <v>202</v>
      </c>
      <c r="B37" s="323">
        <v>15</v>
      </c>
      <c r="C37" s="323">
        <v>101.6</v>
      </c>
      <c r="D37" s="323">
        <v>520.70000000000005</v>
      </c>
      <c r="E37" s="323">
        <v>1500</v>
      </c>
      <c r="F37" s="323" t="s">
        <v>203</v>
      </c>
      <c r="G37" s="335">
        <v>46220</v>
      </c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  <c r="AK37" s="323"/>
      <c r="AL37" s="323"/>
      <c r="AM37" s="326">
        <f t="shared" si="0"/>
        <v>1500</v>
      </c>
      <c r="AN37" s="327">
        <f t="shared" si="1"/>
        <v>1.1903201999999999</v>
      </c>
      <c r="AO37" s="323">
        <v>590</v>
      </c>
      <c r="AP37" s="350">
        <f t="shared" si="3"/>
        <v>23082.761927932199</v>
      </c>
    </row>
    <row r="38" spans="1:42">
      <c r="A38" s="333" t="s">
        <v>202</v>
      </c>
      <c r="B38" s="323">
        <v>15</v>
      </c>
      <c r="C38" s="323">
        <v>101.6</v>
      </c>
      <c r="D38" s="323">
        <v>520.70000000000005</v>
      </c>
      <c r="E38" s="323">
        <v>1500</v>
      </c>
      <c r="F38" s="323" t="s">
        <v>203</v>
      </c>
      <c r="G38" s="335">
        <v>46220</v>
      </c>
      <c r="H38" s="323"/>
      <c r="I38" s="323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323"/>
      <c r="AK38" s="323"/>
      <c r="AL38" s="323"/>
      <c r="AM38" s="326">
        <f t="shared" si="0"/>
        <v>1500</v>
      </c>
      <c r="AN38" s="327">
        <f t="shared" si="1"/>
        <v>1.1903201999999999</v>
      </c>
      <c r="AO38" s="323">
        <v>590</v>
      </c>
      <c r="AP38" s="350">
        <f t="shared" si="3"/>
        <v>23082.761927932199</v>
      </c>
    </row>
    <row r="39" spans="1:42">
      <c r="A39" s="333" t="s">
        <v>202</v>
      </c>
      <c r="B39" s="323">
        <v>15</v>
      </c>
      <c r="C39" s="323">
        <v>101.6</v>
      </c>
      <c r="D39" s="323">
        <v>520.70000000000005</v>
      </c>
      <c r="E39" s="323">
        <v>1500</v>
      </c>
      <c r="F39" s="323" t="s">
        <v>203</v>
      </c>
      <c r="G39" s="335">
        <v>46220</v>
      </c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M39" s="326">
        <f t="shared" si="0"/>
        <v>1500</v>
      </c>
      <c r="AN39" s="327">
        <f t="shared" si="1"/>
        <v>1.1903201999999999</v>
      </c>
      <c r="AO39" s="323">
        <v>590</v>
      </c>
      <c r="AP39" s="350">
        <f t="shared" si="3"/>
        <v>23082.761927932199</v>
      </c>
    </row>
    <row r="40" spans="1:42">
      <c r="A40" s="333" t="s">
        <v>202</v>
      </c>
      <c r="B40" s="323">
        <v>15</v>
      </c>
      <c r="C40" s="323">
        <v>101.6</v>
      </c>
      <c r="D40" s="323">
        <v>520.70000000000005</v>
      </c>
      <c r="E40" s="323">
        <v>1500</v>
      </c>
      <c r="F40" s="323" t="s">
        <v>203</v>
      </c>
      <c r="G40" s="335">
        <v>46220</v>
      </c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  <c r="AK40" s="323"/>
      <c r="AL40" s="323"/>
      <c r="AM40" s="326">
        <f t="shared" si="0"/>
        <v>1500</v>
      </c>
      <c r="AN40" s="327">
        <f t="shared" si="1"/>
        <v>1.1903201999999999</v>
      </c>
      <c r="AO40" s="323">
        <v>590</v>
      </c>
      <c r="AP40" s="350">
        <f t="shared" si="3"/>
        <v>23082.761927932199</v>
      </c>
    </row>
    <row r="41" spans="1:42">
      <c r="A41" s="333" t="s">
        <v>202</v>
      </c>
      <c r="B41" s="323">
        <v>15</v>
      </c>
      <c r="C41" s="323">
        <v>101.6</v>
      </c>
      <c r="D41" s="323">
        <v>520.70000000000005</v>
      </c>
      <c r="E41" s="323">
        <v>1500</v>
      </c>
      <c r="F41" s="323" t="s">
        <v>203</v>
      </c>
      <c r="G41" s="335">
        <v>46220</v>
      </c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  <c r="AK41" s="323"/>
      <c r="AL41" s="323"/>
      <c r="AM41" s="326">
        <f t="shared" si="0"/>
        <v>1500</v>
      </c>
      <c r="AN41" s="327">
        <f t="shared" si="1"/>
        <v>1.1903201999999999</v>
      </c>
      <c r="AO41" s="323">
        <v>590</v>
      </c>
      <c r="AP41" s="350">
        <f t="shared" si="3"/>
        <v>23082.761927932199</v>
      </c>
    </row>
    <row r="42" spans="1:42">
      <c r="A42" s="333" t="s">
        <v>202</v>
      </c>
      <c r="B42" s="323">
        <v>15</v>
      </c>
      <c r="C42" s="323">
        <v>101.6</v>
      </c>
      <c r="D42" s="323">
        <v>566.70000000000005</v>
      </c>
      <c r="E42" s="323">
        <v>570</v>
      </c>
      <c r="F42" s="323" t="s">
        <v>203</v>
      </c>
      <c r="G42" s="335">
        <v>46220</v>
      </c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  <c r="AE42" s="323"/>
      <c r="AF42" s="323"/>
      <c r="AG42" s="323"/>
      <c r="AH42" s="323"/>
      <c r="AI42" s="323"/>
      <c r="AJ42" s="323"/>
      <c r="AK42" s="323"/>
      <c r="AL42" s="323"/>
      <c r="AM42" s="326">
        <f t="shared" si="0"/>
        <v>570</v>
      </c>
      <c r="AN42" s="327">
        <f t="shared" si="1"/>
        <v>0.49228095599999999</v>
      </c>
      <c r="AO42" s="323">
        <v>590</v>
      </c>
      <c r="AP42" s="350">
        <f t="shared" si="3"/>
        <v>9546.3423278903156</v>
      </c>
    </row>
    <row r="43" spans="1:42">
      <c r="A43" s="333" t="s">
        <v>202</v>
      </c>
      <c r="B43" s="323">
        <v>15</v>
      </c>
      <c r="C43" s="323">
        <v>101.6</v>
      </c>
      <c r="D43" s="323">
        <v>520.70000000000005</v>
      </c>
      <c r="E43" s="323">
        <v>1022</v>
      </c>
      <c r="F43" s="323" t="s">
        <v>203</v>
      </c>
      <c r="G43" s="335">
        <v>46220</v>
      </c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3"/>
      <c r="AM43" s="326">
        <f t="shared" si="0"/>
        <v>1022</v>
      </c>
      <c r="AN43" s="327">
        <f t="shared" si="1"/>
        <v>0.81100482959999998</v>
      </c>
      <c r="AO43" s="323">
        <v>590</v>
      </c>
      <c r="AP43" s="350">
        <f t="shared" si="3"/>
        <v>15727.055126897803</v>
      </c>
    </row>
    <row r="44" spans="1:42">
      <c r="A44" s="333" t="s">
        <v>202</v>
      </c>
      <c r="B44" s="323">
        <v>15</v>
      </c>
      <c r="C44" s="323">
        <v>101.6</v>
      </c>
      <c r="D44" s="323">
        <v>495.3</v>
      </c>
      <c r="E44" s="323">
        <v>951</v>
      </c>
      <c r="F44" s="323" t="s">
        <v>203</v>
      </c>
      <c r="G44" s="335">
        <v>46220</v>
      </c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  <c r="AK44" s="323"/>
      <c r="AL44" s="323"/>
      <c r="AM44" s="326">
        <f t="shared" si="0"/>
        <v>951</v>
      </c>
      <c r="AN44" s="327">
        <f t="shared" si="1"/>
        <v>0.71785017719999999</v>
      </c>
      <c r="AO44" s="323">
        <v>590</v>
      </c>
      <c r="AP44" s="350">
        <f t="shared" si="3"/>
        <v>13920.594425123209</v>
      </c>
    </row>
    <row r="45" spans="1:42">
      <c r="A45" s="333" t="s">
        <v>202</v>
      </c>
      <c r="B45" s="323">
        <v>15</v>
      </c>
      <c r="C45" s="323">
        <v>101.6</v>
      </c>
      <c r="D45" s="323">
        <v>444.5</v>
      </c>
      <c r="E45" s="323">
        <v>959</v>
      </c>
      <c r="F45" s="323" t="s">
        <v>203</v>
      </c>
      <c r="G45" s="335">
        <v>46220</v>
      </c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6">
        <f t="shared" si="0"/>
        <v>959</v>
      </c>
      <c r="AN45" s="327">
        <f t="shared" si="1"/>
        <v>0.64964386200000002</v>
      </c>
      <c r="AO45" s="323">
        <v>590</v>
      </c>
      <c r="AP45" s="350">
        <f t="shared" si="3"/>
        <v>12597.933400179581</v>
      </c>
    </row>
    <row r="46" spans="1:42">
      <c r="A46" s="333" t="s">
        <v>202</v>
      </c>
      <c r="B46" s="323">
        <v>17</v>
      </c>
      <c r="C46" s="323">
        <v>83</v>
      </c>
      <c r="D46" s="323">
        <v>520</v>
      </c>
      <c r="E46" s="323">
        <v>1560</v>
      </c>
      <c r="F46" s="323" t="s">
        <v>203</v>
      </c>
      <c r="G46" s="335">
        <v>46220</v>
      </c>
      <c r="H46" s="323"/>
      <c r="I46" s="323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323"/>
      <c r="AK46" s="323"/>
      <c r="AL46" s="323"/>
      <c r="AM46" s="326">
        <f t="shared" si="0"/>
        <v>1560</v>
      </c>
      <c r="AN46" s="327">
        <f t="shared" si="1"/>
        <v>1.1446031999999999</v>
      </c>
      <c r="AO46" s="323">
        <v>530</v>
      </c>
      <c r="AP46" s="350">
        <f t="shared" si="3"/>
        <v>19938.972864158397</v>
      </c>
    </row>
    <row r="47" spans="1:42">
      <c r="A47" s="333" t="s">
        <v>202</v>
      </c>
      <c r="B47" s="323">
        <v>17</v>
      </c>
      <c r="C47" s="323">
        <v>83</v>
      </c>
      <c r="D47" s="323">
        <v>520</v>
      </c>
      <c r="E47" s="323">
        <v>1560</v>
      </c>
      <c r="F47" s="323" t="s">
        <v>203</v>
      </c>
      <c r="G47" s="335">
        <v>46220</v>
      </c>
      <c r="H47" s="323"/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323"/>
      <c r="AK47" s="323"/>
      <c r="AL47" s="323"/>
      <c r="AM47" s="326">
        <f t="shared" si="0"/>
        <v>1560</v>
      </c>
      <c r="AN47" s="327">
        <f t="shared" si="1"/>
        <v>1.1446031999999999</v>
      </c>
      <c r="AO47" s="323">
        <v>530</v>
      </c>
      <c r="AP47" s="350">
        <f t="shared" si="3"/>
        <v>19938.972864158397</v>
      </c>
    </row>
    <row r="48" spans="1:42">
      <c r="A48" s="333" t="s">
        <v>202</v>
      </c>
      <c r="B48" s="323">
        <v>17</v>
      </c>
      <c r="C48" s="323">
        <v>78</v>
      </c>
      <c r="D48" s="323">
        <v>520</v>
      </c>
      <c r="E48" s="323">
        <v>1644</v>
      </c>
      <c r="F48" s="323" t="s">
        <v>203</v>
      </c>
      <c r="G48" s="335">
        <v>46220</v>
      </c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  <c r="AG48" s="323"/>
      <c r="AH48" s="323"/>
      <c r="AI48" s="323"/>
      <c r="AJ48" s="323"/>
      <c r="AK48" s="323"/>
      <c r="AL48" s="323"/>
      <c r="AM48" s="326">
        <f t="shared" si="0"/>
        <v>1644</v>
      </c>
      <c r="AN48" s="327">
        <f t="shared" si="1"/>
        <v>1.1335708799999999</v>
      </c>
      <c r="AO48" s="323">
        <v>530</v>
      </c>
      <c r="AP48" s="350">
        <f t="shared" si="3"/>
        <v>19746.789993178558</v>
      </c>
    </row>
    <row r="49" spans="1:43">
      <c r="A49" s="333" t="s">
        <v>202</v>
      </c>
      <c r="B49" s="323">
        <v>17</v>
      </c>
      <c r="C49" s="323">
        <v>73</v>
      </c>
      <c r="D49" s="323">
        <v>520</v>
      </c>
      <c r="E49" s="323">
        <v>1740</v>
      </c>
      <c r="F49" s="323" t="s">
        <v>203</v>
      </c>
      <c r="G49" s="335">
        <v>46220</v>
      </c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323"/>
      <c r="AK49" s="323"/>
      <c r="AL49" s="323"/>
      <c r="AM49" s="326">
        <f t="shared" si="0"/>
        <v>1740</v>
      </c>
      <c r="AN49" s="327">
        <f t="shared" si="1"/>
        <v>1.1228568000000001</v>
      </c>
      <c r="AO49" s="323">
        <v>530</v>
      </c>
      <c r="AP49" s="350">
        <f t="shared" si="3"/>
        <v>19560.150858861598</v>
      </c>
    </row>
    <row r="51" spans="1:43">
      <c r="AN51" s="367">
        <f>SUM(AN3:AN49)</f>
        <v>37.991358335103989</v>
      </c>
      <c r="AP51" s="419">
        <f>SUM(AP3:AP49)</f>
        <v>706326.91097835323</v>
      </c>
      <c r="AQ51" s="419">
        <f>AP51/AN51</f>
        <v>18591.778286740217</v>
      </c>
    </row>
  </sheetData>
  <autoFilter ref="A1:AP49" xr:uid="{F5E6B93F-088D-4104-9597-8FD330AFE849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sortState xmlns:xlrd2="http://schemas.microsoft.com/office/spreadsheetml/2017/richdata2" ref="A4:AP49">
      <sortCondition ref="A1:A35"/>
    </sortState>
  </autoFilter>
  <mergeCells count="12">
    <mergeCell ref="AP1:AP2"/>
    <mergeCell ref="A1:A2"/>
    <mergeCell ref="B1:B2"/>
    <mergeCell ref="C1:C2"/>
    <mergeCell ref="D1:D2"/>
    <mergeCell ref="E1:E2"/>
    <mergeCell ref="F1:F2"/>
    <mergeCell ref="G1:G2"/>
    <mergeCell ref="H1:AL1"/>
    <mergeCell ref="AM1:AM2"/>
    <mergeCell ref="AN1:AN2"/>
    <mergeCell ref="AO1:AO2"/>
  </mergeCells>
  <pageMargins left="0.98425196850393704" right="0.98425196850393704" top="0.98425196850393704" bottom="0.98425196850393704" header="0.51181102362204722" footer="0.51181102362204722"/>
  <pageSetup paperSize="9" fitToHeight="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00F3-D8D3-46CC-8623-748EB9E81D79}">
  <dimension ref="A1:AS464"/>
  <sheetViews>
    <sheetView zoomScale="70" zoomScaleNormal="70" workbookViewId="0">
      <pane xSplit="7" ySplit="1" topLeftCell="H451" activePane="bottomRight" state="frozen"/>
      <selection activeCell="AV254" sqref="AV254"/>
      <selection pane="topRight" activeCell="AV254" sqref="AV254"/>
      <selection pane="bottomLeft" activeCell="AV254" sqref="AV254"/>
      <selection pane="bottomRight" activeCell="AV21" sqref="AV21"/>
    </sheetView>
  </sheetViews>
  <sheetFormatPr defaultColWidth="8.90625" defaultRowHeight="14.5"/>
  <cols>
    <col min="1" max="1" width="24.6328125" style="321" bestFit="1" customWidth="1"/>
    <col min="2" max="4" width="8.90625" style="321"/>
    <col min="5" max="6" width="9.81640625" style="321" customWidth="1"/>
    <col min="7" max="7" width="15" style="321" customWidth="1"/>
    <col min="8" max="8" width="7.54296875" style="321" hidden="1" customWidth="1"/>
    <col min="9" max="9" width="8.81640625" style="321" hidden="1" customWidth="1"/>
    <col min="10" max="10" width="7.90625" style="321" hidden="1" customWidth="1"/>
    <col min="11" max="35" width="9.81640625" style="321" hidden="1" customWidth="1"/>
    <col min="36" max="37" width="9.90625" style="321" hidden="1" customWidth="1"/>
    <col min="38" max="38" width="10" style="321" hidden="1" customWidth="1"/>
    <col min="39" max="39" width="15.6328125" style="321" bestFit="1" customWidth="1"/>
    <col min="40" max="40" width="10.1796875" style="321" customWidth="1"/>
    <col min="41" max="41" width="15.6328125" style="321" hidden="1" customWidth="1"/>
    <col min="42" max="42" width="14.90625" style="321" hidden="1" customWidth="1"/>
    <col min="43" max="43" width="19.453125" style="348" hidden="1" customWidth="1"/>
    <col min="44" max="44" width="25.453125" style="321" customWidth="1"/>
    <col min="45" max="16384" width="8.90625" style="321"/>
  </cols>
  <sheetData>
    <row r="1" spans="1:45" ht="25.25" customHeight="1">
      <c r="A1" s="464" t="s">
        <v>204</v>
      </c>
      <c r="B1" s="439" t="s">
        <v>147</v>
      </c>
      <c r="C1" s="439" t="s">
        <v>1</v>
      </c>
      <c r="D1" s="439" t="s">
        <v>2</v>
      </c>
      <c r="E1" s="439" t="s">
        <v>148</v>
      </c>
      <c r="F1" s="439" t="s">
        <v>149</v>
      </c>
      <c r="G1" s="439" t="s">
        <v>150</v>
      </c>
      <c r="H1" s="441" t="s">
        <v>151</v>
      </c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2" t="s">
        <v>152</v>
      </c>
      <c r="AN1" s="443" t="s">
        <v>153</v>
      </c>
      <c r="AO1" s="444" t="s">
        <v>154</v>
      </c>
      <c r="AP1" s="443" t="s">
        <v>155</v>
      </c>
      <c r="AQ1" s="438" t="s">
        <v>156</v>
      </c>
    </row>
    <row r="2" spans="1:45">
      <c r="A2" s="464"/>
      <c r="B2" s="440"/>
      <c r="C2" s="440"/>
      <c r="D2" s="440"/>
      <c r="E2" s="440"/>
      <c r="F2" s="440"/>
      <c r="G2" s="440"/>
      <c r="H2" s="320">
        <v>1</v>
      </c>
      <c r="I2" s="320">
        <v>2</v>
      </c>
      <c r="J2" s="320">
        <v>3</v>
      </c>
      <c r="K2" s="320">
        <v>4</v>
      </c>
      <c r="L2" s="320">
        <v>5</v>
      </c>
      <c r="M2" s="320">
        <v>6</v>
      </c>
      <c r="N2" s="320">
        <v>7</v>
      </c>
      <c r="O2" s="320">
        <v>8</v>
      </c>
      <c r="P2" s="320">
        <v>9</v>
      </c>
      <c r="Q2" s="320">
        <v>10</v>
      </c>
      <c r="R2" s="320">
        <v>11</v>
      </c>
      <c r="S2" s="320">
        <v>12</v>
      </c>
      <c r="T2" s="320">
        <v>13</v>
      </c>
      <c r="U2" s="320">
        <v>14</v>
      </c>
      <c r="V2" s="320">
        <v>15</v>
      </c>
      <c r="W2" s="320">
        <v>16</v>
      </c>
      <c r="X2" s="320">
        <v>17</v>
      </c>
      <c r="Y2" s="320">
        <v>18</v>
      </c>
      <c r="Z2" s="320">
        <v>19</v>
      </c>
      <c r="AA2" s="320">
        <v>20</v>
      </c>
      <c r="AB2" s="320">
        <v>21</v>
      </c>
      <c r="AC2" s="320">
        <v>22</v>
      </c>
      <c r="AD2" s="320">
        <v>23</v>
      </c>
      <c r="AE2" s="320">
        <v>24</v>
      </c>
      <c r="AF2" s="320">
        <v>25</v>
      </c>
      <c r="AG2" s="320">
        <v>26</v>
      </c>
      <c r="AH2" s="320">
        <v>27</v>
      </c>
      <c r="AI2" s="320">
        <v>28</v>
      </c>
      <c r="AJ2" s="320">
        <v>29</v>
      </c>
      <c r="AK2" s="320">
        <v>30</v>
      </c>
      <c r="AL2" s="320">
        <v>31</v>
      </c>
      <c r="AM2" s="442"/>
      <c r="AN2" s="443"/>
      <c r="AO2" s="445"/>
      <c r="AP2" s="443"/>
      <c r="AQ2" s="438"/>
    </row>
    <row r="3" spans="1:45">
      <c r="A3" s="351" t="s">
        <v>177</v>
      </c>
      <c r="B3" s="323">
        <v>25.8</v>
      </c>
      <c r="C3" s="323">
        <v>420</v>
      </c>
      <c r="D3" s="323">
        <v>500</v>
      </c>
      <c r="E3" s="323">
        <v>168</v>
      </c>
      <c r="F3" s="324"/>
      <c r="G3" s="352">
        <v>45772</v>
      </c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6">
        <f t="shared" ref="AM3:AM52" si="0">E3-H3-I3-J3-K3-L3-M3-N3-O3-P3-Q3-R3-S3-T3-U3-V3-W3-X3-Y3-Z3-AA3-AB3-AC3-AD3-AE3-AF3-AG3-AH3-AI3-AJ3-AK3-AL3</f>
        <v>168</v>
      </c>
      <c r="AN3" s="327">
        <f t="shared" ref="AN3:AN66" si="1">B3*C3*D3*AM3/1000000000</f>
        <v>0.91022400000000003</v>
      </c>
      <c r="AO3" s="327">
        <v>0.56000000000000005</v>
      </c>
      <c r="AP3" s="327"/>
      <c r="AQ3" s="328">
        <f t="shared" ref="AQ3:AQ42" si="2">AM3*AO3*33.8783</f>
        <v>3187.2704640000006</v>
      </c>
    </row>
    <row r="4" spans="1:45">
      <c r="A4" s="351" t="s">
        <v>177</v>
      </c>
      <c r="B4" s="323">
        <v>20</v>
      </c>
      <c r="C4" s="323">
        <v>97</v>
      </c>
      <c r="D4" s="323">
        <v>890</v>
      </c>
      <c r="E4" s="323">
        <v>500</v>
      </c>
      <c r="F4" s="324"/>
      <c r="G4" s="352">
        <v>45772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6">
        <f t="shared" si="0"/>
        <v>500</v>
      </c>
      <c r="AN4" s="327">
        <f t="shared" si="1"/>
        <v>0.86329999999999996</v>
      </c>
      <c r="AO4" s="327">
        <v>0.42</v>
      </c>
      <c r="AP4" s="327"/>
      <c r="AQ4" s="328">
        <f t="shared" si="2"/>
        <v>7114.4430000000002</v>
      </c>
      <c r="AS4" s="353"/>
    </row>
    <row r="5" spans="1:45">
      <c r="A5" s="351" t="s">
        <v>177</v>
      </c>
      <c r="B5" s="323">
        <v>12.3</v>
      </c>
      <c r="C5" s="323">
        <v>79</v>
      </c>
      <c r="D5" s="323">
        <v>510</v>
      </c>
      <c r="E5" s="323">
        <v>1640</v>
      </c>
      <c r="F5" s="324"/>
      <c r="G5" s="352">
        <v>45772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6">
        <f t="shared" si="0"/>
        <v>1640</v>
      </c>
      <c r="AN5" s="327">
        <f t="shared" si="1"/>
        <v>0.81272988000000002</v>
      </c>
      <c r="AO5" s="327">
        <v>0.31</v>
      </c>
      <c r="AP5" s="327"/>
      <c r="AQ5" s="328">
        <f t="shared" si="2"/>
        <v>17223.727719999999</v>
      </c>
    </row>
    <row r="6" spans="1:45">
      <c r="A6" s="351" t="s">
        <v>177</v>
      </c>
      <c r="B6" s="323">
        <v>20</v>
      </c>
      <c r="C6" s="323">
        <v>97</v>
      </c>
      <c r="D6" s="323">
        <v>890</v>
      </c>
      <c r="E6" s="323">
        <v>500</v>
      </c>
      <c r="F6" s="324"/>
      <c r="G6" s="352">
        <v>45772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6">
        <f t="shared" si="0"/>
        <v>500</v>
      </c>
      <c r="AN6" s="327">
        <f t="shared" si="1"/>
        <v>0.86329999999999996</v>
      </c>
      <c r="AO6" s="327">
        <v>0.35</v>
      </c>
      <c r="AP6" s="327"/>
      <c r="AQ6" s="328">
        <f t="shared" si="2"/>
        <v>5928.7025000000003</v>
      </c>
    </row>
    <row r="7" spans="1:45">
      <c r="A7" s="351" t="s">
        <v>177</v>
      </c>
      <c r="B7" s="323">
        <v>12.3</v>
      </c>
      <c r="C7" s="323">
        <v>41.3</v>
      </c>
      <c r="D7" s="323">
        <v>700</v>
      </c>
      <c r="E7" s="323">
        <v>540</v>
      </c>
      <c r="F7" s="324"/>
      <c r="G7" s="352">
        <v>45772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6">
        <f t="shared" si="0"/>
        <v>540</v>
      </c>
      <c r="AN7" s="327">
        <f t="shared" si="1"/>
        <v>0.19202021999999999</v>
      </c>
      <c r="AO7" s="327">
        <v>0.32</v>
      </c>
      <c r="AP7" s="327"/>
      <c r="AQ7" s="328">
        <f t="shared" si="2"/>
        <v>5854.1702400000013</v>
      </c>
    </row>
    <row r="8" spans="1:45">
      <c r="A8" s="351" t="s">
        <v>177</v>
      </c>
      <c r="B8" s="323">
        <v>20</v>
      </c>
      <c r="C8" s="323">
        <v>52</v>
      </c>
      <c r="D8" s="323">
        <v>690</v>
      </c>
      <c r="E8" s="323">
        <v>709</v>
      </c>
      <c r="F8" s="324"/>
      <c r="G8" s="352">
        <v>45772</v>
      </c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>
        <v>171</v>
      </c>
      <c r="X8" s="323"/>
      <c r="Y8" s="323"/>
      <c r="Z8" s="323">
        <v>80</v>
      </c>
      <c r="AA8" s="323">
        <v>136</v>
      </c>
      <c r="AB8" s="323"/>
      <c r="AC8" s="323">
        <v>210</v>
      </c>
      <c r="AD8" s="323"/>
      <c r="AE8" s="323"/>
      <c r="AF8" s="323"/>
      <c r="AG8" s="323"/>
      <c r="AH8" s="323"/>
      <c r="AI8" s="323"/>
      <c r="AJ8" s="323"/>
      <c r="AK8" s="323"/>
      <c r="AL8" s="323"/>
      <c r="AM8" s="326">
        <f t="shared" si="0"/>
        <v>112</v>
      </c>
      <c r="AN8" s="327">
        <f t="shared" si="1"/>
        <v>8.0371200000000004E-2</v>
      </c>
      <c r="AO8" s="327">
        <v>0.28999999999999998</v>
      </c>
      <c r="AP8" s="327"/>
      <c r="AQ8" s="328">
        <f t="shared" si="2"/>
        <v>1100.367184</v>
      </c>
    </row>
    <row r="9" spans="1:45">
      <c r="A9" s="351" t="s">
        <v>177</v>
      </c>
      <c r="B9" s="323">
        <v>25.8</v>
      </c>
      <c r="C9" s="323">
        <v>420</v>
      </c>
      <c r="D9" s="323">
        <v>500</v>
      </c>
      <c r="E9" s="323">
        <v>164</v>
      </c>
      <c r="F9" s="324"/>
      <c r="G9" s="352">
        <v>45772</v>
      </c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3"/>
      <c r="AM9" s="326">
        <f t="shared" si="0"/>
        <v>164</v>
      </c>
      <c r="AN9" s="327">
        <f t="shared" si="1"/>
        <v>0.88855200000000001</v>
      </c>
      <c r="AO9" s="327">
        <v>0.87</v>
      </c>
      <c r="AP9" s="327"/>
      <c r="AQ9" s="328">
        <f t="shared" si="2"/>
        <v>4833.7558440000003</v>
      </c>
    </row>
    <row r="10" spans="1:45">
      <c r="A10" s="351" t="s">
        <v>177</v>
      </c>
      <c r="B10" s="323">
        <v>12.2</v>
      </c>
      <c r="C10" s="323">
        <v>41.3</v>
      </c>
      <c r="D10" s="323">
        <v>850</v>
      </c>
      <c r="E10" s="323">
        <v>1500</v>
      </c>
      <c r="F10" s="324"/>
      <c r="G10" s="352">
        <v>45772</v>
      </c>
      <c r="H10" s="323"/>
      <c r="I10" s="323"/>
      <c r="J10" s="323"/>
      <c r="K10" s="323"/>
      <c r="L10" s="323"/>
      <c r="M10" s="323"/>
      <c r="N10" s="323"/>
      <c r="O10" s="323">
        <v>1317</v>
      </c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6">
        <f t="shared" si="0"/>
        <v>183</v>
      </c>
      <c r="AN10" s="327">
        <f t="shared" si="1"/>
        <v>7.8375422999999986E-2</v>
      </c>
      <c r="AO10" s="327">
        <v>0.25</v>
      </c>
      <c r="AP10" s="327"/>
      <c r="AQ10" s="328">
        <f t="shared" si="2"/>
        <v>1549.9322250000002</v>
      </c>
    </row>
    <row r="11" spans="1:45">
      <c r="A11" s="351" t="s">
        <v>177</v>
      </c>
      <c r="B11" s="323">
        <v>20</v>
      </c>
      <c r="C11" s="323">
        <v>97</v>
      </c>
      <c r="D11" s="323">
        <v>850</v>
      </c>
      <c r="E11" s="323">
        <v>500</v>
      </c>
      <c r="F11" s="324"/>
      <c r="G11" s="352">
        <v>45772</v>
      </c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>
        <v>256</v>
      </c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6">
        <f t="shared" si="0"/>
        <v>244</v>
      </c>
      <c r="AN11" s="327">
        <f t="shared" si="1"/>
        <v>0.40235599999999999</v>
      </c>
      <c r="AO11" s="327">
        <v>0.45</v>
      </c>
      <c r="AP11" s="327"/>
      <c r="AQ11" s="328">
        <f t="shared" si="2"/>
        <v>3719.83734</v>
      </c>
    </row>
    <row r="12" spans="1:45">
      <c r="A12" s="351" t="s">
        <v>177</v>
      </c>
      <c r="B12" s="323">
        <v>20</v>
      </c>
      <c r="C12" s="323">
        <v>97</v>
      </c>
      <c r="D12" s="323">
        <v>510</v>
      </c>
      <c r="E12" s="323">
        <v>594</v>
      </c>
      <c r="F12" s="324"/>
      <c r="G12" s="352">
        <v>45772</v>
      </c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6">
        <f t="shared" si="0"/>
        <v>594</v>
      </c>
      <c r="AN12" s="327">
        <f t="shared" si="1"/>
        <v>0.58770359999999999</v>
      </c>
      <c r="AO12" s="327">
        <v>0.89</v>
      </c>
      <c r="AP12" s="327"/>
      <c r="AQ12" s="328">
        <f t="shared" si="2"/>
        <v>17910.102078</v>
      </c>
    </row>
    <row r="13" spans="1:45">
      <c r="A13" s="351" t="s">
        <v>177</v>
      </c>
      <c r="B13" s="323">
        <v>12.2</v>
      </c>
      <c r="C13" s="323">
        <v>31.75</v>
      </c>
      <c r="D13" s="323">
        <v>430</v>
      </c>
      <c r="E13" s="323">
        <v>4500</v>
      </c>
      <c r="F13" s="324"/>
      <c r="G13" s="352">
        <v>45772</v>
      </c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>
        <v>791</v>
      </c>
      <c r="AF13" s="323"/>
      <c r="AG13" s="323"/>
      <c r="AH13" s="323"/>
      <c r="AI13" s="323"/>
      <c r="AJ13" s="323"/>
      <c r="AK13" s="323"/>
      <c r="AL13" s="323"/>
      <c r="AM13" s="326">
        <f t="shared" si="0"/>
        <v>3709</v>
      </c>
      <c r="AN13" s="327">
        <f t="shared" si="1"/>
        <v>0.61777289449999984</v>
      </c>
      <c r="AO13" s="327">
        <v>0.19</v>
      </c>
      <c r="AP13" s="327"/>
      <c r="AQ13" s="328">
        <f t="shared" si="2"/>
        <v>23874.376793000003</v>
      </c>
    </row>
    <row r="14" spans="1:45">
      <c r="A14" s="351" t="s">
        <v>177</v>
      </c>
      <c r="B14" s="323">
        <v>20</v>
      </c>
      <c r="C14" s="323">
        <v>97</v>
      </c>
      <c r="D14" s="323">
        <v>510</v>
      </c>
      <c r="E14" s="323">
        <v>606</v>
      </c>
      <c r="F14" s="324"/>
      <c r="G14" s="352">
        <v>45772</v>
      </c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6">
        <f t="shared" si="0"/>
        <v>606</v>
      </c>
      <c r="AN14" s="327">
        <f t="shared" si="1"/>
        <v>0.59957640000000001</v>
      </c>
      <c r="AO14" s="327">
        <v>0.89</v>
      </c>
      <c r="AP14" s="327"/>
      <c r="AQ14" s="328">
        <f t="shared" si="2"/>
        <v>18271.922322000002</v>
      </c>
    </row>
    <row r="15" spans="1:45">
      <c r="A15" s="351" t="s">
        <v>177</v>
      </c>
      <c r="B15" s="323">
        <v>20</v>
      </c>
      <c r="C15" s="323">
        <v>97</v>
      </c>
      <c r="D15" s="323">
        <v>510</v>
      </c>
      <c r="E15" s="323">
        <v>800</v>
      </c>
      <c r="F15" s="324"/>
      <c r="G15" s="352">
        <v>45772</v>
      </c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6">
        <f t="shared" si="0"/>
        <v>800</v>
      </c>
      <c r="AN15" s="327">
        <f t="shared" si="1"/>
        <v>0.79152</v>
      </c>
      <c r="AO15" s="327">
        <v>0.89</v>
      </c>
      <c r="AP15" s="327"/>
      <c r="AQ15" s="328">
        <f t="shared" si="2"/>
        <v>24121.349600000001</v>
      </c>
    </row>
    <row r="16" spans="1:45">
      <c r="A16" s="351" t="s">
        <v>177</v>
      </c>
      <c r="B16" s="323">
        <v>20</v>
      </c>
      <c r="C16" s="323">
        <v>97</v>
      </c>
      <c r="D16" s="323">
        <v>510</v>
      </c>
      <c r="E16" s="323">
        <v>500</v>
      </c>
      <c r="F16" s="324"/>
      <c r="G16" s="352">
        <v>45772</v>
      </c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6">
        <f t="shared" si="0"/>
        <v>500</v>
      </c>
      <c r="AN16" s="327">
        <f t="shared" si="1"/>
        <v>0.49469999999999997</v>
      </c>
      <c r="AO16" s="327">
        <v>0.89</v>
      </c>
      <c r="AP16" s="327"/>
      <c r="AQ16" s="328">
        <f t="shared" si="2"/>
        <v>15075.843500000001</v>
      </c>
    </row>
    <row r="17" spans="1:43">
      <c r="A17" s="351" t="s">
        <v>177</v>
      </c>
      <c r="B17" s="323">
        <v>20</v>
      </c>
      <c r="C17" s="323">
        <v>97</v>
      </c>
      <c r="D17" s="323">
        <v>510</v>
      </c>
      <c r="E17" s="323">
        <v>800</v>
      </c>
      <c r="F17" s="324"/>
      <c r="G17" s="352">
        <v>45772</v>
      </c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6">
        <f t="shared" si="0"/>
        <v>800</v>
      </c>
      <c r="AN17" s="327">
        <f t="shared" si="1"/>
        <v>0.79152</v>
      </c>
      <c r="AO17" s="327">
        <v>0.89</v>
      </c>
      <c r="AP17" s="327"/>
      <c r="AQ17" s="328">
        <f t="shared" si="2"/>
        <v>24121.349600000001</v>
      </c>
    </row>
    <row r="18" spans="1:43">
      <c r="A18" s="351" t="s">
        <v>177</v>
      </c>
      <c r="B18" s="323">
        <v>20</v>
      </c>
      <c r="C18" s="323">
        <v>97</v>
      </c>
      <c r="D18" s="323">
        <v>550</v>
      </c>
      <c r="E18" s="323">
        <v>800</v>
      </c>
      <c r="F18" s="324"/>
      <c r="G18" s="352">
        <v>45772</v>
      </c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>
        <v>283</v>
      </c>
      <c r="AL18" s="323"/>
      <c r="AM18" s="326">
        <f t="shared" si="0"/>
        <v>517</v>
      </c>
      <c r="AN18" s="327">
        <f t="shared" si="1"/>
        <v>0.55163899999999999</v>
      </c>
      <c r="AO18" s="327">
        <v>0.41</v>
      </c>
      <c r="AP18" s="327"/>
      <c r="AQ18" s="328">
        <f t="shared" si="2"/>
        <v>7181.1832510000004</v>
      </c>
    </row>
    <row r="19" spans="1:43">
      <c r="A19" s="351" t="s">
        <v>177</v>
      </c>
      <c r="B19" s="323">
        <v>20</v>
      </c>
      <c r="C19" s="323">
        <v>97</v>
      </c>
      <c r="D19" s="323">
        <v>510</v>
      </c>
      <c r="E19" s="323">
        <v>800</v>
      </c>
      <c r="F19" s="324"/>
      <c r="G19" s="352">
        <v>45772</v>
      </c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6">
        <f t="shared" si="0"/>
        <v>800</v>
      </c>
      <c r="AN19" s="327">
        <f t="shared" si="1"/>
        <v>0.79152</v>
      </c>
      <c r="AO19" s="327">
        <v>0.89</v>
      </c>
      <c r="AP19" s="327"/>
      <c r="AQ19" s="328">
        <f t="shared" si="2"/>
        <v>24121.349600000001</v>
      </c>
    </row>
    <row r="20" spans="1:43">
      <c r="A20" s="351" t="s">
        <v>177</v>
      </c>
      <c r="B20" s="323">
        <v>20</v>
      </c>
      <c r="C20" s="323">
        <v>97</v>
      </c>
      <c r="D20" s="323">
        <v>510</v>
      </c>
      <c r="E20" s="323">
        <v>800</v>
      </c>
      <c r="F20" s="324"/>
      <c r="G20" s="352">
        <v>45772</v>
      </c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>
        <v>376</v>
      </c>
      <c r="X20" s="323"/>
      <c r="Y20" s="323"/>
      <c r="Z20" s="323"/>
      <c r="AA20" s="323">
        <v>318</v>
      </c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6">
        <f t="shared" si="0"/>
        <v>106</v>
      </c>
      <c r="AN20" s="327">
        <f t="shared" si="1"/>
        <v>0.10487639999999999</v>
      </c>
      <c r="AO20" s="327">
        <v>0.89</v>
      </c>
      <c r="AP20" s="327"/>
      <c r="AQ20" s="328">
        <f t="shared" si="2"/>
        <v>3196.0788220000004</v>
      </c>
    </row>
    <row r="21" spans="1:43">
      <c r="A21" s="351" t="s">
        <v>177</v>
      </c>
      <c r="B21" s="323">
        <v>20</v>
      </c>
      <c r="C21" s="323">
        <v>97</v>
      </c>
      <c r="D21" s="323">
        <v>550</v>
      </c>
      <c r="E21" s="323">
        <v>800</v>
      </c>
      <c r="F21" s="324"/>
      <c r="G21" s="352">
        <v>45772</v>
      </c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6">
        <f t="shared" si="0"/>
        <v>800</v>
      </c>
      <c r="AN21" s="327">
        <f t="shared" si="1"/>
        <v>0.85360000000000003</v>
      </c>
      <c r="AO21" s="327">
        <v>0.41</v>
      </c>
      <c r="AP21" s="327"/>
      <c r="AQ21" s="328">
        <f t="shared" si="2"/>
        <v>11112.082400000001</v>
      </c>
    </row>
    <row r="22" spans="1:43">
      <c r="A22" s="351" t="s">
        <v>177</v>
      </c>
      <c r="B22" s="323">
        <v>20</v>
      </c>
      <c r="C22" s="323">
        <v>52</v>
      </c>
      <c r="D22" s="323">
        <v>690</v>
      </c>
      <c r="E22" s="323">
        <v>630</v>
      </c>
      <c r="F22" s="324"/>
      <c r="G22" s="352">
        <v>45772</v>
      </c>
      <c r="H22" s="323"/>
      <c r="I22" s="323"/>
      <c r="J22" s="323"/>
      <c r="K22" s="323">
        <v>162</v>
      </c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  <c r="AK22" s="323"/>
      <c r="AL22" s="323"/>
      <c r="AM22" s="326">
        <f t="shared" si="0"/>
        <v>468</v>
      </c>
      <c r="AN22" s="327">
        <f t="shared" si="1"/>
        <v>0.33583679999999999</v>
      </c>
      <c r="AO22" s="327">
        <v>0.28999999999999998</v>
      </c>
      <c r="AP22" s="327"/>
      <c r="AQ22" s="328">
        <f t="shared" si="2"/>
        <v>4597.9628760000005</v>
      </c>
    </row>
    <row r="23" spans="1:43">
      <c r="A23" s="351" t="s">
        <v>177</v>
      </c>
      <c r="B23" s="323">
        <v>20</v>
      </c>
      <c r="C23" s="323">
        <v>97</v>
      </c>
      <c r="D23" s="323">
        <v>510</v>
      </c>
      <c r="E23" s="323">
        <v>430</v>
      </c>
      <c r="F23" s="324"/>
      <c r="G23" s="352">
        <v>45772</v>
      </c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6">
        <f t="shared" si="0"/>
        <v>430</v>
      </c>
      <c r="AN23" s="327">
        <f t="shared" si="1"/>
        <v>0.42544199999999999</v>
      </c>
      <c r="AO23" s="327">
        <v>0.89</v>
      </c>
      <c r="AP23" s="327"/>
      <c r="AQ23" s="328">
        <f t="shared" si="2"/>
        <v>12965.225410000001</v>
      </c>
    </row>
    <row r="24" spans="1:43">
      <c r="A24" s="351" t="s">
        <v>177</v>
      </c>
      <c r="B24" s="323">
        <v>14</v>
      </c>
      <c r="C24" s="323">
        <v>45</v>
      </c>
      <c r="D24" s="323">
        <v>550</v>
      </c>
      <c r="E24" s="323">
        <v>1226</v>
      </c>
      <c r="F24" s="324"/>
      <c r="G24" s="352">
        <v>45772</v>
      </c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323"/>
      <c r="AK24" s="323"/>
      <c r="AL24" s="323"/>
      <c r="AM24" s="326">
        <f t="shared" si="0"/>
        <v>1226</v>
      </c>
      <c r="AN24" s="327">
        <f t="shared" si="1"/>
        <v>0.42480899999999999</v>
      </c>
      <c r="AO24" s="327">
        <v>0.33</v>
      </c>
      <c r="AP24" s="327"/>
      <c r="AQ24" s="328">
        <f t="shared" si="2"/>
        <v>13706.482614000002</v>
      </c>
    </row>
    <row r="25" spans="1:43">
      <c r="A25" s="351" t="s">
        <v>177</v>
      </c>
      <c r="B25" s="323">
        <v>18</v>
      </c>
      <c r="C25" s="323">
        <v>257</v>
      </c>
      <c r="D25" s="323">
        <v>470</v>
      </c>
      <c r="E25" s="323">
        <v>400</v>
      </c>
      <c r="F25" s="324"/>
      <c r="G25" s="352">
        <v>45772</v>
      </c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323"/>
      <c r="AJ25" s="323"/>
      <c r="AK25" s="323"/>
      <c r="AL25" s="323"/>
      <c r="AM25" s="326">
        <f t="shared" si="0"/>
        <v>400</v>
      </c>
      <c r="AN25" s="327">
        <f t="shared" si="1"/>
        <v>0.86968800000000002</v>
      </c>
      <c r="AO25" s="327">
        <v>0.35</v>
      </c>
      <c r="AP25" s="327"/>
      <c r="AQ25" s="328">
        <f t="shared" si="2"/>
        <v>4742.9620000000004</v>
      </c>
    </row>
    <row r="26" spans="1:43">
      <c r="A26" s="351" t="s">
        <v>177</v>
      </c>
      <c r="B26" s="323">
        <v>21</v>
      </c>
      <c r="C26" s="323">
        <v>69</v>
      </c>
      <c r="D26" s="323">
        <v>550</v>
      </c>
      <c r="E26" s="323">
        <v>600</v>
      </c>
      <c r="F26" s="324"/>
      <c r="G26" s="352">
        <v>45772</v>
      </c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>
        <v>400</v>
      </c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  <c r="AK26" s="323"/>
      <c r="AL26" s="323"/>
      <c r="AM26" s="326">
        <f t="shared" si="0"/>
        <v>200</v>
      </c>
      <c r="AN26" s="327">
        <f t="shared" si="1"/>
        <v>0.15939</v>
      </c>
      <c r="AO26" s="327">
        <v>0.34</v>
      </c>
      <c r="AP26" s="327"/>
      <c r="AQ26" s="328">
        <f t="shared" si="2"/>
        <v>2303.7244000000001</v>
      </c>
    </row>
    <row r="27" spans="1:43">
      <c r="A27" s="351" t="s">
        <v>177</v>
      </c>
      <c r="B27" s="323">
        <v>21</v>
      </c>
      <c r="C27" s="323">
        <v>62</v>
      </c>
      <c r="D27" s="323">
        <v>660</v>
      </c>
      <c r="E27" s="323">
        <v>350</v>
      </c>
      <c r="F27" s="324"/>
      <c r="G27" s="352">
        <v>45772</v>
      </c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L27" s="323"/>
      <c r="AM27" s="326">
        <f t="shared" si="0"/>
        <v>350</v>
      </c>
      <c r="AN27" s="327">
        <f t="shared" si="1"/>
        <v>0.30076199999999997</v>
      </c>
      <c r="AO27" s="327">
        <v>0.7</v>
      </c>
      <c r="AP27" s="327"/>
      <c r="AQ27" s="328">
        <f t="shared" si="2"/>
        <v>8300.1834999999992</v>
      </c>
    </row>
    <row r="28" spans="1:43">
      <c r="A28" s="351" t="s">
        <v>177</v>
      </c>
      <c r="B28" s="323">
        <v>22</v>
      </c>
      <c r="C28" s="323">
        <v>100</v>
      </c>
      <c r="D28" s="323">
        <v>900</v>
      </c>
      <c r="E28" s="323">
        <v>170</v>
      </c>
      <c r="F28" s="324"/>
      <c r="G28" s="352">
        <v>45772</v>
      </c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3"/>
      <c r="AM28" s="326">
        <f t="shared" si="0"/>
        <v>170</v>
      </c>
      <c r="AN28" s="327">
        <f t="shared" si="1"/>
        <v>0.33660000000000001</v>
      </c>
      <c r="AO28" s="327">
        <v>0.78</v>
      </c>
      <c r="AP28" s="327"/>
      <c r="AQ28" s="328">
        <f t="shared" si="2"/>
        <v>4492.2625800000005</v>
      </c>
    </row>
    <row r="29" spans="1:43">
      <c r="A29" s="351" t="s">
        <v>177</v>
      </c>
      <c r="B29" s="323">
        <v>20</v>
      </c>
      <c r="C29" s="323">
        <v>97</v>
      </c>
      <c r="D29" s="323">
        <v>510</v>
      </c>
      <c r="E29" s="323">
        <v>800</v>
      </c>
      <c r="F29" s="324"/>
      <c r="G29" s="352">
        <v>45772</v>
      </c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6">
        <f t="shared" si="0"/>
        <v>800</v>
      </c>
      <c r="AN29" s="327">
        <f t="shared" si="1"/>
        <v>0.79152</v>
      </c>
      <c r="AO29" s="327">
        <v>0.89</v>
      </c>
      <c r="AP29" s="327"/>
      <c r="AQ29" s="328">
        <f t="shared" si="2"/>
        <v>24121.349600000001</v>
      </c>
    </row>
    <row r="30" spans="1:43">
      <c r="A30" s="351" t="s">
        <v>177</v>
      </c>
      <c r="B30" s="323">
        <v>20</v>
      </c>
      <c r="C30" s="323">
        <v>52</v>
      </c>
      <c r="D30" s="323">
        <v>830</v>
      </c>
      <c r="E30" s="323">
        <v>800</v>
      </c>
      <c r="F30" s="324"/>
      <c r="G30" s="352">
        <v>45772</v>
      </c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6">
        <f t="shared" si="0"/>
        <v>800</v>
      </c>
      <c r="AN30" s="327">
        <f t="shared" si="1"/>
        <v>0.69055999999999995</v>
      </c>
      <c r="AO30" s="327">
        <v>0.26</v>
      </c>
      <c r="AP30" s="327"/>
      <c r="AQ30" s="328">
        <f t="shared" si="2"/>
        <v>7046.6864000000005</v>
      </c>
    </row>
    <row r="31" spans="1:43">
      <c r="A31" s="351" t="s">
        <v>177</v>
      </c>
      <c r="B31" s="323">
        <v>20</v>
      </c>
      <c r="C31" s="323">
        <v>97</v>
      </c>
      <c r="D31" s="323">
        <v>890</v>
      </c>
      <c r="E31" s="323">
        <v>550</v>
      </c>
      <c r="F31" s="324"/>
      <c r="G31" s="352">
        <v>45772</v>
      </c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23"/>
      <c r="AJ31" s="323"/>
      <c r="AK31" s="323"/>
      <c r="AL31" s="323"/>
      <c r="AM31" s="326">
        <f t="shared" si="0"/>
        <v>550</v>
      </c>
      <c r="AN31" s="327">
        <f t="shared" si="1"/>
        <v>0.94962999999999997</v>
      </c>
      <c r="AO31" s="327">
        <v>0.45</v>
      </c>
      <c r="AP31" s="327"/>
      <c r="AQ31" s="328">
        <f t="shared" si="2"/>
        <v>8384.87925</v>
      </c>
    </row>
    <row r="32" spans="1:43">
      <c r="A32" s="351" t="s">
        <v>177</v>
      </c>
      <c r="B32" s="323">
        <v>20</v>
      </c>
      <c r="C32" s="323">
        <v>97</v>
      </c>
      <c r="D32" s="323">
        <v>510</v>
      </c>
      <c r="E32" s="323">
        <v>700</v>
      </c>
      <c r="F32" s="324"/>
      <c r="G32" s="352">
        <v>45772</v>
      </c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  <c r="AK32" s="323"/>
      <c r="AL32" s="323"/>
      <c r="AM32" s="326">
        <f t="shared" si="0"/>
        <v>700</v>
      </c>
      <c r="AN32" s="327">
        <f t="shared" si="1"/>
        <v>0.69257999999999997</v>
      </c>
      <c r="AO32" s="327">
        <v>0.89</v>
      </c>
      <c r="AP32" s="327"/>
      <c r="AQ32" s="328">
        <f t="shared" si="2"/>
        <v>21106.180900000003</v>
      </c>
    </row>
    <row r="33" spans="1:43">
      <c r="A33" s="351" t="s">
        <v>177</v>
      </c>
      <c r="B33" s="323">
        <v>20</v>
      </c>
      <c r="C33" s="323">
        <v>97</v>
      </c>
      <c r="D33" s="323">
        <v>550</v>
      </c>
      <c r="E33" s="323">
        <v>800</v>
      </c>
      <c r="F33" s="324"/>
      <c r="G33" s="352">
        <v>45772</v>
      </c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6">
        <f t="shared" si="0"/>
        <v>800</v>
      </c>
      <c r="AN33" s="327">
        <f t="shared" si="1"/>
        <v>0.85360000000000003</v>
      </c>
      <c r="AO33" s="327">
        <v>0.41</v>
      </c>
      <c r="AP33" s="327"/>
      <c r="AQ33" s="328">
        <f t="shared" si="2"/>
        <v>11112.082400000001</v>
      </c>
    </row>
    <row r="34" spans="1:43">
      <c r="A34" s="351" t="s">
        <v>177</v>
      </c>
      <c r="B34" s="323">
        <v>20</v>
      </c>
      <c r="C34" s="323">
        <v>97</v>
      </c>
      <c r="D34" s="323">
        <v>510</v>
      </c>
      <c r="E34" s="323">
        <v>300</v>
      </c>
      <c r="F34" s="324"/>
      <c r="G34" s="352">
        <v>45772</v>
      </c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6">
        <f t="shared" si="0"/>
        <v>300</v>
      </c>
      <c r="AN34" s="327">
        <f t="shared" si="1"/>
        <v>0.29681999999999997</v>
      </c>
      <c r="AO34" s="327">
        <v>0.89</v>
      </c>
      <c r="AP34" s="327"/>
      <c r="AQ34" s="328">
        <f t="shared" si="2"/>
        <v>9045.5061000000005</v>
      </c>
    </row>
    <row r="35" spans="1:43">
      <c r="A35" s="351" t="s">
        <v>177</v>
      </c>
      <c r="B35" s="323">
        <v>9.5299999999999994</v>
      </c>
      <c r="C35" s="323">
        <v>63.5</v>
      </c>
      <c r="D35" s="323">
        <v>510</v>
      </c>
      <c r="E35" s="323">
        <v>1300</v>
      </c>
      <c r="F35" s="324"/>
      <c r="G35" s="352">
        <v>45772</v>
      </c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6">
        <f t="shared" si="0"/>
        <v>1300</v>
      </c>
      <c r="AN35" s="327">
        <f t="shared" si="1"/>
        <v>0.401217765</v>
      </c>
      <c r="AO35" s="327">
        <v>0.27</v>
      </c>
      <c r="AP35" s="327"/>
      <c r="AQ35" s="328">
        <f t="shared" si="2"/>
        <v>11891.283300000001</v>
      </c>
    </row>
    <row r="36" spans="1:43">
      <c r="A36" s="351" t="s">
        <v>177</v>
      </c>
      <c r="B36" s="323">
        <v>20</v>
      </c>
      <c r="C36" s="323">
        <v>97</v>
      </c>
      <c r="D36" s="323">
        <v>510</v>
      </c>
      <c r="E36" s="323">
        <v>600</v>
      </c>
      <c r="F36" s="324"/>
      <c r="G36" s="352">
        <v>45772</v>
      </c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  <c r="AK36" s="323"/>
      <c r="AL36" s="323"/>
      <c r="AM36" s="326">
        <f t="shared" si="0"/>
        <v>600</v>
      </c>
      <c r="AN36" s="327">
        <f t="shared" si="1"/>
        <v>0.59363999999999995</v>
      </c>
      <c r="AO36" s="327">
        <v>0.89</v>
      </c>
      <c r="AP36" s="327"/>
      <c r="AQ36" s="328">
        <f t="shared" si="2"/>
        <v>18091.012200000001</v>
      </c>
    </row>
    <row r="37" spans="1:43">
      <c r="A37" s="351" t="s">
        <v>177</v>
      </c>
      <c r="B37" s="323">
        <v>25.8</v>
      </c>
      <c r="C37" s="323">
        <v>420</v>
      </c>
      <c r="D37" s="323">
        <v>500</v>
      </c>
      <c r="E37" s="323">
        <v>168</v>
      </c>
      <c r="F37" s="324"/>
      <c r="G37" s="352">
        <v>45772</v>
      </c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  <c r="AK37" s="323"/>
      <c r="AL37" s="323"/>
      <c r="AM37" s="326">
        <f t="shared" si="0"/>
        <v>168</v>
      </c>
      <c r="AN37" s="327">
        <f t="shared" si="1"/>
        <v>0.91022400000000003</v>
      </c>
      <c r="AO37" s="327">
        <v>0.56000000000000005</v>
      </c>
      <c r="AP37" s="327"/>
      <c r="AQ37" s="328">
        <f t="shared" si="2"/>
        <v>3187.2704640000006</v>
      </c>
    </row>
    <row r="38" spans="1:43">
      <c r="A38" s="351" t="s">
        <v>177</v>
      </c>
      <c r="B38" s="323">
        <v>20</v>
      </c>
      <c r="C38" s="323">
        <v>97</v>
      </c>
      <c r="D38" s="323">
        <v>510</v>
      </c>
      <c r="E38" s="323">
        <v>700</v>
      </c>
      <c r="F38" s="324"/>
      <c r="G38" s="352">
        <v>45772</v>
      </c>
      <c r="H38" s="323"/>
      <c r="I38" s="323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323"/>
      <c r="AK38" s="323"/>
      <c r="AL38" s="323"/>
      <c r="AM38" s="326">
        <f t="shared" si="0"/>
        <v>700</v>
      </c>
      <c r="AN38" s="327">
        <f t="shared" si="1"/>
        <v>0.69257999999999997</v>
      </c>
      <c r="AO38" s="327">
        <v>0.89</v>
      </c>
      <c r="AP38" s="327"/>
      <c r="AQ38" s="328">
        <f t="shared" si="2"/>
        <v>21106.180900000003</v>
      </c>
    </row>
    <row r="39" spans="1:43">
      <c r="A39" s="351" t="s">
        <v>177</v>
      </c>
      <c r="B39" s="323">
        <v>20</v>
      </c>
      <c r="C39" s="323">
        <v>97</v>
      </c>
      <c r="D39" s="323">
        <v>510</v>
      </c>
      <c r="E39" s="323">
        <v>700</v>
      </c>
      <c r="F39" s="324"/>
      <c r="G39" s="352">
        <v>45772</v>
      </c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M39" s="326">
        <f t="shared" si="0"/>
        <v>700</v>
      </c>
      <c r="AN39" s="327">
        <f t="shared" si="1"/>
        <v>0.69257999999999997</v>
      </c>
      <c r="AO39" s="327">
        <v>0.89</v>
      </c>
      <c r="AP39" s="327"/>
      <c r="AQ39" s="328">
        <f t="shared" si="2"/>
        <v>21106.180900000003</v>
      </c>
    </row>
    <row r="40" spans="1:43">
      <c r="A40" s="351" t="s">
        <v>177</v>
      </c>
      <c r="B40" s="323">
        <v>20</v>
      </c>
      <c r="C40" s="323">
        <v>52</v>
      </c>
      <c r="D40" s="323">
        <v>690</v>
      </c>
      <c r="E40" s="323">
        <v>800</v>
      </c>
      <c r="F40" s="324"/>
      <c r="G40" s="352">
        <v>45772</v>
      </c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  <c r="AK40" s="323"/>
      <c r="AL40" s="323"/>
      <c r="AM40" s="326">
        <f t="shared" si="0"/>
        <v>800</v>
      </c>
      <c r="AN40" s="327">
        <f t="shared" si="1"/>
        <v>0.57408000000000003</v>
      </c>
      <c r="AO40" s="327">
        <v>0.44</v>
      </c>
      <c r="AP40" s="327"/>
      <c r="AQ40" s="328">
        <f t="shared" si="2"/>
        <v>11925.161600000001</v>
      </c>
    </row>
    <row r="41" spans="1:43">
      <c r="A41" s="351" t="s">
        <v>177</v>
      </c>
      <c r="B41" s="323">
        <v>9.5299999999999994</v>
      </c>
      <c r="C41" s="323">
        <v>63.5</v>
      </c>
      <c r="D41" s="323">
        <v>510</v>
      </c>
      <c r="E41" s="323">
        <v>1900</v>
      </c>
      <c r="F41" s="324"/>
      <c r="G41" s="352">
        <v>45772</v>
      </c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  <c r="AK41" s="323"/>
      <c r="AL41" s="323"/>
      <c r="AM41" s="326">
        <f t="shared" si="0"/>
        <v>1900</v>
      </c>
      <c r="AN41" s="327">
        <f t="shared" si="1"/>
        <v>0.58639519500000004</v>
      </c>
      <c r="AO41" s="327">
        <v>0.27</v>
      </c>
      <c r="AP41" s="327"/>
      <c r="AQ41" s="328">
        <f t="shared" si="2"/>
        <v>17379.567900000002</v>
      </c>
    </row>
    <row r="42" spans="1:43">
      <c r="A42" s="351" t="s">
        <v>177</v>
      </c>
      <c r="B42" s="323">
        <v>9.5299999999999994</v>
      </c>
      <c r="C42" s="323">
        <v>63.5</v>
      </c>
      <c r="D42" s="323">
        <v>550</v>
      </c>
      <c r="E42" s="323">
        <v>2400</v>
      </c>
      <c r="F42" s="324"/>
      <c r="G42" s="352">
        <v>45772</v>
      </c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>
        <v>1102</v>
      </c>
      <c r="Z42" s="323">
        <v>998</v>
      </c>
      <c r="AA42" s="323"/>
      <c r="AB42" s="323"/>
      <c r="AC42" s="323"/>
      <c r="AD42" s="323"/>
      <c r="AE42" s="323"/>
      <c r="AF42" s="323"/>
      <c r="AG42" s="323"/>
      <c r="AH42" s="323"/>
      <c r="AI42" s="323"/>
      <c r="AJ42" s="323"/>
      <c r="AK42" s="323"/>
      <c r="AL42" s="323"/>
      <c r="AM42" s="326">
        <f t="shared" si="0"/>
        <v>300</v>
      </c>
      <c r="AN42" s="327">
        <f t="shared" si="1"/>
        <v>9.9850574999999997E-2</v>
      </c>
      <c r="AO42" s="327">
        <v>0.25</v>
      </c>
      <c r="AP42" s="327"/>
      <c r="AQ42" s="328">
        <f t="shared" si="2"/>
        <v>2540.8725000000004</v>
      </c>
    </row>
    <row r="43" spans="1:43">
      <c r="A43" s="351" t="s">
        <v>177</v>
      </c>
      <c r="B43" s="323">
        <v>20</v>
      </c>
      <c r="C43" s="323">
        <v>52</v>
      </c>
      <c r="D43" s="323">
        <v>510</v>
      </c>
      <c r="E43" s="323">
        <v>1600</v>
      </c>
      <c r="F43" s="324"/>
      <c r="G43" s="352">
        <v>45780</v>
      </c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>
        <v>127</v>
      </c>
      <c r="AA43" s="323">
        <v>416</v>
      </c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3"/>
      <c r="AM43" s="326">
        <f t="shared" si="0"/>
        <v>1057</v>
      </c>
      <c r="AN43" s="327">
        <f t="shared" si="1"/>
        <v>0.56063280000000004</v>
      </c>
      <c r="AO43" s="327"/>
      <c r="AP43" s="327"/>
      <c r="AQ43" s="328"/>
    </row>
    <row r="44" spans="1:43">
      <c r="A44" s="351" t="s">
        <v>177</v>
      </c>
      <c r="B44" s="323">
        <v>18</v>
      </c>
      <c r="C44" s="323">
        <v>257</v>
      </c>
      <c r="D44" s="323">
        <v>550</v>
      </c>
      <c r="E44" s="323">
        <v>200</v>
      </c>
      <c r="F44" s="324"/>
      <c r="G44" s="352">
        <v>45780</v>
      </c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  <c r="AK44" s="323"/>
      <c r="AL44" s="323"/>
      <c r="AM44" s="326">
        <f t="shared" si="0"/>
        <v>200</v>
      </c>
      <c r="AN44" s="327">
        <f t="shared" si="1"/>
        <v>0.50885999999999998</v>
      </c>
      <c r="AO44" s="327"/>
      <c r="AP44" s="327"/>
      <c r="AQ44" s="328"/>
    </row>
    <row r="45" spans="1:43">
      <c r="A45" s="351" t="s">
        <v>177</v>
      </c>
      <c r="B45" s="323">
        <v>20</v>
      </c>
      <c r="C45" s="323">
        <v>97</v>
      </c>
      <c r="D45" s="323">
        <v>510</v>
      </c>
      <c r="E45" s="323">
        <v>360</v>
      </c>
      <c r="F45" s="324"/>
      <c r="G45" s="352">
        <v>45780</v>
      </c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6">
        <f t="shared" si="0"/>
        <v>360</v>
      </c>
      <c r="AN45" s="327">
        <f t="shared" si="1"/>
        <v>0.356184</v>
      </c>
      <c r="AO45" s="327"/>
      <c r="AP45" s="327"/>
      <c r="AQ45" s="328"/>
    </row>
    <row r="46" spans="1:43">
      <c r="A46" s="351" t="s">
        <v>177</v>
      </c>
      <c r="B46" s="323">
        <v>9.5299999999999994</v>
      </c>
      <c r="C46" s="323">
        <v>63.5</v>
      </c>
      <c r="D46" s="323">
        <v>600</v>
      </c>
      <c r="E46" s="323">
        <v>2000</v>
      </c>
      <c r="F46" s="324"/>
      <c r="G46" s="352">
        <v>45780</v>
      </c>
      <c r="H46" s="323"/>
      <c r="I46" s="323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323"/>
      <c r="AK46" s="323"/>
      <c r="AL46" s="323"/>
      <c r="AM46" s="326">
        <f t="shared" si="0"/>
        <v>2000</v>
      </c>
      <c r="AN46" s="327">
        <f t="shared" si="1"/>
        <v>0.726186</v>
      </c>
      <c r="AO46" s="327"/>
      <c r="AP46" s="327"/>
      <c r="AQ46" s="328"/>
    </row>
    <row r="47" spans="1:43">
      <c r="A47" s="351" t="s">
        <v>177</v>
      </c>
      <c r="B47" s="323">
        <v>20</v>
      </c>
      <c r="C47" s="323">
        <v>97</v>
      </c>
      <c r="D47" s="323">
        <v>510</v>
      </c>
      <c r="E47" s="323">
        <v>600</v>
      </c>
      <c r="F47" s="324"/>
      <c r="G47" s="352">
        <v>45780</v>
      </c>
      <c r="H47" s="323"/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323"/>
      <c r="AK47" s="323"/>
      <c r="AL47" s="323"/>
      <c r="AM47" s="326">
        <f t="shared" si="0"/>
        <v>600</v>
      </c>
      <c r="AN47" s="327">
        <f t="shared" si="1"/>
        <v>0.59363999999999995</v>
      </c>
      <c r="AO47" s="327"/>
      <c r="AP47" s="327"/>
      <c r="AQ47" s="328"/>
    </row>
    <row r="48" spans="1:43">
      <c r="A48" s="351" t="s">
        <v>177</v>
      </c>
      <c r="B48" s="323">
        <v>20</v>
      </c>
      <c r="C48" s="323">
        <v>97</v>
      </c>
      <c r="D48" s="323">
        <v>510</v>
      </c>
      <c r="E48" s="323">
        <v>360</v>
      </c>
      <c r="F48" s="324"/>
      <c r="G48" s="352">
        <v>45780</v>
      </c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  <c r="AG48" s="323"/>
      <c r="AH48" s="323"/>
      <c r="AI48" s="323"/>
      <c r="AJ48" s="323"/>
      <c r="AK48" s="323"/>
      <c r="AL48" s="323"/>
      <c r="AM48" s="326">
        <f t="shared" si="0"/>
        <v>360</v>
      </c>
      <c r="AN48" s="327">
        <f t="shared" si="1"/>
        <v>0.356184</v>
      </c>
      <c r="AO48" s="327"/>
      <c r="AP48" s="327"/>
      <c r="AQ48" s="328"/>
    </row>
    <row r="49" spans="1:43">
      <c r="A49" s="351" t="s">
        <v>177</v>
      </c>
      <c r="B49" s="323">
        <v>15.9</v>
      </c>
      <c r="C49" s="323">
        <v>254</v>
      </c>
      <c r="D49" s="323">
        <v>520.70000000000005</v>
      </c>
      <c r="E49" s="323">
        <v>270</v>
      </c>
      <c r="F49" s="324"/>
      <c r="G49" s="352">
        <v>45780</v>
      </c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323"/>
      <c r="AK49" s="323"/>
      <c r="AL49" s="323"/>
      <c r="AM49" s="326">
        <f t="shared" si="0"/>
        <v>270</v>
      </c>
      <c r="AN49" s="327">
        <f t="shared" si="1"/>
        <v>0.56778273540000002</v>
      </c>
      <c r="AO49" s="327"/>
      <c r="AP49" s="327"/>
      <c r="AQ49" s="328"/>
    </row>
    <row r="50" spans="1:43">
      <c r="A50" s="351" t="s">
        <v>177</v>
      </c>
      <c r="B50" s="323">
        <v>15.9</v>
      </c>
      <c r="C50" s="323">
        <v>254</v>
      </c>
      <c r="D50" s="323">
        <v>520.70000000000005</v>
      </c>
      <c r="E50" s="323">
        <v>270</v>
      </c>
      <c r="F50" s="324"/>
      <c r="G50" s="352">
        <v>45780</v>
      </c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3"/>
      <c r="AM50" s="326">
        <f t="shared" si="0"/>
        <v>270</v>
      </c>
      <c r="AN50" s="327">
        <f t="shared" si="1"/>
        <v>0.56778273540000002</v>
      </c>
      <c r="AO50" s="327"/>
      <c r="AP50" s="327"/>
      <c r="AQ50" s="328"/>
    </row>
    <row r="51" spans="1:43">
      <c r="A51" s="351" t="s">
        <v>177</v>
      </c>
      <c r="B51" s="323">
        <v>15.9</v>
      </c>
      <c r="C51" s="323">
        <v>254</v>
      </c>
      <c r="D51" s="323">
        <v>520.70000000000005</v>
      </c>
      <c r="E51" s="323">
        <v>270</v>
      </c>
      <c r="F51" s="324"/>
      <c r="G51" s="352">
        <v>45780</v>
      </c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  <c r="AK51" s="323"/>
      <c r="AL51" s="323"/>
      <c r="AM51" s="326">
        <f t="shared" si="0"/>
        <v>270</v>
      </c>
      <c r="AN51" s="327">
        <f t="shared" si="1"/>
        <v>0.56778273540000002</v>
      </c>
      <c r="AO51" s="327"/>
      <c r="AP51" s="327"/>
      <c r="AQ51" s="328"/>
    </row>
    <row r="52" spans="1:43">
      <c r="A52" s="351" t="s">
        <v>177</v>
      </c>
      <c r="B52" s="323">
        <v>18</v>
      </c>
      <c r="C52" s="323">
        <v>257</v>
      </c>
      <c r="D52" s="323">
        <v>470</v>
      </c>
      <c r="E52" s="323">
        <v>400</v>
      </c>
      <c r="F52" s="324"/>
      <c r="G52" s="352">
        <v>45780</v>
      </c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3"/>
      <c r="AE52" s="323"/>
      <c r="AF52" s="323"/>
      <c r="AG52" s="323"/>
      <c r="AH52" s="323"/>
      <c r="AI52" s="323"/>
      <c r="AJ52" s="323"/>
      <c r="AK52" s="323"/>
      <c r="AL52" s="323"/>
      <c r="AM52" s="326">
        <f t="shared" si="0"/>
        <v>400</v>
      </c>
      <c r="AN52" s="327">
        <f t="shared" si="1"/>
        <v>0.86968800000000002</v>
      </c>
      <c r="AO52" s="327"/>
      <c r="AP52" s="327"/>
      <c r="AQ52" s="328"/>
    </row>
    <row r="53" spans="1:43">
      <c r="A53" s="351" t="s">
        <v>177</v>
      </c>
      <c r="B53" s="323">
        <v>9.5299999999999994</v>
      </c>
      <c r="C53" s="323">
        <v>63.5</v>
      </c>
      <c r="D53" s="323">
        <v>660</v>
      </c>
      <c r="E53" s="323">
        <v>800</v>
      </c>
      <c r="F53" s="324"/>
      <c r="G53" s="352">
        <v>45772</v>
      </c>
      <c r="H53" s="323">
        <v>560</v>
      </c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>
        <v>560</v>
      </c>
      <c r="AH53" s="323"/>
      <c r="AI53" s="323"/>
      <c r="AJ53" s="323"/>
      <c r="AK53" s="323"/>
      <c r="AL53" s="323"/>
      <c r="AM53" s="326">
        <v>240</v>
      </c>
      <c r="AN53" s="327">
        <f t="shared" si="1"/>
        <v>9.5856551999999998E-2</v>
      </c>
      <c r="AO53" s="327">
        <v>0.6</v>
      </c>
      <c r="AP53" s="328"/>
      <c r="AQ53" s="328">
        <f>AM53*AO53*33.8783</f>
        <v>4878.4752000000008</v>
      </c>
    </row>
    <row r="54" spans="1:43">
      <c r="A54" s="351" t="s">
        <v>177</v>
      </c>
      <c r="B54" s="323">
        <v>12.3</v>
      </c>
      <c r="C54" s="323">
        <v>79</v>
      </c>
      <c r="D54" s="323">
        <v>510</v>
      </c>
      <c r="E54" s="323">
        <v>600</v>
      </c>
      <c r="F54" s="324"/>
      <c r="G54" s="352">
        <v>45780</v>
      </c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3"/>
      <c r="AE54" s="323"/>
      <c r="AF54" s="323"/>
      <c r="AG54" s="323"/>
      <c r="AH54" s="323"/>
      <c r="AI54" s="323"/>
      <c r="AJ54" s="323"/>
      <c r="AK54" s="323"/>
      <c r="AL54" s="323"/>
      <c r="AM54" s="326">
        <f t="shared" ref="AM54:AM117" si="3">E54-H54-I54-J54-K54-L54-M54-N54-O54-P54-Q54-R54-S54-T54-U54-V54-W54-X54-Y54-Z54-AA54-AB54-AC54-AD54-AE54-AF54-AG54-AH54-AI54-AJ54-AK54-AL54</f>
        <v>600</v>
      </c>
      <c r="AN54" s="327">
        <f t="shared" si="1"/>
        <v>0.2973402</v>
      </c>
      <c r="AO54" s="327"/>
      <c r="AP54" s="327"/>
      <c r="AQ54" s="328"/>
    </row>
    <row r="55" spans="1:43">
      <c r="A55" s="351" t="s">
        <v>177</v>
      </c>
      <c r="B55" s="323">
        <v>21</v>
      </c>
      <c r="C55" s="323">
        <v>69</v>
      </c>
      <c r="D55" s="323">
        <v>550</v>
      </c>
      <c r="E55" s="323">
        <v>600</v>
      </c>
      <c r="F55" s="324"/>
      <c r="G55" s="352">
        <v>45780</v>
      </c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3"/>
      <c r="AL55" s="323"/>
      <c r="AM55" s="326">
        <f t="shared" si="3"/>
        <v>600</v>
      </c>
      <c r="AN55" s="327">
        <f t="shared" si="1"/>
        <v>0.47816999999999998</v>
      </c>
      <c r="AO55" s="327"/>
      <c r="AP55" s="327"/>
      <c r="AQ55" s="328"/>
    </row>
    <row r="56" spans="1:43">
      <c r="A56" s="351" t="s">
        <v>177</v>
      </c>
      <c r="B56" s="323">
        <v>12.2</v>
      </c>
      <c r="C56" s="323">
        <v>31.8</v>
      </c>
      <c r="D56" s="323">
        <v>520</v>
      </c>
      <c r="E56" s="323">
        <v>2400</v>
      </c>
      <c r="F56" s="324"/>
      <c r="G56" s="352">
        <v>45780</v>
      </c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>
        <v>1200</v>
      </c>
      <c r="X56" s="323"/>
      <c r="Y56" s="323"/>
      <c r="Z56" s="323"/>
      <c r="AA56" s="323"/>
      <c r="AB56" s="323"/>
      <c r="AC56" s="323"/>
      <c r="AD56" s="323"/>
      <c r="AE56" s="323">
        <v>900</v>
      </c>
      <c r="AF56" s="323"/>
      <c r="AG56" s="323"/>
      <c r="AH56" s="323"/>
      <c r="AI56" s="323"/>
      <c r="AJ56" s="323"/>
      <c r="AK56" s="323"/>
      <c r="AL56" s="323"/>
      <c r="AM56" s="326">
        <f t="shared" si="3"/>
        <v>300</v>
      </c>
      <c r="AN56" s="327">
        <f t="shared" si="1"/>
        <v>6.0521759999999994E-2</v>
      </c>
      <c r="AO56" s="327"/>
      <c r="AP56" s="327"/>
      <c r="AQ56" s="328"/>
    </row>
    <row r="57" spans="1:43">
      <c r="A57" s="351" t="s">
        <v>177</v>
      </c>
      <c r="B57" s="323">
        <v>12.2</v>
      </c>
      <c r="C57" s="323">
        <v>41.3</v>
      </c>
      <c r="D57" s="323">
        <v>850</v>
      </c>
      <c r="E57" s="323">
        <v>1800</v>
      </c>
      <c r="F57" s="324"/>
      <c r="G57" s="352">
        <v>45780</v>
      </c>
      <c r="H57" s="323"/>
      <c r="I57" s="323"/>
      <c r="J57" s="323"/>
      <c r="K57" s="323"/>
      <c r="L57" s="323"/>
      <c r="M57" s="323"/>
      <c r="N57" s="323">
        <v>857</v>
      </c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323"/>
      <c r="AK57" s="323"/>
      <c r="AL57" s="323"/>
      <c r="AM57" s="326">
        <f t="shared" si="3"/>
        <v>943</v>
      </c>
      <c r="AN57" s="327">
        <f t="shared" si="1"/>
        <v>0.40386898299999996</v>
      </c>
      <c r="AO57" s="327"/>
      <c r="AP57" s="327"/>
      <c r="AQ57" s="328"/>
    </row>
    <row r="58" spans="1:43">
      <c r="A58" s="351" t="s">
        <v>177</v>
      </c>
      <c r="B58" s="323">
        <v>12.2</v>
      </c>
      <c r="C58" s="323">
        <v>41.3</v>
      </c>
      <c r="D58" s="323">
        <v>420</v>
      </c>
      <c r="E58" s="323">
        <v>3200</v>
      </c>
      <c r="F58" s="324"/>
      <c r="G58" s="352">
        <v>45780</v>
      </c>
      <c r="H58" s="323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323"/>
      <c r="AK58" s="323"/>
      <c r="AL58" s="323"/>
      <c r="AM58" s="326">
        <f t="shared" si="3"/>
        <v>3200</v>
      </c>
      <c r="AN58" s="327">
        <f t="shared" si="1"/>
        <v>0.67718783999999999</v>
      </c>
      <c r="AO58" s="327"/>
      <c r="AP58" s="327"/>
      <c r="AQ58" s="328"/>
    </row>
    <row r="59" spans="1:43">
      <c r="A59" s="351" t="s">
        <v>177</v>
      </c>
      <c r="B59" s="323">
        <v>12.2</v>
      </c>
      <c r="C59" s="323">
        <v>36</v>
      </c>
      <c r="D59" s="323">
        <v>410</v>
      </c>
      <c r="E59" s="323">
        <v>3200</v>
      </c>
      <c r="F59" s="324"/>
      <c r="G59" s="352">
        <v>45780</v>
      </c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>
        <v>612</v>
      </c>
      <c r="V59" s="323">
        <v>600</v>
      </c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  <c r="AK59" s="323"/>
      <c r="AL59" s="323"/>
      <c r="AM59" s="326">
        <f t="shared" si="3"/>
        <v>1988</v>
      </c>
      <c r="AN59" s="327">
        <f t="shared" si="1"/>
        <v>0.35798313599999998</v>
      </c>
      <c r="AO59" s="327"/>
      <c r="AP59" s="327"/>
      <c r="AQ59" s="328"/>
    </row>
    <row r="60" spans="1:43">
      <c r="A60" s="351" t="s">
        <v>177</v>
      </c>
      <c r="B60" s="323">
        <v>12.2</v>
      </c>
      <c r="C60" s="323">
        <v>31.8</v>
      </c>
      <c r="D60" s="323">
        <v>520</v>
      </c>
      <c r="E60" s="323">
        <v>2400</v>
      </c>
      <c r="F60" s="324"/>
      <c r="G60" s="352">
        <v>45780</v>
      </c>
      <c r="H60" s="323"/>
      <c r="I60" s="323"/>
      <c r="J60" s="323"/>
      <c r="K60" s="323"/>
      <c r="L60" s="323"/>
      <c r="M60" s="323"/>
      <c r="N60" s="323"/>
      <c r="O60" s="323"/>
      <c r="P60" s="323">
        <v>1983</v>
      </c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  <c r="AE60" s="323"/>
      <c r="AF60" s="323"/>
      <c r="AG60" s="323"/>
      <c r="AH60" s="323"/>
      <c r="AI60" s="323"/>
      <c r="AJ60" s="323"/>
      <c r="AK60" s="323"/>
      <c r="AL60" s="323"/>
      <c r="AM60" s="326">
        <f t="shared" si="3"/>
        <v>417</v>
      </c>
      <c r="AN60" s="327">
        <f t="shared" si="1"/>
        <v>8.4125246399999992E-2</v>
      </c>
      <c r="AO60" s="327"/>
      <c r="AP60" s="327"/>
      <c r="AQ60" s="328"/>
    </row>
    <row r="61" spans="1:43">
      <c r="A61" s="351" t="s">
        <v>177</v>
      </c>
      <c r="B61" s="323">
        <v>12.2</v>
      </c>
      <c r="C61" s="323">
        <v>31.8</v>
      </c>
      <c r="D61" s="323">
        <v>630</v>
      </c>
      <c r="E61" s="323">
        <v>1800</v>
      </c>
      <c r="F61" s="324"/>
      <c r="G61" s="352">
        <v>45780</v>
      </c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  <c r="AG61" s="323"/>
      <c r="AH61" s="323"/>
      <c r="AI61" s="323"/>
      <c r="AJ61" s="323"/>
      <c r="AK61" s="323"/>
      <c r="AL61" s="323"/>
      <c r="AM61" s="326">
        <f t="shared" si="3"/>
        <v>1800</v>
      </c>
      <c r="AN61" s="327">
        <f t="shared" si="1"/>
        <v>0.43994664</v>
      </c>
      <c r="AO61" s="327"/>
      <c r="AP61" s="327"/>
      <c r="AQ61" s="328"/>
    </row>
    <row r="62" spans="1:43">
      <c r="A62" s="351" t="s">
        <v>177</v>
      </c>
      <c r="B62" s="323">
        <v>20</v>
      </c>
      <c r="C62" s="323">
        <v>97</v>
      </c>
      <c r="D62" s="323">
        <v>520</v>
      </c>
      <c r="E62" s="323">
        <v>496</v>
      </c>
      <c r="F62" s="324"/>
      <c r="G62" s="352">
        <v>45780</v>
      </c>
      <c r="H62" s="323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3"/>
      <c r="AE62" s="323"/>
      <c r="AF62" s="323"/>
      <c r="AG62" s="323"/>
      <c r="AH62" s="323"/>
      <c r="AI62" s="323"/>
      <c r="AJ62" s="323"/>
      <c r="AK62" s="323"/>
      <c r="AL62" s="323"/>
      <c r="AM62" s="326">
        <f t="shared" si="3"/>
        <v>496</v>
      </c>
      <c r="AN62" s="327">
        <f t="shared" si="1"/>
        <v>0.50036480000000005</v>
      </c>
      <c r="AO62" s="327"/>
      <c r="AP62" s="327"/>
      <c r="AQ62" s="328"/>
    </row>
    <row r="63" spans="1:43">
      <c r="A63" s="351" t="s">
        <v>177</v>
      </c>
      <c r="B63" s="323">
        <v>11</v>
      </c>
      <c r="C63" s="323">
        <v>66</v>
      </c>
      <c r="D63" s="323">
        <v>458</v>
      </c>
      <c r="E63" s="323">
        <v>840</v>
      </c>
      <c r="F63" s="324"/>
      <c r="G63" s="352">
        <v>45780</v>
      </c>
      <c r="H63" s="323"/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  <c r="AE63" s="323"/>
      <c r="AF63" s="323"/>
      <c r="AG63" s="323"/>
      <c r="AH63" s="323"/>
      <c r="AI63" s="323"/>
      <c r="AJ63" s="323"/>
      <c r="AK63" s="323"/>
      <c r="AL63" s="323"/>
      <c r="AM63" s="326">
        <f t="shared" si="3"/>
        <v>840</v>
      </c>
      <c r="AN63" s="327">
        <f t="shared" si="1"/>
        <v>0.27930672000000001</v>
      </c>
      <c r="AO63" s="327"/>
      <c r="AP63" s="327"/>
      <c r="AQ63" s="328"/>
    </row>
    <row r="64" spans="1:43">
      <c r="A64" s="351" t="s">
        <v>177</v>
      </c>
      <c r="B64" s="323">
        <v>12.7</v>
      </c>
      <c r="C64" s="323">
        <v>41</v>
      </c>
      <c r="D64" s="323">
        <v>360</v>
      </c>
      <c r="E64" s="323">
        <v>2000</v>
      </c>
      <c r="F64" s="324"/>
      <c r="G64" s="352">
        <v>45780</v>
      </c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  <c r="AB64" s="323"/>
      <c r="AC64" s="323"/>
      <c r="AD64" s="323"/>
      <c r="AE64" s="323"/>
      <c r="AF64" s="323"/>
      <c r="AG64" s="323"/>
      <c r="AH64" s="323"/>
      <c r="AI64" s="323"/>
      <c r="AJ64" s="323"/>
      <c r="AK64" s="323"/>
      <c r="AL64" s="323"/>
      <c r="AM64" s="326">
        <f t="shared" si="3"/>
        <v>2000</v>
      </c>
      <c r="AN64" s="327">
        <f t="shared" si="1"/>
        <v>0.37490399999999996</v>
      </c>
      <c r="AO64" s="327"/>
      <c r="AP64" s="327"/>
      <c r="AQ64" s="328"/>
    </row>
    <row r="65" spans="1:43">
      <c r="A65" s="351" t="s">
        <v>177</v>
      </c>
      <c r="B65" s="323">
        <v>13</v>
      </c>
      <c r="C65" s="323">
        <v>83</v>
      </c>
      <c r="D65" s="323">
        <v>540</v>
      </c>
      <c r="E65" s="323">
        <v>468</v>
      </c>
      <c r="F65" s="324"/>
      <c r="G65" s="352">
        <v>45780</v>
      </c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  <c r="AE65" s="323"/>
      <c r="AF65" s="323"/>
      <c r="AG65" s="323"/>
      <c r="AH65" s="323"/>
      <c r="AI65" s="323"/>
      <c r="AJ65" s="323"/>
      <c r="AK65" s="323"/>
      <c r="AL65" s="323"/>
      <c r="AM65" s="326">
        <f t="shared" si="3"/>
        <v>468</v>
      </c>
      <c r="AN65" s="327">
        <f t="shared" si="1"/>
        <v>0.27268488000000002</v>
      </c>
      <c r="AO65" s="327"/>
      <c r="AP65" s="327"/>
      <c r="AQ65" s="328"/>
    </row>
    <row r="66" spans="1:43">
      <c r="A66" s="351" t="s">
        <v>177</v>
      </c>
      <c r="B66" s="323">
        <v>18</v>
      </c>
      <c r="C66" s="323">
        <v>57.2</v>
      </c>
      <c r="D66" s="323">
        <v>675</v>
      </c>
      <c r="E66" s="323">
        <v>270</v>
      </c>
      <c r="F66" s="324"/>
      <c r="G66" s="352">
        <v>45780</v>
      </c>
      <c r="H66" s="323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  <c r="AE66" s="323"/>
      <c r="AF66" s="323"/>
      <c r="AG66" s="323"/>
      <c r="AH66" s="323"/>
      <c r="AI66" s="323"/>
      <c r="AJ66" s="323"/>
      <c r="AK66" s="323"/>
      <c r="AL66" s="323"/>
      <c r="AM66" s="326">
        <f t="shared" si="3"/>
        <v>270</v>
      </c>
      <c r="AN66" s="327">
        <f t="shared" si="1"/>
        <v>0.18764460000000002</v>
      </c>
      <c r="AO66" s="327"/>
      <c r="AP66" s="327"/>
      <c r="AQ66" s="328"/>
    </row>
    <row r="67" spans="1:43">
      <c r="A67" s="351" t="s">
        <v>177</v>
      </c>
      <c r="B67" s="323">
        <v>18</v>
      </c>
      <c r="C67" s="323">
        <v>63.5</v>
      </c>
      <c r="D67" s="323">
        <v>561</v>
      </c>
      <c r="E67" s="323">
        <v>500</v>
      </c>
      <c r="F67" s="323"/>
      <c r="G67" s="354">
        <v>45780</v>
      </c>
      <c r="H67" s="323"/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26">
        <f t="shared" si="3"/>
        <v>500</v>
      </c>
      <c r="AN67" s="327">
        <f t="shared" ref="AN67:AN130" si="4">B67*C67*D67*AM67/1000000000</f>
        <v>0.32061149999999999</v>
      </c>
      <c r="AO67" s="327"/>
      <c r="AP67" s="327"/>
      <c r="AQ67" s="328"/>
    </row>
    <row r="68" spans="1:43">
      <c r="A68" s="351" t="s">
        <v>177</v>
      </c>
      <c r="B68" s="323">
        <v>20</v>
      </c>
      <c r="C68" s="323">
        <v>100</v>
      </c>
      <c r="D68" s="323">
        <v>870</v>
      </c>
      <c r="E68" s="323">
        <v>277</v>
      </c>
      <c r="F68" s="323"/>
      <c r="G68" s="354">
        <v>45780</v>
      </c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  <c r="AE68" s="323"/>
      <c r="AF68" s="323"/>
      <c r="AG68" s="323"/>
      <c r="AH68" s="323"/>
      <c r="AI68" s="323"/>
      <c r="AJ68" s="323"/>
      <c r="AK68" s="323"/>
      <c r="AL68" s="323"/>
      <c r="AM68" s="326">
        <f t="shared" si="3"/>
        <v>277</v>
      </c>
      <c r="AN68" s="327">
        <f t="shared" si="4"/>
        <v>0.48198000000000002</v>
      </c>
      <c r="AO68" s="327"/>
      <c r="AP68" s="327"/>
      <c r="AQ68" s="328"/>
    </row>
    <row r="69" spans="1:43">
      <c r="A69" s="351" t="s">
        <v>177</v>
      </c>
      <c r="B69" s="323">
        <v>12.7</v>
      </c>
      <c r="C69" s="323">
        <v>63.5</v>
      </c>
      <c r="D69" s="323">
        <v>493.71</v>
      </c>
      <c r="E69" s="323">
        <v>600</v>
      </c>
      <c r="F69" s="323"/>
      <c r="G69" s="354">
        <v>45780</v>
      </c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  <c r="AE69" s="323"/>
      <c r="AF69" s="323"/>
      <c r="AG69" s="323"/>
      <c r="AH69" s="323"/>
      <c r="AI69" s="323"/>
      <c r="AJ69" s="323"/>
      <c r="AK69" s="323"/>
      <c r="AL69" s="323"/>
      <c r="AM69" s="326">
        <f t="shared" si="3"/>
        <v>600</v>
      </c>
      <c r="AN69" s="327">
        <f t="shared" si="4"/>
        <v>0.23889145769999998</v>
      </c>
      <c r="AO69" s="327"/>
      <c r="AP69" s="327"/>
      <c r="AQ69" s="328"/>
    </row>
    <row r="70" spans="1:43">
      <c r="A70" s="351" t="s">
        <v>177</v>
      </c>
      <c r="B70" s="323">
        <v>14.3</v>
      </c>
      <c r="C70" s="323">
        <v>57</v>
      </c>
      <c r="D70" s="323">
        <v>525</v>
      </c>
      <c r="E70" s="323">
        <v>480</v>
      </c>
      <c r="F70" s="323"/>
      <c r="G70" s="354">
        <v>45780</v>
      </c>
      <c r="H70" s="323"/>
      <c r="I70" s="323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  <c r="AG70" s="323"/>
      <c r="AH70" s="323"/>
      <c r="AI70" s="323"/>
      <c r="AJ70" s="323"/>
      <c r="AK70" s="323"/>
      <c r="AL70" s="323"/>
      <c r="AM70" s="326">
        <f t="shared" si="3"/>
        <v>480</v>
      </c>
      <c r="AN70" s="327">
        <f t="shared" si="4"/>
        <v>0.20540520000000001</v>
      </c>
      <c r="AO70" s="327"/>
      <c r="AP70" s="327"/>
      <c r="AQ70" s="328"/>
    </row>
    <row r="71" spans="1:43">
      <c r="A71" s="351" t="s">
        <v>177</v>
      </c>
      <c r="B71" s="323">
        <v>9.1</v>
      </c>
      <c r="C71" s="323">
        <v>50.8</v>
      </c>
      <c r="D71" s="323">
        <v>530</v>
      </c>
      <c r="E71" s="323">
        <v>1378</v>
      </c>
      <c r="F71" s="323"/>
      <c r="G71" s="354">
        <v>45780</v>
      </c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3"/>
      <c r="AE71" s="323"/>
      <c r="AF71" s="323"/>
      <c r="AG71" s="323"/>
      <c r="AH71" s="323"/>
      <c r="AI71" s="323"/>
      <c r="AJ71" s="323"/>
      <c r="AK71" s="323"/>
      <c r="AL71" s="323"/>
      <c r="AM71" s="326">
        <f t="shared" si="3"/>
        <v>1378</v>
      </c>
      <c r="AN71" s="327">
        <f t="shared" si="4"/>
        <v>0.33762157519999997</v>
      </c>
      <c r="AO71" s="327"/>
      <c r="AP71" s="327"/>
      <c r="AQ71" s="328"/>
    </row>
    <row r="72" spans="1:43">
      <c r="A72" s="351" t="s">
        <v>177</v>
      </c>
      <c r="B72" s="323">
        <v>13.2</v>
      </c>
      <c r="C72" s="323">
        <v>207</v>
      </c>
      <c r="D72" s="323">
        <v>543</v>
      </c>
      <c r="E72" s="323">
        <v>264</v>
      </c>
      <c r="F72" s="323"/>
      <c r="G72" s="354">
        <v>45780</v>
      </c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  <c r="AK72" s="323"/>
      <c r="AL72" s="323"/>
      <c r="AM72" s="326">
        <f t="shared" si="3"/>
        <v>264</v>
      </c>
      <c r="AN72" s="327">
        <f t="shared" si="4"/>
        <v>0.39169500479999997</v>
      </c>
      <c r="AO72" s="327"/>
      <c r="AP72" s="327"/>
      <c r="AQ72" s="328"/>
    </row>
    <row r="73" spans="1:43">
      <c r="A73" s="351" t="s">
        <v>177</v>
      </c>
      <c r="B73" s="323">
        <v>15.9</v>
      </c>
      <c r="C73" s="323">
        <v>166</v>
      </c>
      <c r="D73" s="323">
        <v>550</v>
      </c>
      <c r="E73" s="323">
        <v>55</v>
      </c>
      <c r="F73" s="323"/>
      <c r="G73" s="354">
        <v>45780</v>
      </c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  <c r="AG73" s="323"/>
      <c r="AH73" s="323"/>
      <c r="AI73" s="323"/>
      <c r="AJ73" s="323"/>
      <c r="AK73" s="323"/>
      <c r="AL73" s="323"/>
      <c r="AM73" s="326">
        <f t="shared" si="3"/>
        <v>55</v>
      </c>
      <c r="AN73" s="327">
        <f t="shared" si="4"/>
        <v>7.9841850000000006E-2</v>
      </c>
      <c r="AO73" s="327"/>
      <c r="AP73" s="327"/>
      <c r="AQ73" s="328"/>
    </row>
    <row r="74" spans="1:43">
      <c r="A74" s="351" t="s">
        <v>177</v>
      </c>
      <c r="B74" s="323">
        <v>15.9</v>
      </c>
      <c r="C74" s="323">
        <v>90</v>
      </c>
      <c r="D74" s="323">
        <v>550</v>
      </c>
      <c r="E74" s="323">
        <v>44</v>
      </c>
      <c r="F74" s="323"/>
      <c r="G74" s="354">
        <v>45780</v>
      </c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6">
        <f t="shared" si="3"/>
        <v>44</v>
      </c>
      <c r="AN74" s="327">
        <f t="shared" si="4"/>
        <v>3.46302E-2</v>
      </c>
      <c r="AO74" s="327"/>
      <c r="AP74" s="327"/>
      <c r="AQ74" s="328"/>
    </row>
    <row r="75" spans="1:43">
      <c r="A75" s="351" t="s">
        <v>177</v>
      </c>
      <c r="B75" s="323">
        <v>15.9</v>
      </c>
      <c r="C75" s="323">
        <v>90</v>
      </c>
      <c r="D75" s="323">
        <v>320</v>
      </c>
      <c r="E75" s="323">
        <v>61</v>
      </c>
      <c r="F75" s="323"/>
      <c r="G75" s="354">
        <v>45780</v>
      </c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26">
        <f t="shared" si="3"/>
        <v>61</v>
      </c>
      <c r="AN75" s="327">
        <f t="shared" si="4"/>
        <v>2.7933119999999999E-2</v>
      </c>
      <c r="AO75" s="327"/>
      <c r="AP75" s="327"/>
      <c r="AQ75" s="328"/>
    </row>
    <row r="76" spans="1:43">
      <c r="A76" s="351" t="s">
        <v>177</v>
      </c>
      <c r="B76" s="323">
        <v>15.9</v>
      </c>
      <c r="C76" s="323">
        <v>166</v>
      </c>
      <c r="D76" s="323">
        <v>320</v>
      </c>
      <c r="E76" s="323">
        <v>70</v>
      </c>
      <c r="F76" s="323"/>
      <c r="G76" s="354">
        <v>45780</v>
      </c>
      <c r="H76" s="323"/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  <c r="AG76" s="323"/>
      <c r="AH76" s="323"/>
      <c r="AI76" s="323"/>
      <c r="AJ76" s="323"/>
      <c r="AK76" s="323"/>
      <c r="AL76" s="323"/>
      <c r="AM76" s="326">
        <f t="shared" si="3"/>
        <v>70</v>
      </c>
      <c r="AN76" s="327">
        <f t="shared" si="4"/>
        <v>5.9122559999999998E-2</v>
      </c>
      <c r="AO76" s="327"/>
      <c r="AP76" s="327"/>
      <c r="AQ76" s="328"/>
    </row>
    <row r="77" spans="1:43">
      <c r="A77" s="351" t="s">
        <v>177</v>
      </c>
      <c r="B77" s="323">
        <v>15.9</v>
      </c>
      <c r="C77" s="323">
        <v>90</v>
      </c>
      <c r="D77" s="323">
        <v>480</v>
      </c>
      <c r="E77" s="323">
        <v>364</v>
      </c>
      <c r="F77" s="323"/>
      <c r="G77" s="354">
        <v>45780</v>
      </c>
      <c r="H77" s="323"/>
      <c r="I77" s="323"/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  <c r="AE77" s="323"/>
      <c r="AF77" s="323"/>
      <c r="AG77" s="323"/>
      <c r="AH77" s="323"/>
      <c r="AI77" s="323"/>
      <c r="AJ77" s="323"/>
      <c r="AK77" s="323"/>
      <c r="AL77" s="323"/>
      <c r="AM77" s="326">
        <f t="shared" si="3"/>
        <v>364</v>
      </c>
      <c r="AN77" s="327">
        <f t="shared" si="4"/>
        <v>0.25002432000000002</v>
      </c>
      <c r="AO77" s="327"/>
      <c r="AP77" s="327"/>
      <c r="AQ77" s="328"/>
    </row>
    <row r="78" spans="1:43">
      <c r="A78" s="351" t="s">
        <v>177</v>
      </c>
      <c r="B78" s="323">
        <v>20</v>
      </c>
      <c r="C78" s="323">
        <v>700</v>
      </c>
      <c r="D78" s="323">
        <v>1220</v>
      </c>
      <c r="E78" s="323">
        <v>46</v>
      </c>
      <c r="F78" s="323"/>
      <c r="G78" s="354">
        <v>45780</v>
      </c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  <c r="AG78" s="323"/>
      <c r="AH78" s="323"/>
      <c r="AI78" s="323"/>
      <c r="AJ78" s="323"/>
      <c r="AK78" s="323"/>
      <c r="AL78" s="323"/>
      <c r="AM78" s="326">
        <f t="shared" si="3"/>
        <v>46</v>
      </c>
      <c r="AN78" s="327">
        <f t="shared" si="4"/>
        <v>0.78568000000000005</v>
      </c>
      <c r="AO78" s="327"/>
      <c r="AP78" s="327"/>
      <c r="AQ78" s="328"/>
    </row>
    <row r="79" spans="1:43">
      <c r="A79" s="351" t="s">
        <v>177</v>
      </c>
      <c r="B79" s="323">
        <v>20</v>
      </c>
      <c r="C79" s="323">
        <v>97</v>
      </c>
      <c r="D79" s="323">
        <v>510</v>
      </c>
      <c r="E79" s="323">
        <v>800</v>
      </c>
      <c r="F79" s="323"/>
      <c r="G79" s="354">
        <v>45780</v>
      </c>
      <c r="H79" s="323"/>
      <c r="I79" s="323"/>
      <c r="J79" s="323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  <c r="AE79" s="323"/>
      <c r="AF79" s="323"/>
      <c r="AG79" s="323"/>
      <c r="AH79" s="323"/>
      <c r="AI79" s="323"/>
      <c r="AJ79" s="323"/>
      <c r="AK79" s="323"/>
      <c r="AL79" s="323"/>
      <c r="AM79" s="326">
        <f t="shared" si="3"/>
        <v>800</v>
      </c>
      <c r="AN79" s="327">
        <f t="shared" si="4"/>
        <v>0.79152</v>
      </c>
      <c r="AO79" s="327"/>
      <c r="AP79" s="327"/>
      <c r="AQ79" s="328"/>
    </row>
    <row r="80" spans="1:43">
      <c r="A80" s="351" t="s">
        <v>177</v>
      </c>
      <c r="B80" s="323">
        <v>20</v>
      </c>
      <c r="C80" s="323">
        <v>52</v>
      </c>
      <c r="D80" s="323">
        <v>830</v>
      </c>
      <c r="E80" s="323">
        <v>800</v>
      </c>
      <c r="F80" s="323"/>
      <c r="G80" s="354">
        <v>45780</v>
      </c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323"/>
      <c r="AK80" s="323"/>
      <c r="AL80" s="323"/>
      <c r="AM80" s="326">
        <f t="shared" si="3"/>
        <v>800</v>
      </c>
      <c r="AN80" s="327">
        <f t="shared" si="4"/>
        <v>0.69055999999999995</v>
      </c>
      <c r="AO80" s="327"/>
      <c r="AP80" s="327"/>
      <c r="AQ80" s="328"/>
    </row>
    <row r="81" spans="1:43">
      <c r="A81" s="351" t="s">
        <v>177</v>
      </c>
      <c r="B81" s="323">
        <v>20</v>
      </c>
      <c r="C81" s="323">
        <v>97</v>
      </c>
      <c r="D81" s="323">
        <v>890</v>
      </c>
      <c r="E81" s="323">
        <v>550</v>
      </c>
      <c r="F81" s="323"/>
      <c r="G81" s="354">
        <v>45780</v>
      </c>
      <c r="H81" s="323"/>
      <c r="I81" s="323"/>
      <c r="J81" s="323"/>
      <c r="K81" s="323"/>
      <c r="L81" s="323"/>
      <c r="M81" s="323"/>
      <c r="N81" s="323">
        <v>241</v>
      </c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  <c r="AG81" s="323"/>
      <c r="AH81" s="323"/>
      <c r="AI81" s="323"/>
      <c r="AJ81" s="323"/>
      <c r="AK81" s="323"/>
      <c r="AL81" s="323"/>
      <c r="AM81" s="326">
        <f t="shared" si="3"/>
        <v>309</v>
      </c>
      <c r="AN81" s="327">
        <f t="shared" si="4"/>
        <v>0.53351939999999998</v>
      </c>
      <c r="AO81" s="327"/>
      <c r="AP81" s="327"/>
      <c r="AQ81" s="328"/>
    </row>
    <row r="82" spans="1:43">
      <c r="A82" s="351" t="s">
        <v>177</v>
      </c>
      <c r="B82" s="323">
        <v>20</v>
      </c>
      <c r="C82" s="323">
        <v>97</v>
      </c>
      <c r="D82" s="323">
        <v>550</v>
      </c>
      <c r="E82" s="323">
        <v>800</v>
      </c>
      <c r="F82" s="323"/>
      <c r="G82" s="354">
        <v>45780</v>
      </c>
      <c r="H82" s="323"/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  <c r="AG82" s="323"/>
      <c r="AH82" s="323"/>
      <c r="AI82" s="323"/>
      <c r="AJ82" s="323"/>
      <c r="AK82" s="323"/>
      <c r="AL82" s="323"/>
      <c r="AM82" s="326">
        <f t="shared" si="3"/>
        <v>800</v>
      </c>
      <c r="AN82" s="327">
        <f t="shared" si="4"/>
        <v>0.85360000000000003</v>
      </c>
      <c r="AO82" s="327"/>
      <c r="AP82" s="327"/>
      <c r="AQ82" s="328"/>
    </row>
    <row r="83" spans="1:43">
      <c r="A83" s="351" t="s">
        <v>177</v>
      </c>
      <c r="B83" s="323">
        <v>15.9</v>
      </c>
      <c r="C83" s="323">
        <v>166</v>
      </c>
      <c r="D83" s="323">
        <v>320</v>
      </c>
      <c r="E83" s="323">
        <v>70</v>
      </c>
      <c r="F83" s="323"/>
      <c r="G83" s="354">
        <v>45780</v>
      </c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26">
        <f t="shared" si="3"/>
        <v>70</v>
      </c>
      <c r="AN83" s="327">
        <f t="shared" si="4"/>
        <v>5.9122559999999998E-2</v>
      </c>
      <c r="AO83" s="327"/>
      <c r="AP83" s="327"/>
      <c r="AQ83" s="328"/>
    </row>
    <row r="84" spans="1:43">
      <c r="A84" s="351" t="s">
        <v>177</v>
      </c>
      <c r="B84" s="323">
        <v>15.9</v>
      </c>
      <c r="C84" s="323">
        <v>90</v>
      </c>
      <c r="D84" s="323">
        <v>480</v>
      </c>
      <c r="E84" s="323">
        <v>364</v>
      </c>
      <c r="F84" s="323"/>
      <c r="G84" s="354">
        <v>45780</v>
      </c>
      <c r="H84" s="323"/>
      <c r="I84" s="323"/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  <c r="AE84" s="323"/>
      <c r="AF84" s="323"/>
      <c r="AG84" s="323"/>
      <c r="AH84" s="323"/>
      <c r="AI84" s="323"/>
      <c r="AJ84" s="323"/>
      <c r="AK84" s="323"/>
      <c r="AL84" s="323"/>
      <c r="AM84" s="326">
        <f t="shared" si="3"/>
        <v>364</v>
      </c>
      <c r="AN84" s="327">
        <f t="shared" si="4"/>
        <v>0.25002432000000002</v>
      </c>
      <c r="AO84" s="327"/>
      <c r="AP84" s="327"/>
      <c r="AQ84" s="328"/>
    </row>
    <row r="85" spans="1:43">
      <c r="A85" s="351" t="s">
        <v>177</v>
      </c>
      <c r="B85" s="323">
        <v>25.8</v>
      </c>
      <c r="C85" s="323">
        <v>340</v>
      </c>
      <c r="D85" s="323">
        <v>500</v>
      </c>
      <c r="E85" s="323">
        <v>447</v>
      </c>
      <c r="F85" s="323"/>
      <c r="G85" s="354">
        <v>45780</v>
      </c>
      <c r="H85" s="323"/>
      <c r="I85" s="323"/>
      <c r="J85" s="323"/>
      <c r="K85" s="323"/>
      <c r="L85" s="323"/>
      <c r="M85" s="323">
        <v>250</v>
      </c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  <c r="AE85" s="323"/>
      <c r="AF85" s="323"/>
      <c r="AG85" s="323"/>
      <c r="AH85" s="323"/>
      <c r="AI85" s="323"/>
      <c r="AJ85" s="323"/>
      <c r="AK85" s="323"/>
      <c r="AL85" s="323"/>
      <c r="AM85" s="326">
        <f t="shared" si="3"/>
        <v>197</v>
      </c>
      <c r="AN85" s="327">
        <f t="shared" si="4"/>
        <v>0.86404199999999998</v>
      </c>
      <c r="AO85" s="327"/>
      <c r="AP85" s="327"/>
      <c r="AQ85" s="328"/>
    </row>
    <row r="86" spans="1:43">
      <c r="A86" s="351" t="s">
        <v>177</v>
      </c>
      <c r="B86" s="323">
        <v>12.3</v>
      </c>
      <c r="C86" s="323">
        <v>41.3</v>
      </c>
      <c r="D86" s="323">
        <v>850</v>
      </c>
      <c r="E86" s="323">
        <v>800</v>
      </c>
      <c r="F86" s="323"/>
      <c r="G86" s="354">
        <v>45780</v>
      </c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23"/>
      <c r="AB86" s="323"/>
      <c r="AC86" s="323"/>
      <c r="AD86" s="323"/>
      <c r="AE86" s="323"/>
      <c r="AF86" s="323"/>
      <c r="AG86" s="323"/>
      <c r="AH86" s="323"/>
      <c r="AI86" s="323"/>
      <c r="AJ86" s="323"/>
      <c r="AK86" s="323"/>
      <c r="AL86" s="323"/>
      <c r="AM86" s="326">
        <f t="shared" si="3"/>
        <v>800</v>
      </c>
      <c r="AN86" s="327">
        <f t="shared" si="4"/>
        <v>0.3454332</v>
      </c>
      <c r="AO86" s="327"/>
      <c r="AP86" s="327"/>
      <c r="AQ86" s="328"/>
    </row>
    <row r="87" spans="1:43">
      <c r="A87" s="351" t="s">
        <v>177</v>
      </c>
      <c r="B87" s="323">
        <v>15.9</v>
      </c>
      <c r="C87" s="323">
        <v>254</v>
      </c>
      <c r="D87" s="323">
        <v>520.70000000000005</v>
      </c>
      <c r="E87" s="323">
        <v>275</v>
      </c>
      <c r="F87" s="323"/>
      <c r="G87" s="354">
        <v>45780</v>
      </c>
      <c r="H87" s="323"/>
      <c r="I87" s="323"/>
      <c r="J87" s="323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3"/>
      <c r="AE87" s="323"/>
      <c r="AF87" s="323"/>
      <c r="AG87" s="323"/>
      <c r="AH87" s="323"/>
      <c r="AI87" s="323"/>
      <c r="AJ87" s="323"/>
      <c r="AK87" s="323"/>
      <c r="AL87" s="323"/>
      <c r="AM87" s="326">
        <f t="shared" si="3"/>
        <v>275</v>
      </c>
      <c r="AN87" s="327">
        <f t="shared" si="4"/>
        <v>0.57829723050000004</v>
      </c>
      <c r="AO87" s="327"/>
      <c r="AP87" s="327"/>
      <c r="AQ87" s="328"/>
    </row>
    <row r="88" spans="1:43">
      <c r="A88" s="351" t="s">
        <v>177</v>
      </c>
      <c r="B88" s="323">
        <v>20</v>
      </c>
      <c r="C88" s="323">
        <v>97</v>
      </c>
      <c r="D88" s="323">
        <v>510</v>
      </c>
      <c r="E88" s="323">
        <v>550</v>
      </c>
      <c r="F88" s="323"/>
      <c r="G88" s="354">
        <v>45780</v>
      </c>
      <c r="H88" s="323"/>
      <c r="I88" s="323"/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23"/>
      <c r="AB88" s="323"/>
      <c r="AC88" s="323"/>
      <c r="AD88" s="323"/>
      <c r="AE88" s="323"/>
      <c r="AF88" s="323"/>
      <c r="AG88" s="323"/>
      <c r="AH88" s="323"/>
      <c r="AI88" s="323"/>
      <c r="AJ88" s="323"/>
      <c r="AK88" s="323"/>
      <c r="AL88" s="323"/>
      <c r="AM88" s="326">
        <f t="shared" si="3"/>
        <v>550</v>
      </c>
      <c r="AN88" s="327">
        <f t="shared" si="4"/>
        <v>0.54417000000000004</v>
      </c>
      <c r="AO88" s="327"/>
      <c r="AP88" s="327"/>
      <c r="AQ88" s="328"/>
    </row>
    <row r="89" spans="1:43">
      <c r="A89" s="351" t="s">
        <v>177</v>
      </c>
      <c r="B89" s="323">
        <v>15.9</v>
      </c>
      <c r="C89" s="323">
        <v>85.7</v>
      </c>
      <c r="D89" s="323">
        <v>676.3</v>
      </c>
      <c r="E89" s="323">
        <v>360</v>
      </c>
      <c r="F89" s="323"/>
      <c r="G89" s="354">
        <v>45780</v>
      </c>
      <c r="H89" s="323"/>
      <c r="I89" s="323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  <c r="AE89" s="323"/>
      <c r="AF89" s="323"/>
      <c r="AG89" s="323"/>
      <c r="AH89" s="323"/>
      <c r="AI89" s="323"/>
      <c r="AJ89" s="323"/>
      <c r="AK89" s="323"/>
      <c r="AL89" s="323"/>
      <c r="AM89" s="326">
        <f t="shared" si="3"/>
        <v>360</v>
      </c>
      <c r="AN89" s="327">
        <f t="shared" si="4"/>
        <v>0.33175680083999998</v>
      </c>
      <c r="AO89" s="327"/>
      <c r="AP89" s="327"/>
      <c r="AQ89" s="328"/>
    </row>
    <row r="90" spans="1:43">
      <c r="A90" s="351" t="s">
        <v>177</v>
      </c>
      <c r="B90" s="323">
        <v>15.9</v>
      </c>
      <c r="C90" s="323">
        <v>85.7</v>
      </c>
      <c r="D90" s="323">
        <v>752.5</v>
      </c>
      <c r="E90" s="323">
        <v>20</v>
      </c>
      <c r="F90" s="323"/>
      <c r="G90" s="354">
        <v>45780</v>
      </c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  <c r="AK90" s="323"/>
      <c r="AL90" s="323"/>
      <c r="AM90" s="326">
        <f t="shared" si="3"/>
        <v>20</v>
      </c>
      <c r="AN90" s="327">
        <f t="shared" si="4"/>
        <v>2.05075815E-2</v>
      </c>
      <c r="AO90" s="327"/>
      <c r="AP90" s="327"/>
      <c r="AQ90" s="328"/>
    </row>
    <row r="91" spans="1:43">
      <c r="A91" s="351" t="s">
        <v>177</v>
      </c>
      <c r="B91" s="323">
        <v>15.9</v>
      </c>
      <c r="C91" s="323">
        <v>85.7</v>
      </c>
      <c r="D91" s="323">
        <v>676.3</v>
      </c>
      <c r="E91" s="323">
        <v>40</v>
      </c>
      <c r="F91" s="323"/>
      <c r="G91" s="354">
        <v>45780</v>
      </c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6">
        <f t="shared" si="3"/>
        <v>40</v>
      </c>
      <c r="AN91" s="327">
        <f t="shared" si="4"/>
        <v>3.6861866760000001E-2</v>
      </c>
      <c r="AO91" s="327"/>
      <c r="AP91" s="327"/>
      <c r="AQ91" s="328"/>
    </row>
    <row r="92" spans="1:43">
      <c r="A92" s="351" t="s">
        <v>177</v>
      </c>
      <c r="B92" s="323">
        <v>15.9</v>
      </c>
      <c r="C92" s="323">
        <v>85.7</v>
      </c>
      <c r="D92" s="323">
        <v>349.3</v>
      </c>
      <c r="E92" s="323">
        <v>40</v>
      </c>
      <c r="F92" s="323"/>
      <c r="G92" s="354">
        <v>45780</v>
      </c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  <c r="AE92" s="323"/>
      <c r="AF92" s="323"/>
      <c r="AG92" s="323"/>
      <c r="AH92" s="323"/>
      <c r="AI92" s="323"/>
      <c r="AJ92" s="323"/>
      <c r="AK92" s="323"/>
      <c r="AL92" s="323"/>
      <c r="AM92" s="326">
        <f t="shared" si="3"/>
        <v>40</v>
      </c>
      <c r="AN92" s="327">
        <f t="shared" si="4"/>
        <v>1.9038666360000005E-2</v>
      </c>
      <c r="AO92" s="327"/>
      <c r="AP92" s="327"/>
      <c r="AQ92" s="328"/>
    </row>
    <row r="93" spans="1:43">
      <c r="A93" s="351" t="s">
        <v>177</v>
      </c>
      <c r="B93" s="323">
        <v>15.9</v>
      </c>
      <c r="C93" s="323">
        <v>85.7</v>
      </c>
      <c r="D93" s="323">
        <v>752.5</v>
      </c>
      <c r="E93" s="323">
        <v>40</v>
      </c>
      <c r="F93" s="323"/>
      <c r="G93" s="354">
        <v>45780</v>
      </c>
      <c r="H93" s="323"/>
      <c r="I93" s="323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  <c r="AG93" s="323"/>
      <c r="AH93" s="323"/>
      <c r="AI93" s="323"/>
      <c r="AJ93" s="323"/>
      <c r="AK93" s="323"/>
      <c r="AL93" s="323"/>
      <c r="AM93" s="326">
        <f t="shared" si="3"/>
        <v>40</v>
      </c>
      <c r="AN93" s="327">
        <f t="shared" si="4"/>
        <v>4.1015163E-2</v>
      </c>
      <c r="AO93" s="327"/>
      <c r="AP93" s="327"/>
      <c r="AQ93" s="328"/>
    </row>
    <row r="94" spans="1:43">
      <c r="A94" s="351" t="s">
        <v>177</v>
      </c>
      <c r="B94" s="323">
        <v>12.2</v>
      </c>
      <c r="C94" s="323">
        <v>31.8</v>
      </c>
      <c r="D94" s="323">
        <v>520</v>
      </c>
      <c r="E94" s="323">
        <v>2400</v>
      </c>
      <c r="F94" s="323"/>
      <c r="G94" s="354">
        <v>45785</v>
      </c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>
        <v>1617</v>
      </c>
      <c r="AF94" s="323"/>
      <c r="AG94" s="323"/>
      <c r="AH94" s="323"/>
      <c r="AI94" s="323"/>
      <c r="AJ94" s="323"/>
      <c r="AK94" s="323"/>
      <c r="AL94" s="323"/>
      <c r="AM94" s="326">
        <f t="shared" si="3"/>
        <v>783</v>
      </c>
      <c r="AN94" s="327">
        <f t="shared" si="4"/>
        <v>0.15796179359999998</v>
      </c>
      <c r="AO94" s="323"/>
      <c r="AP94" s="323"/>
      <c r="AQ94" s="328"/>
    </row>
    <row r="95" spans="1:43">
      <c r="A95" s="351" t="s">
        <v>177</v>
      </c>
      <c r="B95" s="323">
        <v>20</v>
      </c>
      <c r="C95" s="323">
        <v>97</v>
      </c>
      <c r="D95" s="323">
        <v>510</v>
      </c>
      <c r="E95" s="323">
        <v>360</v>
      </c>
      <c r="F95" s="323"/>
      <c r="G95" s="354">
        <v>45785</v>
      </c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  <c r="AK95" s="323"/>
      <c r="AL95" s="323"/>
      <c r="AM95" s="326">
        <f t="shared" si="3"/>
        <v>360</v>
      </c>
      <c r="AN95" s="327">
        <f t="shared" si="4"/>
        <v>0.356184</v>
      </c>
      <c r="AO95" s="323"/>
      <c r="AP95" s="323"/>
      <c r="AQ95" s="328"/>
    </row>
    <row r="96" spans="1:43">
      <c r="A96" s="351" t="s">
        <v>177</v>
      </c>
      <c r="B96" s="323">
        <v>20</v>
      </c>
      <c r="C96" s="323">
        <v>97</v>
      </c>
      <c r="D96" s="323">
        <v>510</v>
      </c>
      <c r="E96" s="323">
        <v>360</v>
      </c>
      <c r="F96" s="323"/>
      <c r="G96" s="354">
        <v>45785</v>
      </c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  <c r="AG96" s="323"/>
      <c r="AH96" s="323"/>
      <c r="AI96" s="323"/>
      <c r="AJ96" s="323"/>
      <c r="AK96" s="323"/>
      <c r="AL96" s="323"/>
      <c r="AM96" s="326">
        <f t="shared" si="3"/>
        <v>360</v>
      </c>
      <c r="AN96" s="327">
        <f t="shared" si="4"/>
        <v>0.356184</v>
      </c>
      <c r="AO96" s="323"/>
      <c r="AP96" s="323"/>
      <c r="AQ96" s="328"/>
    </row>
    <row r="97" spans="1:43">
      <c r="A97" s="351" t="s">
        <v>177</v>
      </c>
      <c r="B97" s="323">
        <v>15.9</v>
      </c>
      <c r="C97" s="323">
        <v>254</v>
      </c>
      <c r="D97" s="323">
        <v>520.70000000000005</v>
      </c>
      <c r="E97" s="323">
        <v>270</v>
      </c>
      <c r="F97" s="323"/>
      <c r="G97" s="354">
        <v>45785</v>
      </c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  <c r="AG97" s="323"/>
      <c r="AH97" s="323"/>
      <c r="AI97" s="323"/>
      <c r="AJ97" s="323"/>
      <c r="AK97" s="323"/>
      <c r="AL97" s="323"/>
      <c r="AM97" s="326">
        <f t="shared" si="3"/>
        <v>270</v>
      </c>
      <c r="AN97" s="327">
        <f t="shared" si="4"/>
        <v>0.56778273540000002</v>
      </c>
      <c r="AO97" s="323"/>
      <c r="AP97" s="323"/>
      <c r="AQ97" s="328"/>
    </row>
    <row r="98" spans="1:43">
      <c r="A98" s="351" t="s">
        <v>177</v>
      </c>
      <c r="B98" s="323">
        <v>18</v>
      </c>
      <c r="C98" s="323">
        <v>257</v>
      </c>
      <c r="D98" s="323">
        <v>550</v>
      </c>
      <c r="E98" s="323">
        <v>200</v>
      </c>
      <c r="F98" s="323"/>
      <c r="G98" s="354">
        <v>45785</v>
      </c>
      <c r="H98" s="323"/>
      <c r="I98" s="323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3"/>
      <c r="AE98" s="323"/>
      <c r="AF98" s="323"/>
      <c r="AG98" s="323"/>
      <c r="AH98" s="323"/>
      <c r="AI98" s="323"/>
      <c r="AJ98" s="323"/>
      <c r="AK98" s="323"/>
      <c r="AL98" s="323"/>
      <c r="AM98" s="326">
        <f t="shared" si="3"/>
        <v>200</v>
      </c>
      <c r="AN98" s="327">
        <f t="shared" si="4"/>
        <v>0.50885999999999998</v>
      </c>
      <c r="AO98" s="323"/>
      <c r="AP98" s="323"/>
      <c r="AQ98" s="328"/>
    </row>
    <row r="99" spans="1:43">
      <c r="A99" s="351" t="s">
        <v>177</v>
      </c>
      <c r="B99" s="323">
        <v>18</v>
      </c>
      <c r="C99" s="323">
        <v>257</v>
      </c>
      <c r="D99" s="323">
        <v>550</v>
      </c>
      <c r="E99" s="323">
        <v>200</v>
      </c>
      <c r="F99" s="323"/>
      <c r="G99" s="354">
        <v>45785</v>
      </c>
      <c r="H99" s="323"/>
      <c r="I99" s="323"/>
      <c r="J99" s="323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3"/>
      <c r="AE99" s="323"/>
      <c r="AF99" s="323"/>
      <c r="AG99" s="323"/>
      <c r="AH99" s="323"/>
      <c r="AI99" s="323"/>
      <c r="AJ99" s="323"/>
      <c r="AK99" s="323"/>
      <c r="AL99" s="323"/>
      <c r="AM99" s="326">
        <f t="shared" si="3"/>
        <v>200</v>
      </c>
      <c r="AN99" s="327">
        <f t="shared" si="4"/>
        <v>0.50885999999999998</v>
      </c>
      <c r="AO99" s="323"/>
      <c r="AP99" s="323"/>
      <c r="AQ99" s="328"/>
    </row>
    <row r="100" spans="1:43">
      <c r="A100" s="351" t="s">
        <v>177</v>
      </c>
      <c r="B100" s="323">
        <v>15.9</v>
      </c>
      <c r="C100" s="323">
        <v>254</v>
      </c>
      <c r="D100" s="323">
        <v>520.70000000000005</v>
      </c>
      <c r="E100" s="323">
        <v>275</v>
      </c>
      <c r="F100" s="323"/>
      <c r="G100" s="354">
        <v>45785</v>
      </c>
      <c r="H100" s="323"/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3"/>
      <c r="AE100" s="323"/>
      <c r="AF100" s="323"/>
      <c r="AG100" s="323"/>
      <c r="AH100" s="323"/>
      <c r="AI100" s="323"/>
      <c r="AJ100" s="323"/>
      <c r="AK100" s="323"/>
      <c r="AL100" s="323"/>
      <c r="AM100" s="326">
        <f t="shared" si="3"/>
        <v>275</v>
      </c>
      <c r="AN100" s="327">
        <f t="shared" si="4"/>
        <v>0.57829723050000004</v>
      </c>
      <c r="AO100" s="323"/>
      <c r="AP100" s="323"/>
      <c r="AQ100" s="328"/>
    </row>
    <row r="101" spans="1:43">
      <c r="A101" s="351" t="s">
        <v>177</v>
      </c>
      <c r="B101" s="323">
        <v>20</v>
      </c>
      <c r="C101" s="323">
        <v>100</v>
      </c>
      <c r="D101" s="323">
        <v>513</v>
      </c>
      <c r="E101" s="323">
        <v>271</v>
      </c>
      <c r="F101" s="323"/>
      <c r="G101" s="354">
        <v>45785</v>
      </c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  <c r="AG101" s="323"/>
      <c r="AH101" s="323"/>
      <c r="AI101" s="323"/>
      <c r="AJ101" s="323"/>
      <c r="AK101" s="323"/>
      <c r="AL101" s="323"/>
      <c r="AM101" s="326">
        <f t="shared" si="3"/>
        <v>271</v>
      </c>
      <c r="AN101" s="327">
        <f t="shared" si="4"/>
        <v>0.27804600000000002</v>
      </c>
      <c r="AO101" s="323"/>
      <c r="AP101" s="323"/>
      <c r="AQ101" s="328"/>
    </row>
    <row r="102" spans="1:43">
      <c r="A102" s="351" t="s">
        <v>177</v>
      </c>
      <c r="B102" s="323">
        <v>45</v>
      </c>
      <c r="C102" s="323">
        <v>640</v>
      </c>
      <c r="D102" s="323">
        <v>1250</v>
      </c>
      <c r="E102" s="323">
        <v>17</v>
      </c>
      <c r="F102" s="323"/>
      <c r="G102" s="354">
        <v>45785</v>
      </c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3"/>
      <c r="AE102" s="323"/>
      <c r="AF102" s="323"/>
      <c r="AG102" s="323"/>
      <c r="AH102" s="323"/>
      <c r="AI102" s="323"/>
      <c r="AJ102" s="323"/>
      <c r="AK102" s="323"/>
      <c r="AL102" s="323"/>
      <c r="AM102" s="326">
        <f t="shared" si="3"/>
        <v>17</v>
      </c>
      <c r="AN102" s="327">
        <f t="shared" si="4"/>
        <v>0.61199999999999999</v>
      </c>
      <c r="AO102" s="323"/>
      <c r="AP102" s="323"/>
      <c r="AQ102" s="328"/>
    </row>
    <row r="103" spans="1:43">
      <c r="A103" s="351" t="s">
        <v>177</v>
      </c>
      <c r="B103" s="323">
        <v>25</v>
      </c>
      <c r="C103" s="323">
        <v>150</v>
      </c>
      <c r="D103" s="323">
        <v>330</v>
      </c>
      <c r="E103" s="323">
        <v>364</v>
      </c>
      <c r="F103" s="323"/>
      <c r="G103" s="354">
        <v>45785</v>
      </c>
      <c r="H103" s="323"/>
      <c r="I103" s="323"/>
      <c r="J103" s="323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3"/>
      <c r="AE103" s="323"/>
      <c r="AF103" s="323"/>
      <c r="AG103" s="323"/>
      <c r="AH103" s="323"/>
      <c r="AI103" s="323"/>
      <c r="AJ103" s="323"/>
      <c r="AK103" s="323"/>
      <c r="AL103" s="323"/>
      <c r="AM103" s="326">
        <f t="shared" si="3"/>
        <v>364</v>
      </c>
      <c r="AN103" s="327">
        <f t="shared" si="4"/>
        <v>0.45045000000000002</v>
      </c>
      <c r="AO103" s="323"/>
      <c r="AP103" s="323"/>
      <c r="AQ103" s="328"/>
    </row>
    <row r="104" spans="1:43">
      <c r="A104" s="351" t="s">
        <v>177</v>
      </c>
      <c r="B104" s="323">
        <v>30</v>
      </c>
      <c r="C104" s="323">
        <v>780</v>
      </c>
      <c r="D104" s="323">
        <v>1560</v>
      </c>
      <c r="E104" s="323">
        <v>21</v>
      </c>
      <c r="F104" s="323"/>
      <c r="G104" s="354">
        <v>45785</v>
      </c>
      <c r="H104" s="323"/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3"/>
      <c r="AE104" s="323"/>
      <c r="AF104" s="323"/>
      <c r="AG104" s="323"/>
      <c r="AH104" s="323"/>
      <c r="AI104" s="323"/>
      <c r="AJ104" s="323"/>
      <c r="AK104" s="323"/>
      <c r="AL104" s="323"/>
      <c r="AM104" s="326">
        <f t="shared" si="3"/>
        <v>21</v>
      </c>
      <c r="AN104" s="327">
        <f t="shared" si="4"/>
        <v>0.76658400000000004</v>
      </c>
      <c r="AO104" s="323"/>
      <c r="AP104" s="323"/>
      <c r="AQ104" s="328"/>
    </row>
    <row r="105" spans="1:43">
      <c r="A105" s="351" t="s">
        <v>177</v>
      </c>
      <c r="B105" s="323">
        <v>17.100000000000001</v>
      </c>
      <c r="C105" s="323">
        <v>480</v>
      </c>
      <c r="D105" s="323">
        <v>848</v>
      </c>
      <c r="E105" s="323">
        <v>40</v>
      </c>
      <c r="F105" s="323"/>
      <c r="G105" s="354">
        <v>45785</v>
      </c>
      <c r="H105" s="323"/>
      <c r="I105" s="323"/>
      <c r="J105" s="323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3"/>
      <c r="AE105" s="323"/>
      <c r="AF105" s="323"/>
      <c r="AG105" s="323"/>
      <c r="AH105" s="323"/>
      <c r="AI105" s="323"/>
      <c r="AJ105" s="323"/>
      <c r="AK105" s="323"/>
      <c r="AL105" s="323"/>
      <c r="AM105" s="326">
        <f t="shared" si="3"/>
        <v>40</v>
      </c>
      <c r="AN105" s="327">
        <f t="shared" si="4"/>
        <v>0.27841536</v>
      </c>
      <c r="AO105" s="323"/>
      <c r="AP105" s="323"/>
      <c r="AQ105" s="328"/>
    </row>
    <row r="106" spans="1:43">
      <c r="A106" s="351" t="s">
        <v>177</v>
      </c>
      <c r="B106" s="323">
        <v>17.100000000000001</v>
      </c>
      <c r="C106" s="323">
        <v>480</v>
      </c>
      <c r="D106" s="323">
        <v>848</v>
      </c>
      <c r="E106" s="323">
        <v>76</v>
      </c>
      <c r="F106" s="323"/>
      <c r="G106" s="354">
        <v>45785</v>
      </c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3"/>
      <c r="AE106" s="323"/>
      <c r="AF106" s="323"/>
      <c r="AG106" s="323"/>
      <c r="AH106" s="323"/>
      <c r="AI106" s="323"/>
      <c r="AJ106" s="323"/>
      <c r="AK106" s="323"/>
      <c r="AL106" s="323"/>
      <c r="AM106" s="326">
        <f t="shared" si="3"/>
        <v>76</v>
      </c>
      <c r="AN106" s="327">
        <f t="shared" si="4"/>
        <v>0.52898918399999995</v>
      </c>
      <c r="AO106" s="323"/>
      <c r="AP106" s="323"/>
      <c r="AQ106" s="328"/>
    </row>
    <row r="107" spans="1:43">
      <c r="A107" s="351" t="s">
        <v>177</v>
      </c>
      <c r="B107" s="323">
        <v>15.9</v>
      </c>
      <c r="C107" s="323">
        <v>254</v>
      </c>
      <c r="D107" s="323">
        <v>520.70000000000005</v>
      </c>
      <c r="E107" s="323">
        <v>300</v>
      </c>
      <c r="F107" s="323"/>
      <c r="G107" s="354">
        <v>45785</v>
      </c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6">
        <f t="shared" si="3"/>
        <v>300</v>
      </c>
      <c r="AN107" s="327">
        <f t="shared" si="4"/>
        <v>0.63086970600000003</v>
      </c>
      <c r="AO107" s="323"/>
      <c r="AP107" s="323"/>
      <c r="AQ107" s="328"/>
    </row>
    <row r="108" spans="1:43">
      <c r="A108" s="351" t="s">
        <v>177</v>
      </c>
      <c r="B108" s="323">
        <v>20</v>
      </c>
      <c r="C108" s="323">
        <v>100</v>
      </c>
      <c r="D108" s="323">
        <v>513</v>
      </c>
      <c r="E108" s="323">
        <v>271</v>
      </c>
      <c r="F108" s="323"/>
      <c r="G108" s="354">
        <v>45785</v>
      </c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  <c r="AE108" s="323"/>
      <c r="AF108" s="323"/>
      <c r="AG108" s="323"/>
      <c r="AH108" s="323"/>
      <c r="AI108" s="323"/>
      <c r="AJ108" s="323"/>
      <c r="AK108" s="323"/>
      <c r="AL108" s="323"/>
      <c r="AM108" s="326">
        <f t="shared" si="3"/>
        <v>271</v>
      </c>
      <c r="AN108" s="327">
        <f t="shared" si="4"/>
        <v>0.27804600000000002</v>
      </c>
      <c r="AO108" s="323"/>
      <c r="AP108" s="323"/>
      <c r="AQ108" s="328"/>
    </row>
    <row r="109" spans="1:43">
      <c r="A109" s="351" t="s">
        <v>177</v>
      </c>
      <c r="B109" s="323">
        <v>45</v>
      </c>
      <c r="C109" s="323">
        <v>640</v>
      </c>
      <c r="D109" s="323">
        <v>1250</v>
      </c>
      <c r="E109" s="323">
        <v>17</v>
      </c>
      <c r="F109" s="323"/>
      <c r="G109" s="354">
        <v>45785</v>
      </c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3"/>
      <c r="AE109" s="323"/>
      <c r="AF109" s="323"/>
      <c r="AG109" s="323"/>
      <c r="AH109" s="323"/>
      <c r="AI109" s="323"/>
      <c r="AJ109" s="323"/>
      <c r="AK109" s="323"/>
      <c r="AL109" s="323"/>
      <c r="AM109" s="326">
        <f t="shared" si="3"/>
        <v>17</v>
      </c>
      <c r="AN109" s="327">
        <f t="shared" si="4"/>
        <v>0.61199999999999999</v>
      </c>
      <c r="AO109" s="323"/>
      <c r="AP109" s="323"/>
      <c r="AQ109" s="328"/>
    </row>
    <row r="110" spans="1:43">
      <c r="A110" s="351" t="s">
        <v>177</v>
      </c>
      <c r="B110" s="323">
        <v>30</v>
      </c>
      <c r="C110" s="323">
        <v>780</v>
      </c>
      <c r="D110" s="323">
        <v>1560</v>
      </c>
      <c r="E110" s="323">
        <v>21</v>
      </c>
      <c r="F110" s="323"/>
      <c r="G110" s="354">
        <v>45785</v>
      </c>
      <c r="H110" s="323"/>
      <c r="I110" s="323"/>
      <c r="J110" s="323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  <c r="AE110" s="323"/>
      <c r="AF110" s="323"/>
      <c r="AG110" s="323"/>
      <c r="AH110" s="323"/>
      <c r="AI110" s="323"/>
      <c r="AJ110" s="323"/>
      <c r="AK110" s="323"/>
      <c r="AL110" s="323"/>
      <c r="AM110" s="326">
        <f t="shared" si="3"/>
        <v>21</v>
      </c>
      <c r="AN110" s="327">
        <f t="shared" si="4"/>
        <v>0.76658400000000004</v>
      </c>
      <c r="AO110" s="323"/>
      <c r="AP110" s="323"/>
      <c r="AQ110" s="328"/>
    </row>
    <row r="111" spans="1:43">
      <c r="A111" s="351" t="s">
        <v>177</v>
      </c>
      <c r="B111" s="323">
        <v>20</v>
      </c>
      <c r="C111" s="323">
        <v>46</v>
      </c>
      <c r="D111" s="323">
        <v>609</v>
      </c>
      <c r="E111" s="323">
        <v>554</v>
      </c>
      <c r="F111" s="323"/>
      <c r="G111" s="354">
        <v>45787</v>
      </c>
      <c r="H111" s="323"/>
      <c r="I111" s="323"/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323"/>
      <c r="AK111" s="323"/>
      <c r="AL111" s="323"/>
      <c r="AM111" s="326">
        <f t="shared" si="3"/>
        <v>554</v>
      </c>
      <c r="AN111" s="327">
        <f t="shared" si="4"/>
        <v>0.31039512000000002</v>
      </c>
      <c r="AO111" s="323"/>
      <c r="AP111" s="323"/>
      <c r="AQ111" s="328"/>
    </row>
    <row r="112" spans="1:43">
      <c r="A112" s="351" t="s">
        <v>177</v>
      </c>
      <c r="B112" s="323">
        <v>20</v>
      </c>
      <c r="C112" s="323">
        <v>97</v>
      </c>
      <c r="D112" s="323">
        <v>890</v>
      </c>
      <c r="E112" s="323">
        <v>400</v>
      </c>
      <c r="F112" s="323"/>
      <c r="G112" s="354">
        <v>45787</v>
      </c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>
        <v>220</v>
      </c>
      <c r="AB112" s="323"/>
      <c r="AC112" s="323"/>
      <c r="AD112" s="323"/>
      <c r="AE112" s="323"/>
      <c r="AF112" s="323"/>
      <c r="AG112" s="323"/>
      <c r="AH112" s="323"/>
      <c r="AI112" s="323"/>
      <c r="AJ112" s="323"/>
      <c r="AK112" s="323"/>
      <c r="AL112" s="323"/>
      <c r="AM112" s="326">
        <f t="shared" si="3"/>
        <v>180</v>
      </c>
      <c r="AN112" s="327">
        <f t="shared" si="4"/>
        <v>0.31078800000000001</v>
      </c>
      <c r="AO112" s="323"/>
      <c r="AP112" s="323"/>
      <c r="AQ112" s="328"/>
    </row>
    <row r="113" spans="1:43">
      <c r="A113" s="355" t="s">
        <v>177</v>
      </c>
      <c r="B113" s="323">
        <v>20</v>
      </c>
      <c r="C113" s="323">
        <v>97</v>
      </c>
      <c r="D113" s="323">
        <v>510</v>
      </c>
      <c r="E113" s="323">
        <v>360</v>
      </c>
      <c r="F113" s="323"/>
      <c r="G113" s="354">
        <v>45787</v>
      </c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3"/>
      <c r="AE113" s="323"/>
      <c r="AF113" s="323"/>
      <c r="AG113" s="323"/>
      <c r="AH113" s="323"/>
      <c r="AI113" s="323"/>
      <c r="AJ113" s="323"/>
      <c r="AK113" s="323"/>
      <c r="AL113" s="323"/>
      <c r="AM113" s="326">
        <f t="shared" si="3"/>
        <v>360</v>
      </c>
      <c r="AN113" s="327">
        <f t="shared" si="4"/>
        <v>0.356184</v>
      </c>
      <c r="AO113" s="323"/>
      <c r="AP113" s="323"/>
      <c r="AQ113" s="328"/>
    </row>
    <row r="114" spans="1:43">
      <c r="A114" s="355" t="s">
        <v>177</v>
      </c>
      <c r="B114" s="323">
        <v>20</v>
      </c>
      <c r="C114" s="323">
        <v>97</v>
      </c>
      <c r="D114" s="323">
        <v>510</v>
      </c>
      <c r="E114" s="323">
        <v>360</v>
      </c>
      <c r="F114" s="323"/>
      <c r="G114" s="354">
        <v>45787</v>
      </c>
      <c r="H114" s="323"/>
      <c r="I114" s="323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  <c r="AE114" s="323"/>
      <c r="AF114" s="323"/>
      <c r="AG114" s="323"/>
      <c r="AH114" s="323"/>
      <c r="AI114" s="323"/>
      <c r="AJ114" s="323"/>
      <c r="AK114" s="323"/>
      <c r="AL114" s="323"/>
      <c r="AM114" s="326">
        <f t="shared" si="3"/>
        <v>360</v>
      </c>
      <c r="AN114" s="327">
        <f t="shared" si="4"/>
        <v>0.356184</v>
      </c>
      <c r="AO114" s="323"/>
      <c r="AP114" s="323"/>
      <c r="AQ114" s="328"/>
    </row>
    <row r="115" spans="1:43">
      <c r="A115" s="355" t="s">
        <v>177</v>
      </c>
      <c r="B115" s="323">
        <v>20</v>
      </c>
      <c r="C115" s="323">
        <v>97</v>
      </c>
      <c r="D115" s="323">
        <v>710</v>
      </c>
      <c r="E115" s="323">
        <v>535</v>
      </c>
      <c r="F115" s="323"/>
      <c r="G115" s="354">
        <v>45787</v>
      </c>
      <c r="H115" s="323">
        <v>500</v>
      </c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323"/>
      <c r="AE115" s="323"/>
      <c r="AF115" s="323"/>
      <c r="AG115" s="323"/>
      <c r="AH115" s="323"/>
      <c r="AI115" s="323"/>
      <c r="AJ115" s="323"/>
      <c r="AK115" s="323"/>
      <c r="AL115" s="323"/>
      <c r="AM115" s="326">
        <f t="shared" si="3"/>
        <v>35</v>
      </c>
      <c r="AN115" s="327">
        <f t="shared" si="4"/>
        <v>4.8209000000000002E-2</v>
      </c>
      <c r="AO115" s="323"/>
      <c r="AP115" s="323"/>
      <c r="AQ115" s="328"/>
    </row>
    <row r="116" spans="1:43">
      <c r="A116" s="355" t="s">
        <v>177</v>
      </c>
      <c r="B116" s="323">
        <v>20</v>
      </c>
      <c r="C116" s="323">
        <v>97</v>
      </c>
      <c r="D116" s="323">
        <v>890</v>
      </c>
      <c r="E116" s="323">
        <v>400</v>
      </c>
      <c r="F116" s="323"/>
      <c r="G116" s="354">
        <v>45787</v>
      </c>
      <c r="H116" s="323"/>
      <c r="I116" s="323"/>
      <c r="J116" s="323"/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3"/>
      <c r="AE116" s="323"/>
      <c r="AF116" s="323"/>
      <c r="AG116" s="323"/>
      <c r="AH116" s="323"/>
      <c r="AI116" s="323"/>
      <c r="AJ116" s="323"/>
      <c r="AK116" s="323"/>
      <c r="AL116" s="323"/>
      <c r="AM116" s="326">
        <f t="shared" si="3"/>
        <v>400</v>
      </c>
      <c r="AN116" s="327">
        <f t="shared" si="4"/>
        <v>0.69064000000000003</v>
      </c>
      <c r="AO116" s="323"/>
      <c r="AP116" s="323"/>
      <c r="AQ116" s="328"/>
    </row>
    <row r="117" spans="1:43">
      <c r="A117" s="355" t="s">
        <v>177</v>
      </c>
      <c r="B117" s="323">
        <v>15.9</v>
      </c>
      <c r="C117" s="323">
        <v>254</v>
      </c>
      <c r="D117" s="323">
        <v>470</v>
      </c>
      <c r="E117" s="323">
        <v>60</v>
      </c>
      <c r="F117" s="323"/>
      <c r="G117" s="354">
        <v>45799</v>
      </c>
      <c r="H117" s="323"/>
      <c r="I117" s="323"/>
      <c r="J117" s="323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  <c r="AE117" s="323"/>
      <c r="AF117" s="323"/>
      <c r="AG117" s="323"/>
      <c r="AH117" s="323"/>
      <c r="AI117" s="323"/>
      <c r="AJ117" s="323"/>
      <c r="AK117" s="323"/>
      <c r="AL117" s="323"/>
      <c r="AM117" s="326">
        <f t="shared" si="3"/>
        <v>60</v>
      </c>
      <c r="AN117" s="327">
        <f t="shared" si="4"/>
        <v>0.11388851999999999</v>
      </c>
      <c r="AO117" s="323"/>
      <c r="AP117" s="323"/>
      <c r="AQ117" s="328"/>
    </row>
    <row r="118" spans="1:43">
      <c r="A118" s="355" t="s">
        <v>177</v>
      </c>
      <c r="B118" s="323">
        <v>15.9</v>
      </c>
      <c r="C118" s="323">
        <v>254</v>
      </c>
      <c r="D118" s="323">
        <v>371</v>
      </c>
      <c r="E118" s="323">
        <v>120</v>
      </c>
      <c r="F118" s="323"/>
      <c r="G118" s="354">
        <v>45799</v>
      </c>
      <c r="H118" s="323"/>
      <c r="I118" s="323"/>
      <c r="J118" s="323"/>
      <c r="K118" s="323"/>
      <c r="L118" s="323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  <c r="AB118" s="323"/>
      <c r="AC118" s="323"/>
      <c r="AD118" s="323"/>
      <c r="AE118" s="323"/>
      <c r="AF118" s="323"/>
      <c r="AG118" s="323"/>
      <c r="AH118" s="323"/>
      <c r="AI118" s="323"/>
      <c r="AJ118" s="323"/>
      <c r="AK118" s="323"/>
      <c r="AL118" s="323"/>
      <c r="AM118" s="326">
        <f t="shared" ref="AM118:AM181" si="5">E118-H118-I118-J118-K118-L118-M118-N118-O118-P118-Q118-R118-S118-T118-U118-V118-W118-X118-Y118-Z118-AA118-AB118-AC118-AD118-AE118-AF118-AG118-AH118-AI118-AJ118-AK118-AL118</f>
        <v>120</v>
      </c>
      <c r="AN118" s="327">
        <f t="shared" si="4"/>
        <v>0.17979847199999996</v>
      </c>
      <c r="AO118" s="323"/>
      <c r="AP118" s="323"/>
      <c r="AQ118" s="328"/>
    </row>
    <row r="119" spans="1:43">
      <c r="A119" s="355" t="s">
        <v>177</v>
      </c>
      <c r="B119" s="323">
        <v>15.9</v>
      </c>
      <c r="C119" s="323">
        <v>254</v>
      </c>
      <c r="D119" s="323">
        <v>295</v>
      </c>
      <c r="E119" s="323">
        <v>76</v>
      </c>
      <c r="F119" s="323"/>
      <c r="G119" s="354">
        <v>45799</v>
      </c>
      <c r="H119" s="323"/>
      <c r="I119" s="323"/>
      <c r="J119" s="323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  <c r="AB119" s="323"/>
      <c r="AC119" s="323"/>
      <c r="AD119" s="323"/>
      <c r="AE119" s="323"/>
      <c r="AF119" s="323"/>
      <c r="AG119" s="323"/>
      <c r="AH119" s="323"/>
      <c r="AI119" s="323"/>
      <c r="AJ119" s="323"/>
      <c r="AK119" s="323"/>
      <c r="AL119" s="323"/>
      <c r="AM119" s="326">
        <f t="shared" si="5"/>
        <v>76</v>
      </c>
      <c r="AN119" s="327">
        <f t="shared" si="4"/>
        <v>9.0545412000000006E-2</v>
      </c>
      <c r="AO119" s="323"/>
      <c r="AP119" s="323"/>
      <c r="AQ119" s="328"/>
    </row>
    <row r="120" spans="1:43">
      <c r="A120" s="355" t="s">
        <v>205</v>
      </c>
      <c r="B120" s="323">
        <v>18</v>
      </c>
      <c r="C120" s="323">
        <v>720</v>
      </c>
      <c r="D120" s="323">
        <v>1220</v>
      </c>
      <c r="E120" s="323">
        <v>57</v>
      </c>
      <c r="F120" s="323"/>
      <c r="G120" s="354">
        <v>45785</v>
      </c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6">
        <f t="shared" si="5"/>
        <v>57</v>
      </c>
      <c r="AN120" s="327">
        <f t="shared" si="4"/>
        <v>0.9012384</v>
      </c>
      <c r="AO120" s="323"/>
      <c r="AP120" s="323"/>
      <c r="AQ120" s="328"/>
    </row>
    <row r="121" spans="1:43">
      <c r="A121" s="355" t="s">
        <v>205</v>
      </c>
      <c r="B121" s="323">
        <v>18</v>
      </c>
      <c r="C121" s="323">
        <v>720</v>
      </c>
      <c r="D121" s="323">
        <v>1220</v>
      </c>
      <c r="E121" s="323">
        <v>57</v>
      </c>
      <c r="F121" s="323"/>
      <c r="G121" s="354">
        <v>45785</v>
      </c>
      <c r="H121" s="323"/>
      <c r="I121" s="323"/>
      <c r="J121" s="323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3"/>
      <c r="AE121" s="323"/>
      <c r="AF121" s="323"/>
      <c r="AG121" s="323"/>
      <c r="AH121" s="323"/>
      <c r="AI121" s="323"/>
      <c r="AJ121" s="323"/>
      <c r="AK121" s="323"/>
      <c r="AL121" s="323"/>
      <c r="AM121" s="326">
        <f t="shared" si="5"/>
        <v>57</v>
      </c>
      <c r="AN121" s="327">
        <f t="shared" si="4"/>
        <v>0.9012384</v>
      </c>
      <c r="AO121" s="323"/>
      <c r="AP121" s="323"/>
      <c r="AQ121" s="328"/>
    </row>
    <row r="122" spans="1:43">
      <c r="A122" s="351" t="s">
        <v>205</v>
      </c>
      <c r="B122" s="323">
        <v>18</v>
      </c>
      <c r="C122" s="323">
        <v>720</v>
      </c>
      <c r="D122" s="323">
        <v>1220</v>
      </c>
      <c r="E122" s="323">
        <v>57</v>
      </c>
      <c r="F122" s="323"/>
      <c r="G122" s="354">
        <v>45785</v>
      </c>
      <c r="H122" s="323"/>
      <c r="I122" s="323"/>
      <c r="J122" s="323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  <c r="AE122" s="323"/>
      <c r="AF122" s="323"/>
      <c r="AG122" s="323"/>
      <c r="AH122" s="323"/>
      <c r="AI122" s="323"/>
      <c r="AJ122" s="323"/>
      <c r="AK122" s="323"/>
      <c r="AL122" s="323"/>
      <c r="AM122" s="326">
        <f t="shared" si="5"/>
        <v>57</v>
      </c>
      <c r="AN122" s="327">
        <f t="shared" si="4"/>
        <v>0.9012384</v>
      </c>
      <c r="AO122" s="323"/>
      <c r="AP122" s="323"/>
      <c r="AQ122" s="328"/>
    </row>
    <row r="123" spans="1:43">
      <c r="A123" s="351" t="s">
        <v>205</v>
      </c>
      <c r="B123" s="323">
        <v>18</v>
      </c>
      <c r="C123" s="323">
        <v>720</v>
      </c>
      <c r="D123" s="323">
        <v>1220</v>
      </c>
      <c r="E123" s="323">
        <v>57</v>
      </c>
      <c r="F123" s="323"/>
      <c r="G123" s="354">
        <v>45785</v>
      </c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323"/>
      <c r="AE123" s="323"/>
      <c r="AF123" s="323"/>
      <c r="AG123" s="323"/>
      <c r="AH123" s="323"/>
      <c r="AI123" s="323"/>
      <c r="AJ123" s="323"/>
      <c r="AK123" s="323"/>
      <c r="AL123" s="323"/>
      <c r="AM123" s="326">
        <f t="shared" si="5"/>
        <v>57</v>
      </c>
      <c r="AN123" s="327">
        <f t="shared" si="4"/>
        <v>0.9012384</v>
      </c>
      <c r="AO123" s="323"/>
      <c r="AP123" s="323"/>
      <c r="AQ123" s="328"/>
    </row>
    <row r="124" spans="1:43">
      <c r="A124" s="351" t="s">
        <v>205</v>
      </c>
      <c r="B124" s="323">
        <v>18</v>
      </c>
      <c r="C124" s="323">
        <v>680</v>
      </c>
      <c r="D124" s="323">
        <v>1220</v>
      </c>
      <c r="E124" s="323">
        <v>57</v>
      </c>
      <c r="F124" s="323"/>
      <c r="G124" s="354">
        <v>45785</v>
      </c>
      <c r="H124" s="323"/>
      <c r="I124" s="323"/>
      <c r="J124" s="323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  <c r="AA124" s="323"/>
      <c r="AB124" s="323"/>
      <c r="AC124" s="323"/>
      <c r="AD124" s="323"/>
      <c r="AE124" s="323"/>
      <c r="AF124" s="323"/>
      <c r="AG124" s="323"/>
      <c r="AH124" s="323"/>
      <c r="AI124" s="323"/>
      <c r="AJ124" s="323"/>
      <c r="AK124" s="323"/>
      <c r="AL124" s="323"/>
      <c r="AM124" s="326">
        <f t="shared" si="5"/>
        <v>57</v>
      </c>
      <c r="AN124" s="327">
        <f t="shared" si="4"/>
        <v>0.85116959999999997</v>
      </c>
      <c r="AO124" s="323"/>
      <c r="AP124" s="323"/>
      <c r="AQ124" s="328"/>
    </row>
    <row r="125" spans="1:43">
      <c r="A125" s="351" t="s">
        <v>205</v>
      </c>
      <c r="B125" s="323">
        <v>18</v>
      </c>
      <c r="C125" s="323">
        <v>680</v>
      </c>
      <c r="D125" s="323">
        <v>1220</v>
      </c>
      <c r="E125" s="323">
        <v>57</v>
      </c>
      <c r="F125" s="323"/>
      <c r="G125" s="354">
        <v>45785</v>
      </c>
      <c r="H125" s="323"/>
      <c r="I125" s="323"/>
      <c r="J125" s="323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  <c r="AB125" s="323"/>
      <c r="AC125" s="323"/>
      <c r="AD125" s="323"/>
      <c r="AE125" s="323"/>
      <c r="AF125" s="323"/>
      <c r="AG125" s="323"/>
      <c r="AH125" s="323"/>
      <c r="AI125" s="323"/>
      <c r="AJ125" s="323"/>
      <c r="AK125" s="323"/>
      <c r="AL125" s="323"/>
      <c r="AM125" s="326">
        <f t="shared" si="5"/>
        <v>57</v>
      </c>
      <c r="AN125" s="327">
        <f t="shared" si="4"/>
        <v>0.85116959999999997</v>
      </c>
      <c r="AO125" s="323"/>
      <c r="AP125" s="323"/>
      <c r="AQ125" s="328"/>
    </row>
    <row r="126" spans="1:43">
      <c r="A126" s="351" t="s">
        <v>205</v>
      </c>
      <c r="B126" s="323">
        <v>18</v>
      </c>
      <c r="C126" s="323">
        <v>680</v>
      </c>
      <c r="D126" s="323">
        <v>1220</v>
      </c>
      <c r="E126" s="323">
        <v>57</v>
      </c>
      <c r="F126" s="323"/>
      <c r="G126" s="354">
        <v>45785</v>
      </c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3"/>
      <c r="AE126" s="323"/>
      <c r="AF126" s="323"/>
      <c r="AG126" s="323"/>
      <c r="AH126" s="323"/>
      <c r="AI126" s="323"/>
      <c r="AJ126" s="323"/>
      <c r="AK126" s="323"/>
      <c r="AL126" s="323"/>
      <c r="AM126" s="326">
        <f t="shared" si="5"/>
        <v>57</v>
      </c>
      <c r="AN126" s="327">
        <f t="shared" si="4"/>
        <v>0.85116959999999997</v>
      </c>
      <c r="AO126" s="323"/>
      <c r="AP126" s="323"/>
      <c r="AQ126" s="328"/>
    </row>
    <row r="127" spans="1:43">
      <c r="A127" s="351" t="s">
        <v>205</v>
      </c>
      <c r="B127" s="323">
        <v>18</v>
      </c>
      <c r="C127" s="323">
        <v>680</v>
      </c>
      <c r="D127" s="323">
        <v>1220</v>
      </c>
      <c r="E127" s="323">
        <v>57</v>
      </c>
      <c r="F127" s="323"/>
      <c r="G127" s="354">
        <v>45785</v>
      </c>
      <c r="H127" s="323"/>
      <c r="I127" s="323"/>
      <c r="J127" s="323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3"/>
      <c r="AE127" s="323"/>
      <c r="AF127" s="323"/>
      <c r="AG127" s="323"/>
      <c r="AH127" s="323"/>
      <c r="AI127" s="323"/>
      <c r="AJ127" s="323"/>
      <c r="AK127" s="323"/>
      <c r="AL127" s="323"/>
      <c r="AM127" s="326">
        <f t="shared" si="5"/>
        <v>57</v>
      </c>
      <c r="AN127" s="327">
        <f t="shared" si="4"/>
        <v>0.85116959999999997</v>
      </c>
      <c r="AO127" s="323"/>
      <c r="AP127" s="323"/>
      <c r="AQ127" s="328"/>
    </row>
    <row r="128" spans="1:43">
      <c r="A128" s="351" t="s">
        <v>205</v>
      </c>
      <c r="B128" s="323">
        <v>18</v>
      </c>
      <c r="C128" s="323">
        <v>470</v>
      </c>
      <c r="D128" s="323">
        <v>1220</v>
      </c>
      <c r="E128" s="323">
        <v>114</v>
      </c>
      <c r="F128" s="323"/>
      <c r="G128" s="354">
        <v>45785</v>
      </c>
      <c r="H128" s="323"/>
      <c r="I128" s="323"/>
      <c r="J128" s="323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3"/>
      <c r="AG128" s="323"/>
      <c r="AH128" s="323"/>
      <c r="AI128" s="323"/>
      <c r="AJ128" s="323"/>
      <c r="AK128" s="323"/>
      <c r="AL128" s="323"/>
      <c r="AM128" s="326">
        <f t="shared" si="5"/>
        <v>114</v>
      </c>
      <c r="AN128" s="327">
        <f t="shared" si="4"/>
        <v>1.1766167999999999</v>
      </c>
      <c r="AO128" s="323"/>
      <c r="AP128" s="323"/>
      <c r="AQ128" s="328"/>
    </row>
    <row r="129" spans="1:43">
      <c r="A129" s="351" t="s">
        <v>205</v>
      </c>
      <c r="B129" s="323">
        <v>18</v>
      </c>
      <c r="C129" s="323">
        <v>555</v>
      </c>
      <c r="D129" s="323">
        <v>1220</v>
      </c>
      <c r="E129" s="323">
        <v>114</v>
      </c>
      <c r="F129" s="323"/>
      <c r="G129" s="354">
        <v>45785</v>
      </c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6">
        <f t="shared" si="5"/>
        <v>114</v>
      </c>
      <c r="AN129" s="327">
        <f t="shared" si="4"/>
        <v>1.3894092</v>
      </c>
      <c r="AO129" s="323"/>
      <c r="AP129" s="323"/>
      <c r="AQ129" s="328"/>
    </row>
    <row r="130" spans="1:43">
      <c r="A130" s="351" t="s">
        <v>205</v>
      </c>
      <c r="B130" s="323">
        <v>18</v>
      </c>
      <c r="C130" s="323">
        <v>720</v>
      </c>
      <c r="D130" s="323">
        <v>1220</v>
      </c>
      <c r="E130" s="323">
        <v>57</v>
      </c>
      <c r="F130" s="323"/>
      <c r="G130" s="354">
        <v>45785</v>
      </c>
      <c r="H130" s="323"/>
      <c r="I130" s="323"/>
      <c r="J130" s="323"/>
      <c r="K130" s="323"/>
      <c r="L130" s="323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  <c r="AB130" s="323"/>
      <c r="AC130" s="323"/>
      <c r="AD130" s="323"/>
      <c r="AE130" s="323"/>
      <c r="AF130" s="323"/>
      <c r="AG130" s="323"/>
      <c r="AH130" s="323"/>
      <c r="AI130" s="323"/>
      <c r="AJ130" s="323"/>
      <c r="AK130" s="323"/>
      <c r="AL130" s="323"/>
      <c r="AM130" s="326">
        <f t="shared" si="5"/>
        <v>57</v>
      </c>
      <c r="AN130" s="327">
        <f t="shared" si="4"/>
        <v>0.9012384</v>
      </c>
      <c r="AO130" s="323"/>
      <c r="AP130" s="323"/>
      <c r="AQ130" s="328"/>
    </row>
    <row r="131" spans="1:43">
      <c r="A131" s="351" t="s">
        <v>205</v>
      </c>
      <c r="B131" s="323">
        <v>18</v>
      </c>
      <c r="C131" s="323">
        <v>720</v>
      </c>
      <c r="D131" s="323">
        <v>1220</v>
      </c>
      <c r="E131" s="323">
        <v>57</v>
      </c>
      <c r="F131" s="323"/>
      <c r="G131" s="354">
        <v>45785</v>
      </c>
      <c r="H131" s="323"/>
      <c r="I131" s="323"/>
      <c r="J131" s="323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  <c r="AE131" s="323"/>
      <c r="AF131" s="323"/>
      <c r="AG131" s="323"/>
      <c r="AH131" s="323"/>
      <c r="AI131" s="323"/>
      <c r="AJ131" s="323"/>
      <c r="AK131" s="323"/>
      <c r="AL131" s="323"/>
      <c r="AM131" s="326">
        <f t="shared" si="5"/>
        <v>57</v>
      </c>
      <c r="AN131" s="327">
        <f t="shared" ref="AN131:AN194" si="6">B131*C131*D131*AM131/1000000000</f>
        <v>0.9012384</v>
      </c>
      <c r="AO131" s="323"/>
      <c r="AP131" s="323"/>
      <c r="AQ131" s="328"/>
    </row>
    <row r="132" spans="1:43">
      <c r="A132" s="351" t="s">
        <v>205</v>
      </c>
      <c r="B132" s="323">
        <v>18</v>
      </c>
      <c r="C132" s="323">
        <v>720</v>
      </c>
      <c r="D132" s="323">
        <v>1220</v>
      </c>
      <c r="E132" s="323">
        <v>57</v>
      </c>
      <c r="F132" s="323"/>
      <c r="G132" s="354">
        <v>45785</v>
      </c>
      <c r="H132" s="323"/>
      <c r="I132" s="323"/>
      <c r="J132" s="323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  <c r="AE132" s="323"/>
      <c r="AF132" s="323"/>
      <c r="AG132" s="323"/>
      <c r="AH132" s="323"/>
      <c r="AI132" s="323"/>
      <c r="AJ132" s="323"/>
      <c r="AK132" s="323"/>
      <c r="AL132" s="323"/>
      <c r="AM132" s="326">
        <f t="shared" si="5"/>
        <v>57</v>
      </c>
      <c r="AN132" s="327">
        <f t="shared" si="6"/>
        <v>0.9012384</v>
      </c>
      <c r="AO132" s="323"/>
      <c r="AP132" s="323"/>
      <c r="AQ132" s="328"/>
    </row>
    <row r="133" spans="1:43">
      <c r="A133" s="351" t="s">
        <v>205</v>
      </c>
      <c r="B133" s="323">
        <v>18</v>
      </c>
      <c r="C133" s="323">
        <v>720</v>
      </c>
      <c r="D133" s="323">
        <v>1220</v>
      </c>
      <c r="E133" s="323">
        <v>57</v>
      </c>
      <c r="F133" s="323"/>
      <c r="G133" s="354">
        <v>45785</v>
      </c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  <c r="AB133" s="323"/>
      <c r="AC133" s="323"/>
      <c r="AD133" s="323"/>
      <c r="AE133" s="323"/>
      <c r="AF133" s="323"/>
      <c r="AG133" s="323"/>
      <c r="AH133" s="323"/>
      <c r="AI133" s="323"/>
      <c r="AJ133" s="323"/>
      <c r="AK133" s="323"/>
      <c r="AL133" s="323"/>
      <c r="AM133" s="326">
        <f t="shared" si="5"/>
        <v>57</v>
      </c>
      <c r="AN133" s="327">
        <f t="shared" si="6"/>
        <v>0.9012384</v>
      </c>
      <c r="AO133" s="323"/>
      <c r="AP133" s="323"/>
      <c r="AQ133" s="328"/>
    </row>
    <row r="134" spans="1:43">
      <c r="A134" s="351" t="s">
        <v>205</v>
      </c>
      <c r="B134" s="323">
        <v>18</v>
      </c>
      <c r="C134" s="323">
        <v>720</v>
      </c>
      <c r="D134" s="323">
        <v>1220</v>
      </c>
      <c r="E134" s="323">
        <v>57</v>
      </c>
      <c r="F134" s="323"/>
      <c r="G134" s="354">
        <v>45785</v>
      </c>
      <c r="H134" s="323"/>
      <c r="I134" s="323"/>
      <c r="J134" s="323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  <c r="AB134" s="323"/>
      <c r="AC134" s="323"/>
      <c r="AD134" s="323"/>
      <c r="AE134" s="323"/>
      <c r="AF134" s="323"/>
      <c r="AG134" s="323"/>
      <c r="AH134" s="323"/>
      <c r="AI134" s="323"/>
      <c r="AJ134" s="323"/>
      <c r="AK134" s="323"/>
      <c r="AL134" s="323"/>
      <c r="AM134" s="326">
        <f t="shared" si="5"/>
        <v>57</v>
      </c>
      <c r="AN134" s="327">
        <f t="shared" si="6"/>
        <v>0.9012384</v>
      </c>
      <c r="AO134" s="323"/>
      <c r="AP134" s="323"/>
      <c r="AQ134" s="328"/>
    </row>
    <row r="135" spans="1:43">
      <c r="A135" s="351" t="s">
        <v>205</v>
      </c>
      <c r="B135" s="323">
        <v>18</v>
      </c>
      <c r="C135" s="323">
        <v>680</v>
      </c>
      <c r="D135" s="323">
        <v>1220</v>
      </c>
      <c r="E135" s="323">
        <v>57</v>
      </c>
      <c r="F135" s="323"/>
      <c r="G135" s="354">
        <v>45785</v>
      </c>
      <c r="H135" s="323"/>
      <c r="I135" s="323"/>
      <c r="J135" s="323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  <c r="AB135" s="323"/>
      <c r="AC135" s="323"/>
      <c r="AD135" s="323"/>
      <c r="AE135" s="323"/>
      <c r="AF135" s="323"/>
      <c r="AG135" s="323"/>
      <c r="AH135" s="323"/>
      <c r="AI135" s="323"/>
      <c r="AJ135" s="323"/>
      <c r="AK135" s="323"/>
      <c r="AL135" s="323"/>
      <c r="AM135" s="326">
        <f t="shared" si="5"/>
        <v>57</v>
      </c>
      <c r="AN135" s="327">
        <f t="shared" si="6"/>
        <v>0.85116959999999997</v>
      </c>
      <c r="AO135" s="323"/>
      <c r="AP135" s="323"/>
      <c r="AQ135" s="328"/>
    </row>
    <row r="136" spans="1:43">
      <c r="A136" s="351" t="s">
        <v>205</v>
      </c>
      <c r="B136" s="323">
        <v>9</v>
      </c>
      <c r="C136" s="323">
        <v>810</v>
      </c>
      <c r="D136" s="323">
        <v>1220</v>
      </c>
      <c r="E136" s="323">
        <v>120</v>
      </c>
      <c r="F136" s="323"/>
      <c r="G136" s="354">
        <v>45785</v>
      </c>
      <c r="H136" s="323"/>
      <c r="I136" s="323"/>
      <c r="J136" s="323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  <c r="AB136" s="323"/>
      <c r="AC136" s="323"/>
      <c r="AD136" s="323"/>
      <c r="AE136" s="323"/>
      <c r="AF136" s="323"/>
      <c r="AG136" s="323"/>
      <c r="AH136" s="323"/>
      <c r="AI136" s="323"/>
      <c r="AJ136" s="323"/>
      <c r="AK136" s="323"/>
      <c r="AL136" s="323"/>
      <c r="AM136" s="326">
        <f t="shared" si="5"/>
        <v>120</v>
      </c>
      <c r="AN136" s="327">
        <f t="shared" si="6"/>
        <v>1.067256</v>
      </c>
      <c r="AO136" s="323"/>
      <c r="AP136" s="323"/>
      <c r="AQ136" s="328"/>
    </row>
    <row r="137" spans="1:43">
      <c r="A137" s="351" t="s">
        <v>205</v>
      </c>
      <c r="B137" s="323">
        <v>18</v>
      </c>
      <c r="C137" s="323">
        <v>555</v>
      </c>
      <c r="D137" s="323">
        <v>1220</v>
      </c>
      <c r="E137" s="323">
        <v>114</v>
      </c>
      <c r="F137" s="323"/>
      <c r="G137" s="354">
        <v>45785</v>
      </c>
      <c r="H137" s="323"/>
      <c r="I137" s="323"/>
      <c r="J137" s="323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  <c r="AB137" s="323"/>
      <c r="AC137" s="323"/>
      <c r="AD137" s="323"/>
      <c r="AE137" s="323"/>
      <c r="AF137" s="323"/>
      <c r="AG137" s="323"/>
      <c r="AH137" s="323"/>
      <c r="AI137" s="323"/>
      <c r="AJ137" s="323"/>
      <c r="AK137" s="323"/>
      <c r="AL137" s="323"/>
      <c r="AM137" s="326">
        <f t="shared" si="5"/>
        <v>114</v>
      </c>
      <c r="AN137" s="327">
        <f t="shared" si="6"/>
        <v>1.3894092</v>
      </c>
      <c r="AO137" s="323"/>
      <c r="AP137" s="323"/>
      <c r="AQ137" s="328"/>
    </row>
    <row r="138" spans="1:43">
      <c r="A138" s="351" t="s">
        <v>205</v>
      </c>
      <c r="B138" s="323">
        <v>18</v>
      </c>
      <c r="C138" s="323">
        <v>470</v>
      </c>
      <c r="D138" s="323">
        <v>1220</v>
      </c>
      <c r="E138" s="323">
        <v>114</v>
      </c>
      <c r="F138" s="323"/>
      <c r="G138" s="354">
        <v>45785</v>
      </c>
      <c r="H138" s="323"/>
      <c r="I138" s="323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  <c r="AB138" s="323"/>
      <c r="AC138" s="323"/>
      <c r="AD138" s="323"/>
      <c r="AE138" s="323"/>
      <c r="AF138" s="323"/>
      <c r="AG138" s="323"/>
      <c r="AH138" s="323"/>
      <c r="AI138" s="323"/>
      <c r="AJ138" s="323"/>
      <c r="AK138" s="323"/>
      <c r="AL138" s="323"/>
      <c r="AM138" s="326">
        <f t="shared" si="5"/>
        <v>114</v>
      </c>
      <c r="AN138" s="327">
        <f t="shared" si="6"/>
        <v>1.1766167999999999</v>
      </c>
      <c r="AO138" s="323"/>
      <c r="AP138" s="323"/>
      <c r="AQ138" s="328"/>
    </row>
    <row r="139" spans="1:43">
      <c r="A139" s="351" t="s">
        <v>205</v>
      </c>
      <c r="B139" s="323">
        <v>9</v>
      </c>
      <c r="C139" s="323">
        <v>810</v>
      </c>
      <c r="D139" s="323">
        <v>1220</v>
      </c>
      <c r="E139" s="323">
        <v>120</v>
      </c>
      <c r="F139" s="323"/>
      <c r="G139" s="354">
        <v>45785</v>
      </c>
      <c r="H139" s="323"/>
      <c r="I139" s="323"/>
      <c r="J139" s="323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C139" s="323"/>
      <c r="AD139" s="323"/>
      <c r="AE139" s="323"/>
      <c r="AF139" s="323"/>
      <c r="AG139" s="323"/>
      <c r="AH139" s="323"/>
      <c r="AI139" s="323"/>
      <c r="AJ139" s="323"/>
      <c r="AK139" s="323"/>
      <c r="AL139" s="323"/>
      <c r="AM139" s="326">
        <f t="shared" si="5"/>
        <v>120</v>
      </c>
      <c r="AN139" s="327">
        <f t="shared" si="6"/>
        <v>1.067256</v>
      </c>
      <c r="AO139" s="323"/>
      <c r="AP139" s="323"/>
      <c r="AQ139" s="328"/>
    </row>
    <row r="140" spans="1:43">
      <c r="A140" s="351" t="s">
        <v>205</v>
      </c>
      <c r="B140" s="323">
        <v>9</v>
      </c>
      <c r="C140" s="323">
        <v>810</v>
      </c>
      <c r="D140" s="323">
        <v>1220</v>
      </c>
      <c r="E140" s="323">
        <v>48</v>
      </c>
      <c r="F140" s="323"/>
      <c r="G140" s="354">
        <v>45785</v>
      </c>
      <c r="H140" s="323"/>
      <c r="I140" s="323"/>
      <c r="J140" s="323"/>
      <c r="K140" s="323"/>
      <c r="L140" s="323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3"/>
      <c r="AE140" s="323"/>
      <c r="AF140" s="323"/>
      <c r="AG140" s="323"/>
      <c r="AH140" s="323"/>
      <c r="AI140" s="323"/>
      <c r="AJ140" s="323"/>
      <c r="AK140" s="323"/>
      <c r="AL140" s="323"/>
      <c r="AM140" s="326">
        <f t="shared" si="5"/>
        <v>48</v>
      </c>
      <c r="AN140" s="327">
        <f t="shared" si="6"/>
        <v>0.42690240000000002</v>
      </c>
      <c r="AO140" s="323"/>
      <c r="AP140" s="323"/>
      <c r="AQ140" s="328"/>
    </row>
    <row r="141" spans="1:43">
      <c r="A141" s="351" t="s">
        <v>205</v>
      </c>
      <c r="B141" s="323">
        <v>6</v>
      </c>
      <c r="C141" s="323">
        <v>499.7</v>
      </c>
      <c r="D141" s="323">
        <v>1220</v>
      </c>
      <c r="E141" s="323">
        <v>360</v>
      </c>
      <c r="F141" s="323"/>
      <c r="G141" s="354">
        <v>45785</v>
      </c>
      <c r="H141" s="323"/>
      <c r="I141" s="323"/>
      <c r="J141" s="323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3"/>
      <c r="AE141" s="323"/>
      <c r="AF141" s="323"/>
      <c r="AG141" s="323"/>
      <c r="AH141" s="323"/>
      <c r="AI141" s="323"/>
      <c r="AJ141" s="323"/>
      <c r="AK141" s="323"/>
      <c r="AL141" s="323"/>
      <c r="AM141" s="326">
        <f t="shared" si="5"/>
        <v>360</v>
      </c>
      <c r="AN141" s="327">
        <f t="shared" si="6"/>
        <v>1.3168094400000001</v>
      </c>
      <c r="AO141" s="323"/>
      <c r="AP141" s="323"/>
      <c r="AQ141" s="328"/>
    </row>
    <row r="142" spans="1:43">
      <c r="A142" s="351" t="s">
        <v>205</v>
      </c>
      <c r="B142" s="323">
        <v>6</v>
      </c>
      <c r="C142" s="323">
        <v>499.7</v>
      </c>
      <c r="D142" s="323">
        <v>1220</v>
      </c>
      <c r="E142" s="323">
        <v>324</v>
      </c>
      <c r="F142" s="323"/>
      <c r="G142" s="354">
        <v>45785</v>
      </c>
      <c r="H142" s="323"/>
      <c r="I142" s="323"/>
      <c r="J142" s="323"/>
      <c r="K142" s="323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C142" s="323"/>
      <c r="AD142" s="323"/>
      <c r="AE142" s="323"/>
      <c r="AF142" s="323"/>
      <c r="AG142" s="323"/>
      <c r="AH142" s="323"/>
      <c r="AI142" s="323"/>
      <c r="AJ142" s="323"/>
      <c r="AK142" s="323"/>
      <c r="AL142" s="323"/>
      <c r="AM142" s="326">
        <f t="shared" si="5"/>
        <v>324</v>
      </c>
      <c r="AN142" s="327">
        <f t="shared" si="6"/>
        <v>1.1851284959999999</v>
      </c>
      <c r="AO142" s="323"/>
      <c r="AP142" s="323"/>
      <c r="AQ142" s="328"/>
    </row>
    <row r="143" spans="1:43">
      <c r="A143" s="351" t="s">
        <v>205</v>
      </c>
      <c r="B143" s="323">
        <v>5</v>
      </c>
      <c r="C143" s="323">
        <v>600</v>
      </c>
      <c r="D143" s="323">
        <v>1220</v>
      </c>
      <c r="E143" s="323">
        <v>400</v>
      </c>
      <c r="F143" s="323"/>
      <c r="G143" s="354">
        <v>45785</v>
      </c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C143" s="323"/>
      <c r="AD143" s="323"/>
      <c r="AE143" s="323"/>
      <c r="AF143" s="323"/>
      <c r="AG143" s="323"/>
      <c r="AH143" s="323"/>
      <c r="AI143" s="323"/>
      <c r="AJ143" s="323"/>
      <c r="AK143" s="323"/>
      <c r="AL143" s="323"/>
      <c r="AM143" s="326">
        <f t="shared" si="5"/>
        <v>400</v>
      </c>
      <c r="AN143" s="327">
        <f t="shared" si="6"/>
        <v>1.464</v>
      </c>
      <c r="AO143" s="323"/>
      <c r="AP143" s="323"/>
      <c r="AQ143" s="328"/>
    </row>
    <row r="144" spans="1:43">
      <c r="A144" s="351" t="s">
        <v>205</v>
      </c>
      <c r="B144" s="323">
        <v>5</v>
      </c>
      <c r="C144" s="323">
        <v>600</v>
      </c>
      <c r="D144" s="323">
        <v>1220</v>
      </c>
      <c r="E144" s="323">
        <v>400</v>
      </c>
      <c r="F144" s="323"/>
      <c r="G144" s="354">
        <v>45785</v>
      </c>
      <c r="H144" s="323"/>
      <c r="I144" s="323"/>
      <c r="J144" s="323"/>
      <c r="K144" s="323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C144" s="323"/>
      <c r="AD144" s="323"/>
      <c r="AE144" s="323"/>
      <c r="AF144" s="323"/>
      <c r="AG144" s="323"/>
      <c r="AH144" s="323"/>
      <c r="AI144" s="323"/>
      <c r="AJ144" s="323"/>
      <c r="AK144" s="323"/>
      <c r="AL144" s="323"/>
      <c r="AM144" s="326">
        <f t="shared" si="5"/>
        <v>400</v>
      </c>
      <c r="AN144" s="327">
        <f t="shared" si="6"/>
        <v>1.464</v>
      </c>
      <c r="AO144" s="323"/>
      <c r="AP144" s="323"/>
      <c r="AQ144" s="328"/>
    </row>
    <row r="145" spans="1:43">
      <c r="A145" s="351" t="s">
        <v>205</v>
      </c>
      <c r="B145" s="323">
        <v>1110</v>
      </c>
      <c r="C145" s="323">
        <v>760</v>
      </c>
      <c r="D145" s="323">
        <v>1070</v>
      </c>
      <c r="E145" s="323">
        <v>1</v>
      </c>
      <c r="F145" s="323"/>
      <c r="G145" s="354">
        <v>45785</v>
      </c>
      <c r="H145" s="323"/>
      <c r="I145" s="323"/>
      <c r="J145" s="323"/>
      <c r="K145" s="323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  <c r="AE145" s="323"/>
      <c r="AF145" s="323"/>
      <c r="AG145" s="323"/>
      <c r="AH145" s="323"/>
      <c r="AI145" s="323"/>
      <c r="AJ145" s="323"/>
      <c r="AK145" s="323"/>
      <c r="AL145" s="323"/>
      <c r="AM145" s="326">
        <f t="shared" si="5"/>
        <v>1</v>
      </c>
      <c r="AN145" s="327">
        <f t="shared" si="6"/>
        <v>0.90265200000000001</v>
      </c>
      <c r="AO145" s="323"/>
      <c r="AP145" s="323"/>
      <c r="AQ145" s="328"/>
    </row>
    <row r="146" spans="1:43">
      <c r="A146" s="351" t="s">
        <v>205</v>
      </c>
      <c r="B146" s="323">
        <v>930</v>
      </c>
      <c r="C146" s="323">
        <v>760</v>
      </c>
      <c r="D146" s="323">
        <v>1220</v>
      </c>
      <c r="E146" s="323">
        <v>1</v>
      </c>
      <c r="F146" s="323"/>
      <c r="G146" s="354">
        <v>45785</v>
      </c>
      <c r="H146" s="323"/>
      <c r="I146" s="323"/>
      <c r="J146" s="323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3"/>
      <c r="AE146" s="323"/>
      <c r="AF146" s="323"/>
      <c r="AG146" s="323"/>
      <c r="AH146" s="323"/>
      <c r="AI146" s="323"/>
      <c r="AJ146" s="323"/>
      <c r="AK146" s="323"/>
      <c r="AL146" s="323"/>
      <c r="AM146" s="326">
        <f t="shared" si="5"/>
        <v>1</v>
      </c>
      <c r="AN146" s="327">
        <f t="shared" si="6"/>
        <v>0.86229599999999995</v>
      </c>
      <c r="AO146" s="323"/>
      <c r="AP146" s="323"/>
      <c r="AQ146" s="328"/>
    </row>
    <row r="147" spans="1:43">
      <c r="A147" s="351" t="s">
        <v>205</v>
      </c>
      <c r="B147" s="323">
        <v>740</v>
      </c>
      <c r="C147" s="323">
        <v>760</v>
      </c>
      <c r="D147" s="323">
        <v>1070</v>
      </c>
      <c r="E147" s="323">
        <v>1</v>
      </c>
      <c r="F147" s="323"/>
      <c r="G147" s="354">
        <v>45785</v>
      </c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3"/>
      <c r="AE147" s="323"/>
      <c r="AF147" s="323"/>
      <c r="AG147" s="323"/>
      <c r="AH147" s="323"/>
      <c r="AI147" s="323"/>
      <c r="AJ147" s="323"/>
      <c r="AK147" s="323"/>
      <c r="AL147" s="323"/>
      <c r="AM147" s="326">
        <f t="shared" si="5"/>
        <v>1</v>
      </c>
      <c r="AN147" s="327">
        <f t="shared" si="6"/>
        <v>0.60176799999999997</v>
      </c>
      <c r="AO147" s="323"/>
      <c r="AP147" s="323"/>
      <c r="AQ147" s="328"/>
    </row>
    <row r="148" spans="1:43">
      <c r="A148" s="351" t="s">
        <v>205</v>
      </c>
      <c r="B148" s="323">
        <v>650</v>
      </c>
      <c r="C148" s="323">
        <v>760</v>
      </c>
      <c r="D148" s="323">
        <v>1220</v>
      </c>
      <c r="E148" s="323">
        <v>1</v>
      </c>
      <c r="F148" s="323"/>
      <c r="G148" s="354">
        <v>45785</v>
      </c>
      <c r="H148" s="323"/>
      <c r="I148" s="323"/>
      <c r="J148" s="323"/>
      <c r="K148" s="323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C148" s="323"/>
      <c r="AD148" s="323"/>
      <c r="AE148" s="323"/>
      <c r="AF148" s="323"/>
      <c r="AG148" s="323"/>
      <c r="AH148" s="323"/>
      <c r="AI148" s="323"/>
      <c r="AJ148" s="323"/>
      <c r="AK148" s="323"/>
      <c r="AL148" s="323"/>
      <c r="AM148" s="326">
        <f t="shared" si="5"/>
        <v>1</v>
      </c>
      <c r="AN148" s="327">
        <f t="shared" si="6"/>
        <v>0.60267999999999999</v>
      </c>
      <c r="AO148" s="323"/>
      <c r="AP148" s="323"/>
      <c r="AQ148" s="328"/>
    </row>
    <row r="149" spans="1:43">
      <c r="A149" s="351" t="s">
        <v>205</v>
      </c>
      <c r="B149" s="323">
        <v>850</v>
      </c>
      <c r="C149" s="323">
        <v>760</v>
      </c>
      <c r="D149" s="323">
        <v>1070</v>
      </c>
      <c r="E149" s="323">
        <v>1</v>
      </c>
      <c r="F149" s="323"/>
      <c r="G149" s="354">
        <v>45785</v>
      </c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  <c r="AB149" s="323"/>
      <c r="AC149" s="323"/>
      <c r="AD149" s="323"/>
      <c r="AE149" s="323"/>
      <c r="AF149" s="323"/>
      <c r="AG149" s="323"/>
      <c r="AH149" s="323"/>
      <c r="AI149" s="323"/>
      <c r="AJ149" s="323"/>
      <c r="AK149" s="323"/>
      <c r="AL149" s="323"/>
      <c r="AM149" s="326">
        <f t="shared" si="5"/>
        <v>1</v>
      </c>
      <c r="AN149" s="327">
        <f t="shared" si="6"/>
        <v>0.69121999999999995</v>
      </c>
      <c r="AO149" s="323"/>
      <c r="AP149" s="323"/>
      <c r="AQ149" s="328"/>
    </row>
    <row r="150" spans="1:43">
      <c r="A150" s="351" t="s">
        <v>205</v>
      </c>
      <c r="B150" s="323">
        <v>18</v>
      </c>
      <c r="C150" s="323">
        <v>555</v>
      </c>
      <c r="D150" s="323">
        <v>1220</v>
      </c>
      <c r="E150" s="323">
        <v>114</v>
      </c>
      <c r="F150" s="323"/>
      <c r="G150" s="354">
        <v>45785</v>
      </c>
      <c r="H150" s="323"/>
      <c r="I150" s="323"/>
      <c r="J150" s="323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3"/>
      <c r="AE150" s="323"/>
      <c r="AF150" s="323"/>
      <c r="AG150" s="323"/>
      <c r="AH150" s="323"/>
      <c r="AI150" s="323"/>
      <c r="AJ150" s="323"/>
      <c r="AK150" s="323"/>
      <c r="AL150" s="323"/>
      <c r="AM150" s="326">
        <f t="shared" si="5"/>
        <v>114</v>
      </c>
      <c r="AN150" s="327">
        <f t="shared" si="6"/>
        <v>1.3894092</v>
      </c>
      <c r="AO150" s="323"/>
      <c r="AP150" s="323"/>
      <c r="AQ150" s="328"/>
    </row>
    <row r="151" spans="1:43">
      <c r="A151" s="351" t="s">
        <v>184</v>
      </c>
      <c r="B151" s="323">
        <v>15.9</v>
      </c>
      <c r="C151" s="323">
        <v>445</v>
      </c>
      <c r="D151" s="323">
        <v>100</v>
      </c>
      <c r="E151" s="323">
        <v>850</v>
      </c>
      <c r="F151" s="323"/>
      <c r="G151" s="354">
        <v>45772</v>
      </c>
      <c r="H151" s="323"/>
      <c r="I151" s="323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3"/>
      <c r="AE151" s="323"/>
      <c r="AF151" s="323"/>
      <c r="AG151" s="323"/>
      <c r="AH151" s="323"/>
      <c r="AI151" s="323"/>
      <c r="AJ151" s="323"/>
      <c r="AK151" s="323"/>
      <c r="AL151" s="323"/>
      <c r="AM151" s="326">
        <f t="shared" si="5"/>
        <v>850</v>
      </c>
      <c r="AN151" s="327">
        <f t="shared" si="6"/>
        <v>0.60141750000000005</v>
      </c>
      <c r="AO151" s="327">
        <v>0.42</v>
      </c>
      <c r="AP151" s="327"/>
      <c r="AQ151" s="328">
        <f t="shared" ref="AQ151:AQ161" si="7">AM151*AO151*33.8783</f>
        <v>12094.553100000001</v>
      </c>
    </row>
    <row r="152" spans="1:43">
      <c r="A152" s="351" t="s">
        <v>184</v>
      </c>
      <c r="B152" s="323">
        <v>15.9</v>
      </c>
      <c r="C152" s="323">
        <v>850</v>
      </c>
      <c r="D152" s="323">
        <v>102</v>
      </c>
      <c r="E152" s="323">
        <v>220</v>
      </c>
      <c r="F152" s="323"/>
      <c r="G152" s="354">
        <v>45772</v>
      </c>
      <c r="H152" s="323"/>
      <c r="I152" s="323"/>
      <c r="J152" s="323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C152" s="323"/>
      <c r="AD152" s="323"/>
      <c r="AE152" s="323"/>
      <c r="AF152" s="323"/>
      <c r="AG152" s="323"/>
      <c r="AH152" s="323"/>
      <c r="AI152" s="323"/>
      <c r="AJ152" s="323"/>
      <c r="AK152" s="323"/>
      <c r="AL152" s="323"/>
      <c r="AM152" s="326">
        <f t="shared" si="5"/>
        <v>220</v>
      </c>
      <c r="AN152" s="327">
        <f t="shared" si="6"/>
        <v>0.30327660000000001</v>
      </c>
      <c r="AO152" s="327">
        <v>0.45</v>
      </c>
      <c r="AP152" s="327"/>
      <c r="AQ152" s="328">
        <f t="shared" si="7"/>
        <v>3353.9517000000001</v>
      </c>
    </row>
    <row r="153" spans="1:43">
      <c r="A153" s="351" t="s">
        <v>184</v>
      </c>
      <c r="B153" s="323">
        <v>15.9</v>
      </c>
      <c r="C153" s="323">
        <v>775</v>
      </c>
      <c r="D153" s="323">
        <v>102</v>
      </c>
      <c r="E153" s="323">
        <v>86</v>
      </c>
      <c r="F153" s="323"/>
      <c r="G153" s="354">
        <v>45772</v>
      </c>
      <c r="H153" s="323"/>
      <c r="I153" s="323"/>
      <c r="J153" s="323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C153" s="323"/>
      <c r="AD153" s="323"/>
      <c r="AE153" s="323"/>
      <c r="AF153" s="323"/>
      <c r="AG153" s="323"/>
      <c r="AH153" s="323"/>
      <c r="AI153" s="323"/>
      <c r="AJ153" s="323"/>
      <c r="AK153" s="323"/>
      <c r="AL153" s="323"/>
      <c r="AM153" s="326">
        <f t="shared" si="5"/>
        <v>86</v>
      </c>
      <c r="AN153" s="327">
        <f t="shared" si="6"/>
        <v>0.10809297</v>
      </c>
      <c r="AO153" s="327">
        <v>0.94</v>
      </c>
      <c r="AP153" s="327"/>
      <c r="AQ153" s="328">
        <f t="shared" si="7"/>
        <v>2738.7217719999999</v>
      </c>
    </row>
    <row r="154" spans="1:43">
      <c r="A154" s="351" t="s">
        <v>184</v>
      </c>
      <c r="B154" s="323">
        <v>15.9</v>
      </c>
      <c r="C154" s="323">
        <v>305</v>
      </c>
      <c r="D154" s="323">
        <v>102</v>
      </c>
      <c r="E154" s="323">
        <v>120</v>
      </c>
      <c r="F154" s="323"/>
      <c r="G154" s="354">
        <v>45772</v>
      </c>
      <c r="H154" s="323"/>
      <c r="I154" s="323"/>
      <c r="J154" s="323"/>
      <c r="K154" s="323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C154" s="323"/>
      <c r="AD154" s="323"/>
      <c r="AE154" s="323"/>
      <c r="AF154" s="323"/>
      <c r="AG154" s="323"/>
      <c r="AH154" s="323"/>
      <c r="AI154" s="323"/>
      <c r="AJ154" s="323"/>
      <c r="AK154" s="323"/>
      <c r="AL154" s="323"/>
      <c r="AM154" s="326">
        <f t="shared" si="5"/>
        <v>120</v>
      </c>
      <c r="AN154" s="327">
        <f t="shared" si="6"/>
        <v>5.9357880000000002E-2</v>
      </c>
      <c r="AO154" s="327">
        <v>0.37</v>
      </c>
      <c r="AP154" s="327"/>
      <c r="AQ154" s="328">
        <f t="shared" si="7"/>
        <v>1504.1965200000002</v>
      </c>
    </row>
    <row r="155" spans="1:43">
      <c r="A155" s="351" t="s">
        <v>184</v>
      </c>
      <c r="B155" s="323">
        <v>15.9</v>
      </c>
      <c r="C155" s="323">
        <v>1220</v>
      </c>
      <c r="D155" s="323">
        <v>151</v>
      </c>
      <c r="E155" s="323">
        <v>18</v>
      </c>
      <c r="F155" s="323"/>
      <c r="G155" s="354">
        <v>45772</v>
      </c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  <c r="AB155" s="323"/>
      <c r="AC155" s="323"/>
      <c r="AD155" s="323"/>
      <c r="AE155" s="323"/>
      <c r="AF155" s="323"/>
      <c r="AG155" s="323"/>
      <c r="AH155" s="323"/>
      <c r="AI155" s="323"/>
      <c r="AJ155" s="323"/>
      <c r="AK155" s="323"/>
      <c r="AL155" s="323"/>
      <c r="AM155" s="326">
        <f t="shared" si="5"/>
        <v>18</v>
      </c>
      <c r="AN155" s="327">
        <f t="shared" si="6"/>
        <v>5.2723763999999999E-2</v>
      </c>
      <c r="AO155" s="327">
        <v>0.42</v>
      </c>
      <c r="AP155" s="327"/>
      <c r="AQ155" s="328">
        <f t="shared" si="7"/>
        <v>256.11994800000002</v>
      </c>
    </row>
    <row r="156" spans="1:43">
      <c r="A156" s="351" t="s">
        <v>184</v>
      </c>
      <c r="B156" s="323">
        <v>15.9</v>
      </c>
      <c r="C156" s="323">
        <v>940</v>
      </c>
      <c r="D156" s="323">
        <v>151</v>
      </c>
      <c r="E156" s="323">
        <v>28</v>
      </c>
      <c r="F156" s="323"/>
      <c r="G156" s="354">
        <v>45772</v>
      </c>
      <c r="H156" s="323"/>
      <c r="I156" s="323"/>
      <c r="J156" s="323"/>
      <c r="K156" s="323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3"/>
      <c r="AE156" s="323"/>
      <c r="AF156" s="323"/>
      <c r="AG156" s="323"/>
      <c r="AH156" s="323"/>
      <c r="AI156" s="323"/>
      <c r="AJ156" s="323"/>
      <c r="AK156" s="323"/>
      <c r="AL156" s="323"/>
      <c r="AM156" s="326">
        <f t="shared" si="5"/>
        <v>28</v>
      </c>
      <c r="AN156" s="327">
        <f t="shared" si="6"/>
        <v>6.3191687999999996E-2</v>
      </c>
      <c r="AO156" s="327">
        <v>0.35</v>
      </c>
      <c r="AP156" s="327"/>
      <c r="AQ156" s="328">
        <f t="shared" si="7"/>
        <v>332.00734</v>
      </c>
    </row>
    <row r="157" spans="1:43">
      <c r="A157" s="351" t="s">
        <v>184</v>
      </c>
      <c r="B157" s="323">
        <v>15.9</v>
      </c>
      <c r="C157" s="323">
        <v>890</v>
      </c>
      <c r="D157" s="323">
        <v>156</v>
      </c>
      <c r="E157" s="323">
        <v>105</v>
      </c>
      <c r="F157" s="323"/>
      <c r="G157" s="354">
        <v>45772</v>
      </c>
      <c r="H157" s="323"/>
      <c r="I157" s="323"/>
      <c r="J157" s="323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3"/>
      <c r="AE157" s="323"/>
      <c r="AF157" s="323"/>
      <c r="AG157" s="323"/>
      <c r="AH157" s="323"/>
      <c r="AI157" s="323"/>
      <c r="AJ157" s="323"/>
      <c r="AK157" s="323"/>
      <c r="AL157" s="323"/>
      <c r="AM157" s="326">
        <f t="shared" si="5"/>
        <v>105</v>
      </c>
      <c r="AN157" s="327">
        <f t="shared" si="6"/>
        <v>0.23179337999999999</v>
      </c>
      <c r="AO157" s="327">
        <v>0.95</v>
      </c>
      <c r="AP157" s="327"/>
      <c r="AQ157" s="328">
        <f t="shared" si="7"/>
        <v>3379.3604250000003</v>
      </c>
    </row>
    <row r="158" spans="1:43">
      <c r="A158" s="351" t="s">
        <v>184</v>
      </c>
      <c r="B158" s="323">
        <v>15.9</v>
      </c>
      <c r="C158" s="323">
        <v>270</v>
      </c>
      <c r="D158" s="323">
        <v>106</v>
      </c>
      <c r="E158" s="323">
        <v>370</v>
      </c>
      <c r="F158" s="323"/>
      <c r="G158" s="354">
        <v>45772</v>
      </c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  <c r="AB158" s="323"/>
      <c r="AC158" s="323"/>
      <c r="AD158" s="323"/>
      <c r="AE158" s="323"/>
      <c r="AF158" s="323"/>
      <c r="AG158" s="323"/>
      <c r="AH158" s="323"/>
      <c r="AI158" s="323"/>
      <c r="AJ158" s="323"/>
      <c r="AK158" s="323"/>
      <c r="AL158" s="323"/>
      <c r="AM158" s="326">
        <f t="shared" si="5"/>
        <v>370</v>
      </c>
      <c r="AN158" s="327">
        <f t="shared" si="6"/>
        <v>0.16837146</v>
      </c>
      <c r="AO158" s="327">
        <v>0.34</v>
      </c>
      <c r="AP158" s="327"/>
      <c r="AQ158" s="328">
        <f t="shared" si="7"/>
        <v>4261.8901400000004</v>
      </c>
    </row>
    <row r="159" spans="1:43">
      <c r="A159" s="351" t="s">
        <v>184</v>
      </c>
      <c r="B159" s="323">
        <v>15.9</v>
      </c>
      <c r="C159" s="323">
        <v>400</v>
      </c>
      <c r="D159" s="323">
        <v>106</v>
      </c>
      <c r="E159" s="323">
        <v>195</v>
      </c>
      <c r="F159" s="323"/>
      <c r="G159" s="354">
        <v>45772</v>
      </c>
      <c r="H159" s="323"/>
      <c r="I159" s="323"/>
      <c r="J159" s="323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  <c r="AB159" s="323"/>
      <c r="AC159" s="323"/>
      <c r="AD159" s="323"/>
      <c r="AE159" s="323"/>
      <c r="AF159" s="323"/>
      <c r="AG159" s="323"/>
      <c r="AH159" s="323"/>
      <c r="AI159" s="323"/>
      <c r="AJ159" s="323"/>
      <c r="AK159" s="323"/>
      <c r="AL159" s="323"/>
      <c r="AM159" s="326">
        <f t="shared" si="5"/>
        <v>195</v>
      </c>
      <c r="AN159" s="327">
        <f t="shared" si="6"/>
        <v>0.1314612</v>
      </c>
      <c r="AO159" s="327">
        <v>0.51</v>
      </c>
      <c r="AP159" s="327"/>
      <c r="AQ159" s="328">
        <f t="shared" si="7"/>
        <v>3369.1969350000004</v>
      </c>
    </row>
    <row r="160" spans="1:43">
      <c r="A160" s="351" t="s">
        <v>184</v>
      </c>
      <c r="B160" s="323">
        <v>15.9</v>
      </c>
      <c r="C160" s="323">
        <v>540</v>
      </c>
      <c r="D160" s="323">
        <v>106</v>
      </c>
      <c r="E160" s="323">
        <v>21</v>
      </c>
      <c r="F160" s="323"/>
      <c r="G160" s="354">
        <v>45772</v>
      </c>
      <c r="H160" s="323"/>
      <c r="I160" s="323"/>
      <c r="J160" s="323"/>
      <c r="K160" s="323"/>
      <c r="L160" s="323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  <c r="AB160" s="323"/>
      <c r="AC160" s="323"/>
      <c r="AD160" s="323"/>
      <c r="AE160" s="323"/>
      <c r="AF160" s="323"/>
      <c r="AG160" s="323"/>
      <c r="AH160" s="323"/>
      <c r="AI160" s="323"/>
      <c r="AJ160" s="323"/>
      <c r="AK160" s="323"/>
      <c r="AL160" s="323"/>
      <c r="AM160" s="326">
        <f t="shared" si="5"/>
        <v>21</v>
      </c>
      <c r="AN160" s="327">
        <f t="shared" si="6"/>
        <v>1.9112436E-2</v>
      </c>
      <c r="AO160" s="327">
        <v>0.68</v>
      </c>
      <c r="AP160" s="327"/>
      <c r="AQ160" s="328">
        <f t="shared" si="7"/>
        <v>483.78212400000007</v>
      </c>
    </row>
    <row r="161" spans="1:43">
      <c r="A161" s="351" t="s">
        <v>184</v>
      </c>
      <c r="B161" s="323">
        <v>15.9</v>
      </c>
      <c r="C161" s="323">
        <v>310</v>
      </c>
      <c r="D161" s="323">
        <v>156</v>
      </c>
      <c r="E161" s="323">
        <v>93</v>
      </c>
      <c r="F161" s="323"/>
      <c r="G161" s="354">
        <v>45772</v>
      </c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  <c r="AB161" s="323"/>
      <c r="AC161" s="323"/>
      <c r="AD161" s="323"/>
      <c r="AE161" s="323"/>
      <c r="AF161" s="323"/>
      <c r="AG161" s="323"/>
      <c r="AH161" s="323"/>
      <c r="AI161" s="323"/>
      <c r="AJ161" s="323"/>
      <c r="AK161" s="323"/>
      <c r="AL161" s="323"/>
      <c r="AM161" s="326">
        <f t="shared" si="5"/>
        <v>93</v>
      </c>
      <c r="AN161" s="327">
        <f t="shared" si="6"/>
        <v>7.1509931999999998E-2</v>
      </c>
      <c r="AO161" s="327">
        <v>0.57999999999999996</v>
      </c>
      <c r="AP161" s="327"/>
      <c r="AQ161" s="328">
        <f t="shared" si="7"/>
        <v>1827.3955020000001</v>
      </c>
    </row>
    <row r="162" spans="1:43">
      <c r="A162" s="351" t="s">
        <v>184</v>
      </c>
      <c r="B162" s="323">
        <v>15.9</v>
      </c>
      <c r="C162" s="323">
        <v>100</v>
      </c>
      <c r="D162" s="323">
        <v>445</v>
      </c>
      <c r="E162" s="323">
        <v>1130</v>
      </c>
      <c r="F162" s="323"/>
      <c r="G162" s="354">
        <v>45780</v>
      </c>
      <c r="H162" s="323"/>
      <c r="I162" s="323"/>
      <c r="J162" s="323"/>
      <c r="K162" s="323"/>
      <c r="L162" s="323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>
        <v>850</v>
      </c>
      <c r="Y162" s="323"/>
      <c r="Z162" s="323"/>
      <c r="AA162" s="323"/>
      <c r="AB162" s="323"/>
      <c r="AC162" s="323"/>
      <c r="AD162" s="323"/>
      <c r="AE162" s="323"/>
      <c r="AF162" s="323"/>
      <c r="AG162" s="323"/>
      <c r="AH162" s="323"/>
      <c r="AI162" s="323"/>
      <c r="AJ162" s="323"/>
      <c r="AK162" s="323"/>
      <c r="AL162" s="323"/>
      <c r="AM162" s="326">
        <f t="shared" si="5"/>
        <v>280</v>
      </c>
      <c r="AN162" s="327">
        <f t="shared" si="6"/>
        <v>0.19811400000000001</v>
      </c>
      <c r="AO162" s="327"/>
      <c r="AP162" s="327"/>
      <c r="AQ162" s="328"/>
    </row>
    <row r="163" spans="1:43">
      <c r="A163" s="351" t="s">
        <v>184</v>
      </c>
      <c r="B163" s="323">
        <v>15.9</v>
      </c>
      <c r="C163" s="323">
        <v>100</v>
      </c>
      <c r="D163" s="323">
        <v>445</v>
      </c>
      <c r="E163" s="323">
        <v>1230</v>
      </c>
      <c r="F163" s="323"/>
      <c r="G163" s="354">
        <v>45780</v>
      </c>
      <c r="H163" s="323"/>
      <c r="I163" s="323"/>
      <c r="J163" s="323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  <c r="AB163" s="323"/>
      <c r="AC163" s="323"/>
      <c r="AD163" s="323"/>
      <c r="AE163" s="323"/>
      <c r="AF163" s="323"/>
      <c r="AG163" s="323"/>
      <c r="AH163" s="323"/>
      <c r="AI163" s="323"/>
      <c r="AJ163" s="323"/>
      <c r="AK163" s="323"/>
      <c r="AL163" s="323"/>
      <c r="AM163" s="326">
        <f t="shared" si="5"/>
        <v>1230</v>
      </c>
      <c r="AN163" s="327">
        <f t="shared" si="6"/>
        <v>0.87028649999999996</v>
      </c>
      <c r="AO163" s="327"/>
      <c r="AP163" s="327"/>
      <c r="AQ163" s="328"/>
    </row>
    <row r="164" spans="1:43">
      <c r="A164" s="351" t="s">
        <v>184</v>
      </c>
      <c r="B164" s="323">
        <v>15.9</v>
      </c>
      <c r="C164" s="323">
        <v>102</v>
      </c>
      <c r="D164" s="323">
        <v>521.70000000000005</v>
      </c>
      <c r="E164" s="323">
        <v>550</v>
      </c>
      <c r="F164" s="323"/>
      <c r="G164" s="354">
        <v>45780</v>
      </c>
      <c r="H164" s="323"/>
      <c r="I164" s="323"/>
      <c r="J164" s="323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  <c r="AB164" s="323"/>
      <c r="AC164" s="323"/>
      <c r="AD164" s="323"/>
      <c r="AE164" s="323"/>
      <c r="AF164" s="323"/>
      <c r="AG164" s="323"/>
      <c r="AH164" s="323"/>
      <c r="AI164" s="323"/>
      <c r="AJ164" s="323"/>
      <c r="AK164" s="323"/>
      <c r="AL164" s="323"/>
      <c r="AM164" s="326">
        <f t="shared" si="5"/>
        <v>550</v>
      </c>
      <c r="AN164" s="327">
        <f t="shared" si="6"/>
        <v>0.46535118300000006</v>
      </c>
      <c r="AO164" s="327"/>
      <c r="AP164" s="327"/>
      <c r="AQ164" s="328"/>
    </row>
    <row r="165" spans="1:43">
      <c r="A165" s="351" t="s">
        <v>184</v>
      </c>
      <c r="B165" s="323">
        <v>15.9</v>
      </c>
      <c r="C165" s="323">
        <v>100</v>
      </c>
      <c r="D165" s="323">
        <v>447</v>
      </c>
      <c r="E165" s="323">
        <v>1000</v>
      </c>
      <c r="F165" s="323"/>
      <c r="G165" s="354">
        <v>45780</v>
      </c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323"/>
      <c r="AB165" s="323"/>
      <c r="AC165" s="323"/>
      <c r="AD165" s="323"/>
      <c r="AE165" s="323"/>
      <c r="AF165" s="323"/>
      <c r="AG165" s="323"/>
      <c r="AH165" s="323"/>
      <c r="AI165" s="323"/>
      <c r="AJ165" s="323"/>
      <c r="AK165" s="323"/>
      <c r="AL165" s="323"/>
      <c r="AM165" s="326">
        <f t="shared" si="5"/>
        <v>1000</v>
      </c>
      <c r="AN165" s="327">
        <f t="shared" si="6"/>
        <v>0.71072999999999997</v>
      </c>
      <c r="AO165" s="327"/>
      <c r="AP165" s="327"/>
      <c r="AQ165" s="328"/>
    </row>
    <row r="166" spans="1:43">
      <c r="A166" s="351" t="s">
        <v>184</v>
      </c>
      <c r="B166" s="323">
        <v>15.9</v>
      </c>
      <c r="C166" s="323">
        <v>103</v>
      </c>
      <c r="D166" s="323">
        <v>510</v>
      </c>
      <c r="E166" s="323">
        <v>590</v>
      </c>
      <c r="F166" s="323"/>
      <c r="G166" s="354">
        <v>45780</v>
      </c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  <c r="AB166" s="323"/>
      <c r="AC166" s="323"/>
      <c r="AD166" s="323"/>
      <c r="AE166" s="323"/>
      <c r="AF166" s="323"/>
      <c r="AG166" s="323"/>
      <c r="AH166" s="323"/>
      <c r="AI166" s="323"/>
      <c r="AJ166" s="323"/>
      <c r="AK166" s="323"/>
      <c r="AL166" s="323"/>
      <c r="AM166" s="326">
        <f t="shared" si="5"/>
        <v>590</v>
      </c>
      <c r="AN166" s="327">
        <f t="shared" si="6"/>
        <v>0.49278392999999998</v>
      </c>
      <c r="AO166" s="327"/>
      <c r="AP166" s="327"/>
      <c r="AQ166" s="328"/>
    </row>
    <row r="167" spans="1:43">
      <c r="A167" s="351" t="s">
        <v>184</v>
      </c>
      <c r="B167" s="323">
        <v>15.9</v>
      </c>
      <c r="C167" s="323">
        <v>96</v>
      </c>
      <c r="D167" s="323">
        <v>465</v>
      </c>
      <c r="E167" s="323">
        <v>510</v>
      </c>
      <c r="F167" s="323"/>
      <c r="G167" s="354">
        <v>45780</v>
      </c>
      <c r="H167" s="323"/>
      <c r="I167" s="323"/>
      <c r="J167" s="323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  <c r="AB167" s="323"/>
      <c r="AC167" s="323"/>
      <c r="AD167" s="323"/>
      <c r="AE167" s="323"/>
      <c r="AF167" s="323"/>
      <c r="AG167" s="323"/>
      <c r="AH167" s="323"/>
      <c r="AI167" s="323"/>
      <c r="AJ167" s="323"/>
      <c r="AK167" s="323"/>
      <c r="AL167" s="323"/>
      <c r="AM167" s="326">
        <f t="shared" si="5"/>
        <v>510</v>
      </c>
      <c r="AN167" s="327">
        <f t="shared" si="6"/>
        <v>0.36198575999999999</v>
      </c>
      <c r="AO167" s="327"/>
      <c r="AP167" s="327"/>
      <c r="AQ167" s="328"/>
    </row>
    <row r="168" spans="1:43">
      <c r="A168" s="351" t="s">
        <v>184</v>
      </c>
      <c r="B168" s="323">
        <v>15.9</v>
      </c>
      <c r="C168" s="323">
        <v>156</v>
      </c>
      <c r="D168" s="323">
        <v>930</v>
      </c>
      <c r="E168" s="323">
        <v>73</v>
      </c>
      <c r="F168" s="323"/>
      <c r="G168" s="354">
        <v>45780</v>
      </c>
      <c r="H168" s="323"/>
      <c r="I168" s="323"/>
      <c r="J168" s="323"/>
      <c r="K168" s="323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  <c r="AB168" s="323"/>
      <c r="AC168" s="323"/>
      <c r="AD168" s="323"/>
      <c r="AE168" s="323"/>
      <c r="AF168" s="323"/>
      <c r="AG168" s="323"/>
      <c r="AH168" s="323"/>
      <c r="AI168" s="323"/>
      <c r="AJ168" s="323"/>
      <c r="AK168" s="323"/>
      <c r="AL168" s="323"/>
      <c r="AM168" s="326">
        <f t="shared" si="5"/>
        <v>73</v>
      </c>
      <c r="AN168" s="327">
        <f t="shared" si="6"/>
        <v>0.168394356</v>
      </c>
      <c r="AO168" s="327"/>
      <c r="AP168" s="327"/>
      <c r="AQ168" s="328"/>
    </row>
    <row r="169" spans="1:43">
      <c r="A169" s="351" t="s">
        <v>184</v>
      </c>
      <c r="B169" s="323">
        <v>15.9</v>
      </c>
      <c r="C169" s="323">
        <v>155</v>
      </c>
      <c r="D169" s="323">
        <v>538</v>
      </c>
      <c r="E169" s="323">
        <v>215</v>
      </c>
      <c r="F169" s="323"/>
      <c r="G169" s="354">
        <v>45780</v>
      </c>
      <c r="H169" s="323"/>
      <c r="I169" s="323"/>
      <c r="J169" s="323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3"/>
      <c r="AE169" s="323"/>
      <c r="AF169" s="323"/>
      <c r="AG169" s="323"/>
      <c r="AH169" s="323"/>
      <c r="AI169" s="323"/>
      <c r="AJ169" s="323"/>
      <c r="AK169" s="323"/>
      <c r="AL169" s="323"/>
      <c r="AM169" s="326">
        <f t="shared" si="5"/>
        <v>215</v>
      </c>
      <c r="AN169" s="327">
        <f t="shared" si="6"/>
        <v>0.28506871499999997</v>
      </c>
      <c r="AO169" s="327"/>
      <c r="AP169" s="327"/>
      <c r="AQ169" s="328"/>
    </row>
    <row r="170" spans="1:43">
      <c r="A170" s="351" t="s">
        <v>184</v>
      </c>
      <c r="B170" s="323">
        <v>12.7</v>
      </c>
      <c r="C170" s="323">
        <v>107.95</v>
      </c>
      <c r="D170" s="323">
        <v>527.04999999999995</v>
      </c>
      <c r="E170" s="323">
        <v>600</v>
      </c>
      <c r="F170" s="323"/>
      <c r="G170" s="354">
        <v>45780</v>
      </c>
      <c r="H170" s="323"/>
      <c r="I170" s="323"/>
      <c r="J170" s="323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3"/>
      <c r="AE170" s="323"/>
      <c r="AF170" s="323"/>
      <c r="AG170" s="323"/>
      <c r="AH170" s="323"/>
      <c r="AI170" s="323"/>
      <c r="AJ170" s="323"/>
      <c r="AK170" s="323"/>
      <c r="AL170" s="323"/>
      <c r="AM170" s="326">
        <f t="shared" si="5"/>
        <v>600</v>
      </c>
      <c r="AN170" s="327">
        <f t="shared" si="6"/>
        <v>0.43354026194999995</v>
      </c>
      <c r="AO170" s="327"/>
      <c r="AP170" s="327"/>
      <c r="AQ170" s="328"/>
    </row>
    <row r="171" spans="1:43">
      <c r="A171" s="351" t="s">
        <v>184</v>
      </c>
      <c r="B171" s="323">
        <v>15.9</v>
      </c>
      <c r="C171" s="323">
        <v>155.6</v>
      </c>
      <c r="D171" s="323">
        <v>520.70000000000005</v>
      </c>
      <c r="E171" s="323">
        <v>40</v>
      </c>
      <c r="F171" s="323"/>
      <c r="G171" s="354">
        <v>45780</v>
      </c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3"/>
      <c r="AE171" s="323"/>
      <c r="AF171" s="323"/>
      <c r="AG171" s="323"/>
      <c r="AH171" s="323"/>
      <c r="AI171" s="323"/>
      <c r="AJ171" s="323"/>
      <c r="AK171" s="323"/>
      <c r="AL171" s="323"/>
      <c r="AM171" s="326">
        <f t="shared" si="5"/>
        <v>40</v>
      </c>
      <c r="AN171" s="327">
        <f t="shared" si="6"/>
        <v>5.1529305120000007E-2</v>
      </c>
      <c r="AO171" s="327"/>
      <c r="AP171" s="327"/>
      <c r="AQ171" s="328"/>
    </row>
    <row r="172" spans="1:43">
      <c r="A172" s="351" t="s">
        <v>184</v>
      </c>
      <c r="B172" s="323">
        <v>15.9</v>
      </c>
      <c r="C172" s="323">
        <v>550</v>
      </c>
      <c r="D172" s="323">
        <v>1100</v>
      </c>
      <c r="E172" s="323">
        <v>56</v>
      </c>
      <c r="F172" s="323"/>
      <c r="G172" s="354">
        <v>45787</v>
      </c>
      <c r="H172" s="323"/>
      <c r="I172" s="323"/>
      <c r="J172" s="323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/>
      <c r="AD172" s="323"/>
      <c r="AE172" s="323"/>
      <c r="AF172" s="323"/>
      <c r="AG172" s="323"/>
      <c r="AH172" s="323"/>
      <c r="AI172" s="323"/>
      <c r="AJ172" s="323"/>
      <c r="AK172" s="323"/>
      <c r="AL172" s="323"/>
      <c r="AM172" s="326">
        <f t="shared" si="5"/>
        <v>56</v>
      </c>
      <c r="AN172" s="327">
        <f t="shared" si="6"/>
        <v>0.53869199999999995</v>
      </c>
      <c r="AO172" s="323"/>
      <c r="AP172" s="323"/>
      <c r="AQ172" s="328"/>
    </row>
    <row r="173" spans="1:43">
      <c r="A173" s="351" t="s">
        <v>184</v>
      </c>
      <c r="B173" s="323">
        <v>13.2</v>
      </c>
      <c r="C173" s="323">
        <v>110</v>
      </c>
      <c r="D173" s="323">
        <v>1250</v>
      </c>
      <c r="E173" s="323">
        <v>240</v>
      </c>
      <c r="F173" s="323"/>
      <c r="G173" s="354">
        <v>45787</v>
      </c>
      <c r="H173" s="323"/>
      <c r="I173" s="323"/>
      <c r="J173" s="323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3"/>
      <c r="AE173" s="323"/>
      <c r="AF173" s="323"/>
      <c r="AG173" s="323"/>
      <c r="AH173" s="323"/>
      <c r="AI173" s="323"/>
      <c r="AJ173" s="323"/>
      <c r="AK173" s="323"/>
      <c r="AL173" s="323"/>
      <c r="AM173" s="326">
        <f t="shared" si="5"/>
        <v>240</v>
      </c>
      <c r="AN173" s="327">
        <f t="shared" si="6"/>
        <v>0.43559999999999999</v>
      </c>
      <c r="AO173" s="323"/>
      <c r="AP173" s="323"/>
      <c r="AQ173" s="328"/>
    </row>
    <row r="174" spans="1:43">
      <c r="A174" s="351" t="s">
        <v>184</v>
      </c>
      <c r="B174" s="323">
        <v>13</v>
      </c>
      <c r="C174" s="323">
        <v>261</v>
      </c>
      <c r="D174" s="323">
        <v>1220</v>
      </c>
      <c r="E174" s="323">
        <v>135</v>
      </c>
      <c r="F174" s="323"/>
      <c r="G174" s="354">
        <v>45787</v>
      </c>
      <c r="H174" s="323"/>
      <c r="I174" s="323"/>
      <c r="J174" s="323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  <c r="AB174" s="323"/>
      <c r="AC174" s="323"/>
      <c r="AD174" s="323"/>
      <c r="AE174" s="323"/>
      <c r="AF174" s="323"/>
      <c r="AG174" s="323"/>
      <c r="AH174" s="323"/>
      <c r="AI174" s="323"/>
      <c r="AJ174" s="323"/>
      <c r="AK174" s="323"/>
      <c r="AL174" s="323"/>
      <c r="AM174" s="326">
        <f t="shared" si="5"/>
        <v>135</v>
      </c>
      <c r="AN174" s="327">
        <f t="shared" si="6"/>
        <v>0.55882710000000002</v>
      </c>
      <c r="AO174" s="323"/>
      <c r="AP174" s="323"/>
      <c r="AQ174" s="328"/>
    </row>
    <row r="175" spans="1:43">
      <c r="A175" s="351" t="s">
        <v>184</v>
      </c>
      <c r="B175" s="323">
        <v>13.7</v>
      </c>
      <c r="C175" s="323">
        <v>212</v>
      </c>
      <c r="D175" s="323">
        <v>540</v>
      </c>
      <c r="E175" s="323">
        <v>490</v>
      </c>
      <c r="F175" s="323"/>
      <c r="G175" s="354">
        <v>45787</v>
      </c>
      <c r="H175" s="323"/>
      <c r="I175" s="323"/>
      <c r="J175" s="323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  <c r="AB175" s="323"/>
      <c r="AC175" s="323"/>
      <c r="AD175" s="323"/>
      <c r="AE175" s="323"/>
      <c r="AF175" s="323"/>
      <c r="AG175" s="323"/>
      <c r="AH175" s="323"/>
      <c r="AI175" s="323"/>
      <c r="AJ175" s="323"/>
      <c r="AK175" s="323"/>
      <c r="AL175" s="323"/>
      <c r="AM175" s="326">
        <f t="shared" si="5"/>
        <v>490</v>
      </c>
      <c r="AN175" s="327">
        <f t="shared" si="6"/>
        <v>0.76850423999999984</v>
      </c>
      <c r="AO175" s="323"/>
      <c r="AP175" s="323"/>
      <c r="AQ175" s="328"/>
    </row>
    <row r="176" spans="1:43">
      <c r="A176" s="351" t="s">
        <v>184</v>
      </c>
      <c r="B176" s="323">
        <v>13.7</v>
      </c>
      <c r="C176" s="323">
        <v>1080</v>
      </c>
      <c r="D176" s="323">
        <v>950</v>
      </c>
      <c r="E176" s="323">
        <v>18</v>
      </c>
      <c r="F176" s="323"/>
      <c r="G176" s="354">
        <v>45787</v>
      </c>
      <c r="H176" s="323"/>
      <c r="I176" s="323"/>
      <c r="J176" s="323"/>
      <c r="K176" s="323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  <c r="AB176" s="323"/>
      <c r="AC176" s="323"/>
      <c r="AD176" s="323"/>
      <c r="AE176" s="323"/>
      <c r="AF176" s="323"/>
      <c r="AG176" s="323"/>
      <c r="AH176" s="323"/>
      <c r="AI176" s="323"/>
      <c r="AJ176" s="323"/>
      <c r="AK176" s="323"/>
      <c r="AL176" s="323"/>
      <c r="AM176" s="326">
        <f t="shared" si="5"/>
        <v>18</v>
      </c>
      <c r="AN176" s="327">
        <f t="shared" si="6"/>
        <v>0.2530116</v>
      </c>
      <c r="AO176" s="323"/>
      <c r="AP176" s="323"/>
      <c r="AQ176" s="328"/>
    </row>
    <row r="177" spans="1:43">
      <c r="A177" s="351" t="s">
        <v>184</v>
      </c>
      <c r="B177" s="323">
        <v>13.7</v>
      </c>
      <c r="C177" s="323">
        <v>102</v>
      </c>
      <c r="D177" s="323">
        <v>460</v>
      </c>
      <c r="E177" s="323">
        <v>259</v>
      </c>
      <c r="F177" s="323"/>
      <c r="G177" s="354">
        <v>45787</v>
      </c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  <c r="AB177" s="323"/>
      <c r="AC177" s="323"/>
      <c r="AD177" s="323"/>
      <c r="AE177" s="323"/>
      <c r="AF177" s="323"/>
      <c r="AG177" s="323"/>
      <c r="AH177" s="323"/>
      <c r="AI177" s="323"/>
      <c r="AJ177" s="323"/>
      <c r="AK177" s="323"/>
      <c r="AL177" s="323"/>
      <c r="AM177" s="326">
        <f t="shared" si="5"/>
        <v>259</v>
      </c>
      <c r="AN177" s="327">
        <f t="shared" si="6"/>
        <v>0.16648623599999998</v>
      </c>
      <c r="AO177" s="323"/>
      <c r="AP177" s="323"/>
      <c r="AQ177" s="328"/>
    </row>
    <row r="178" spans="1:43">
      <c r="A178" s="351" t="s">
        <v>184</v>
      </c>
      <c r="B178" s="323">
        <v>15.9</v>
      </c>
      <c r="C178" s="323">
        <v>252</v>
      </c>
      <c r="D178" s="323">
        <v>521</v>
      </c>
      <c r="E178" s="323">
        <v>222</v>
      </c>
      <c r="F178" s="323"/>
      <c r="G178" s="354">
        <v>45787</v>
      </c>
      <c r="H178" s="323"/>
      <c r="I178" s="323"/>
      <c r="J178" s="323"/>
      <c r="K178" s="323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  <c r="AA178" s="323"/>
      <c r="AB178" s="323"/>
      <c r="AC178" s="323"/>
      <c r="AD178" s="323"/>
      <c r="AE178" s="323"/>
      <c r="AF178" s="323"/>
      <c r="AG178" s="323"/>
      <c r="AH178" s="323"/>
      <c r="AI178" s="323"/>
      <c r="AJ178" s="323"/>
      <c r="AK178" s="323"/>
      <c r="AL178" s="323"/>
      <c r="AM178" s="326">
        <f t="shared" si="5"/>
        <v>222</v>
      </c>
      <c r="AN178" s="327">
        <f t="shared" si="6"/>
        <v>0.46343450160000005</v>
      </c>
      <c r="AO178" s="323"/>
      <c r="AP178" s="323"/>
      <c r="AQ178" s="328"/>
    </row>
    <row r="179" spans="1:43">
      <c r="A179" s="351" t="s">
        <v>184</v>
      </c>
      <c r="B179" s="323">
        <v>15.9</v>
      </c>
      <c r="C179" s="323">
        <v>102</v>
      </c>
      <c r="D179" s="323">
        <v>371</v>
      </c>
      <c r="E179" s="323">
        <v>290</v>
      </c>
      <c r="F179" s="323"/>
      <c r="G179" s="354">
        <v>45787</v>
      </c>
      <c r="H179" s="323"/>
      <c r="I179" s="323"/>
      <c r="J179" s="323"/>
      <c r="K179" s="323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  <c r="AA179" s="323"/>
      <c r="AB179" s="323"/>
      <c r="AC179" s="323"/>
      <c r="AD179" s="323"/>
      <c r="AE179" s="323"/>
      <c r="AF179" s="323"/>
      <c r="AG179" s="323"/>
      <c r="AH179" s="323"/>
      <c r="AI179" s="323"/>
      <c r="AJ179" s="323"/>
      <c r="AK179" s="323"/>
      <c r="AL179" s="323"/>
      <c r="AM179" s="326">
        <f t="shared" si="5"/>
        <v>290</v>
      </c>
      <c r="AN179" s="327">
        <f t="shared" si="6"/>
        <v>0.17448946199999998</v>
      </c>
      <c r="AO179" s="323"/>
      <c r="AP179" s="323"/>
      <c r="AQ179" s="328"/>
    </row>
    <row r="180" spans="1:43">
      <c r="A180" s="351" t="s">
        <v>206</v>
      </c>
      <c r="B180" s="323">
        <v>13</v>
      </c>
      <c r="C180" s="323">
        <v>180</v>
      </c>
      <c r="D180" s="323">
        <v>1520</v>
      </c>
      <c r="E180" s="323">
        <v>48</v>
      </c>
      <c r="F180" s="323"/>
      <c r="G180" s="354">
        <v>45785</v>
      </c>
      <c r="H180" s="323"/>
      <c r="I180" s="323"/>
      <c r="J180" s="323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323"/>
      <c r="AB180" s="323"/>
      <c r="AC180" s="323"/>
      <c r="AD180" s="323"/>
      <c r="AE180" s="323"/>
      <c r="AF180" s="323"/>
      <c r="AG180" s="323"/>
      <c r="AH180" s="323"/>
      <c r="AI180" s="323"/>
      <c r="AJ180" s="323"/>
      <c r="AK180" s="323"/>
      <c r="AL180" s="323"/>
      <c r="AM180" s="326">
        <f t="shared" si="5"/>
        <v>48</v>
      </c>
      <c r="AN180" s="327">
        <f t="shared" si="6"/>
        <v>0.1707264</v>
      </c>
      <c r="AO180" s="323"/>
      <c r="AP180" s="323"/>
      <c r="AQ180" s="328"/>
    </row>
    <row r="181" spans="1:43">
      <c r="A181" s="351" t="s">
        <v>206</v>
      </c>
      <c r="B181" s="323">
        <v>13</v>
      </c>
      <c r="C181" s="323">
        <v>119</v>
      </c>
      <c r="D181" s="323">
        <v>1520</v>
      </c>
      <c r="E181" s="323">
        <v>220</v>
      </c>
      <c r="F181" s="323"/>
      <c r="G181" s="354">
        <v>45785</v>
      </c>
      <c r="H181" s="323"/>
      <c r="I181" s="323"/>
      <c r="J181" s="323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323"/>
      <c r="AI181" s="323"/>
      <c r="AJ181" s="323"/>
      <c r="AK181" s="323"/>
      <c r="AL181" s="323"/>
      <c r="AM181" s="326">
        <f t="shared" si="5"/>
        <v>220</v>
      </c>
      <c r="AN181" s="327">
        <f t="shared" si="6"/>
        <v>0.51731680000000002</v>
      </c>
      <c r="AO181" s="323"/>
      <c r="AP181" s="323"/>
      <c r="AQ181" s="328"/>
    </row>
    <row r="182" spans="1:43">
      <c r="A182" s="351" t="s">
        <v>206</v>
      </c>
      <c r="B182" s="323">
        <v>13</v>
      </c>
      <c r="C182" s="323">
        <v>130</v>
      </c>
      <c r="D182" s="323">
        <v>1520</v>
      </c>
      <c r="E182" s="323">
        <v>280</v>
      </c>
      <c r="F182" s="323"/>
      <c r="G182" s="354">
        <v>45785</v>
      </c>
      <c r="H182" s="323"/>
      <c r="I182" s="323"/>
      <c r="J182" s="323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  <c r="AA182" s="323"/>
      <c r="AB182" s="323"/>
      <c r="AC182" s="323"/>
      <c r="AD182" s="323"/>
      <c r="AE182" s="323"/>
      <c r="AF182" s="323"/>
      <c r="AG182" s="323"/>
      <c r="AH182" s="323"/>
      <c r="AI182" s="323"/>
      <c r="AJ182" s="323"/>
      <c r="AK182" s="323"/>
      <c r="AL182" s="323"/>
      <c r="AM182" s="326">
        <f t="shared" ref="AM182:AM245" si="8">E182-H182-I182-J182-K182-L182-M182-N182-O182-P182-Q182-R182-S182-T182-U182-V182-W182-X182-Y182-Z182-AA182-AB182-AC182-AD182-AE182-AF182-AG182-AH182-AI182-AJ182-AK182-AL182</f>
        <v>280</v>
      </c>
      <c r="AN182" s="327">
        <f t="shared" si="6"/>
        <v>0.71926400000000001</v>
      </c>
      <c r="AO182" s="323"/>
      <c r="AP182" s="323"/>
      <c r="AQ182" s="328"/>
    </row>
    <row r="183" spans="1:43">
      <c r="A183" s="351" t="s">
        <v>206</v>
      </c>
      <c r="B183" s="323">
        <v>13</v>
      </c>
      <c r="C183" s="323">
        <v>480</v>
      </c>
      <c r="D183" s="323">
        <v>1100</v>
      </c>
      <c r="E183" s="323">
        <v>78</v>
      </c>
      <c r="F183" s="323"/>
      <c r="G183" s="354">
        <v>45785</v>
      </c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  <c r="AE183" s="323"/>
      <c r="AF183" s="323"/>
      <c r="AG183" s="323"/>
      <c r="AH183" s="323"/>
      <c r="AI183" s="323"/>
      <c r="AJ183" s="323"/>
      <c r="AK183" s="323"/>
      <c r="AL183" s="323"/>
      <c r="AM183" s="326">
        <f t="shared" si="8"/>
        <v>78</v>
      </c>
      <c r="AN183" s="327">
        <f t="shared" si="6"/>
        <v>0.53539199999999998</v>
      </c>
      <c r="AO183" s="323"/>
      <c r="AP183" s="323"/>
      <c r="AQ183" s="328"/>
    </row>
    <row r="184" spans="1:43">
      <c r="A184" s="351" t="s">
        <v>206</v>
      </c>
      <c r="B184" s="323">
        <v>12.7</v>
      </c>
      <c r="C184" s="323">
        <v>203.2</v>
      </c>
      <c r="D184" s="323">
        <v>523.6</v>
      </c>
      <c r="E184" s="323">
        <v>1410</v>
      </c>
      <c r="F184" s="323"/>
      <c r="G184" s="354">
        <v>45785</v>
      </c>
      <c r="H184" s="323"/>
      <c r="I184" s="323"/>
      <c r="J184" s="323"/>
      <c r="K184" s="323"/>
      <c r="L184" s="323">
        <v>264</v>
      </c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  <c r="AA184" s="323"/>
      <c r="AB184" s="323"/>
      <c r="AC184" s="323"/>
      <c r="AD184" s="323"/>
      <c r="AE184" s="323"/>
      <c r="AF184" s="323"/>
      <c r="AG184" s="323"/>
      <c r="AH184" s="323"/>
      <c r="AI184" s="323"/>
      <c r="AJ184" s="323"/>
      <c r="AK184" s="323"/>
      <c r="AL184" s="323"/>
      <c r="AM184" s="326">
        <f t="shared" si="8"/>
        <v>1146</v>
      </c>
      <c r="AN184" s="327">
        <f t="shared" si="6"/>
        <v>1.5485016771840001</v>
      </c>
      <c r="AO184" s="323"/>
      <c r="AP184" s="323"/>
      <c r="AQ184" s="328"/>
    </row>
    <row r="185" spans="1:43">
      <c r="A185" s="351" t="s">
        <v>206</v>
      </c>
      <c r="B185" s="323">
        <v>12.7</v>
      </c>
      <c r="C185" s="323">
        <v>108</v>
      </c>
      <c r="D185" s="323">
        <v>540</v>
      </c>
      <c r="E185" s="323">
        <v>722</v>
      </c>
      <c r="F185" s="323"/>
      <c r="G185" s="354">
        <v>45785</v>
      </c>
      <c r="H185" s="323"/>
      <c r="I185" s="323"/>
      <c r="J185" s="323"/>
      <c r="K185" s="323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  <c r="AA185" s="323"/>
      <c r="AB185" s="323">
        <v>664</v>
      </c>
      <c r="AC185" s="323"/>
      <c r="AD185" s="323"/>
      <c r="AE185" s="323"/>
      <c r="AF185" s="323"/>
      <c r="AG185" s="323"/>
      <c r="AH185" s="323"/>
      <c r="AI185" s="323"/>
      <c r="AJ185" s="323"/>
      <c r="AK185" s="323"/>
      <c r="AL185" s="323"/>
      <c r="AM185" s="326">
        <f t="shared" si="8"/>
        <v>58</v>
      </c>
      <c r="AN185" s="327">
        <f t="shared" si="6"/>
        <v>4.2958511999999997E-2</v>
      </c>
      <c r="AO185" s="323"/>
      <c r="AP185" s="323"/>
      <c r="AQ185" s="328"/>
    </row>
    <row r="186" spans="1:43">
      <c r="A186" s="351" t="s">
        <v>206</v>
      </c>
      <c r="B186" s="323">
        <v>12.7</v>
      </c>
      <c r="C186" s="323">
        <v>203.2</v>
      </c>
      <c r="D186" s="323">
        <v>523.6</v>
      </c>
      <c r="E186" s="323">
        <v>1410</v>
      </c>
      <c r="F186" s="323"/>
      <c r="G186" s="354">
        <v>45785</v>
      </c>
      <c r="H186" s="323"/>
      <c r="I186" s="323"/>
      <c r="J186" s="323"/>
      <c r="K186" s="323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  <c r="AA186" s="323"/>
      <c r="AB186" s="323"/>
      <c r="AC186" s="323"/>
      <c r="AD186" s="323"/>
      <c r="AE186" s="323"/>
      <c r="AF186" s="323"/>
      <c r="AG186" s="323"/>
      <c r="AH186" s="323"/>
      <c r="AI186" s="323"/>
      <c r="AJ186" s="323"/>
      <c r="AK186" s="323"/>
      <c r="AL186" s="323"/>
      <c r="AM186" s="326">
        <f t="shared" si="8"/>
        <v>1410</v>
      </c>
      <c r="AN186" s="327">
        <f t="shared" si="6"/>
        <v>1.90522457664</v>
      </c>
      <c r="AO186" s="323"/>
      <c r="AP186" s="323"/>
      <c r="AQ186" s="328"/>
    </row>
    <row r="187" spans="1:43">
      <c r="A187" s="351" t="s">
        <v>206</v>
      </c>
      <c r="B187" s="323">
        <v>12.7</v>
      </c>
      <c r="C187" s="323">
        <v>447.6</v>
      </c>
      <c r="D187" s="323">
        <v>203.2</v>
      </c>
      <c r="E187" s="323">
        <v>820</v>
      </c>
      <c r="F187" s="323"/>
      <c r="G187" s="354">
        <v>45785</v>
      </c>
      <c r="H187" s="323"/>
      <c r="I187" s="323"/>
      <c r="J187" s="323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323"/>
      <c r="AB187" s="323"/>
      <c r="AC187" s="323"/>
      <c r="AD187" s="323"/>
      <c r="AE187" s="323"/>
      <c r="AF187" s="323"/>
      <c r="AG187" s="323"/>
      <c r="AH187" s="323"/>
      <c r="AI187" s="323"/>
      <c r="AJ187" s="323"/>
      <c r="AK187" s="323"/>
      <c r="AL187" s="323"/>
      <c r="AM187" s="326">
        <f t="shared" si="8"/>
        <v>820</v>
      </c>
      <c r="AN187" s="327">
        <f t="shared" si="6"/>
        <v>0.94717746047999996</v>
      </c>
      <c r="AO187" s="323"/>
      <c r="AP187" s="323"/>
      <c r="AQ187" s="328"/>
    </row>
    <row r="188" spans="1:43">
      <c r="A188" s="351" t="s">
        <v>206</v>
      </c>
      <c r="B188" s="323">
        <v>13</v>
      </c>
      <c r="C188" s="323">
        <v>1100</v>
      </c>
      <c r="D188" s="323">
        <v>1540</v>
      </c>
      <c r="E188" s="323">
        <v>15</v>
      </c>
      <c r="F188" s="323"/>
      <c r="G188" s="354">
        <v>45785</v>
      </c>
      <c r="H188" s="323"/>
      <c r="I188" s="323"/>
      <c r="J188" s="323"/>
      <c r="K188" s="323"/>
      <c r="L188" s="323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  <c r="AA188" s="323"/>
      <c r="AB188" s="323"/>
      <c r="AC188" s="323"/>
      <c r="AD188" s="323"/>
      <c r="AE188" s="323"/>
      <c r="AF188" s="323"/>
      <c r="AG188" s="323"/>
      <c r="AH188" s="323"/>
      <c r="AI188" s="323"/>
      <c r="AJ188" s="323"/>
      <c r="AK188" s="323"/>
      <c r="AL188" s="323"/>
      <c r="AM188" s="326">
        <f t="shared" si="8"/>
        <v>15</v>
      </c>
      <c r="AN188" s="327">
        <f t="shared" si="6"/>
        <v>0.33033000000000001</v>
      </c>
      <c r="AO188" s="323"/>
      <c r="AP188" s="323"/>
      <c r="AQ188" s="328"/>
    </row>
    <row r="189" spans="1:43">
      <c r="A189" s="351" t="s">
        <v>206</v>
      </c>
      <c r="B189" s="323">
        <v>13</v>
      </c>
      <c r="C189" s="323">
        <v>80</v>
      </c>
      <c r="D189" s="323">
        <v>1540</v>
      </c>
      <c r="E189" s="323">
        <v>1080</v>
      </c>
      <c r="F189" s="323"/>
      <c r="G189" s="354">
        <v>45785</v>
      </c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323"/>
      <c r="AB189" s="323"/>
      <c r="AC189" s="323"/>
      <c r="AD189" s="323"/>
      <c r="AE189" s="323"/>
      <c r="AF189" s="323">
        <v>1015</v>
      </c>
      <c r="AG189" s="323"/>
      <c r="AH189" s="323"/>
      <c r="AI189" s="323"/>
      <c r="AJ189" s="323"/>
      <c r="AK189" s="323"/>
      <c r="AL189" s="323"/>
      <c r="AM189" s="326">
        <f t="shared" si="8"/>
        <v>65</v>
      </c>
      <c r="AN189" s="327">
        <f t="shared" si="6"/>
        <v>0.104104</v>
      </c>
      <c r="AO189" s="323"/>
      <c r="AP189" s="323"/>
      <c r="AQ189" s="328"/>
    </row>
    <row r="190" spans="1:43">
      <c r="A190" s="351" t="s">
        <v>206</v>
      </c>
      <c r="B190" s="323">
        <v>13</v>
      </c>
      <c r="C190" s="323">
        <v>80</v>
      </c>
      <c r="D190" s="323">
        <v>830</v>
      </c>
      <c r="E190" s="323">
        <v>173</v>
      </c>
      <c r="F190" s="323"/>
      <c r="G190" s="354">
        <v>45785</v>
      </c>
      <c r="H190" s="323"/>
      <c r="I190" s="323"/>
      <c r="J190" s="323"/>
      <c r="K190" s="323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  <c r="AA190" s="323"/>
      <c r="AB190" s="323"/>
      <c r="AC190" s="323"/>
      <c r="AD190" s="323"/>
      <c r="AE190" s="323"/>
      <c r="AF190" s="323"/>
      <c r="AG190" s="323"/>
      <c r="AH190" s="323"/>
      <c r="AI190" s="323"/>
      <c r="AJ190" s="323"/>
      <c r="AK190" s="323"/>
      <c r="AL190" s="323"/>
      <c r="AM190" s="326">
        <f t="shared" si="8"/>
        <v>173</v>
      </c>
      <c r="AN190" s="327">
        <f t="shared" si="6"/>
        <v>0.14933360000000001</v>
      </c>
      <c r="AO190" s="323"/>
      <c r="AP190" s="323"/>
      <c r="AQ190" s="328"/>
    </row>
    <row r="191" spans="1:43">
      <c r="A191" s="351" t="s">
        <v>206</v>
      </c>
      <c r="B191" s="323">
        <v>13</v>
      </c>
      <c r="C191" s="323">
        <v>80</v>
      </c>
      <c r="D191" s="323">
        <v>640</v>
      </c>
      <c r="E191" s="323">
        <v>220</v>
      </c>
      <c r="F191" s="323"/>
      <c r="G191" s="354">
        <v>45785</v>
      </c>
      <c r="H191" s="323"/>
      <c r="I191" s="323"/>
      <c r="J191" s="323"/>
      <c r="K191" s="323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  <c r="AA191" s="323"/>
      <c r="AB191" s="323"/>
      <c r="AC191" s="323"/>
      <c r="AD191" s="323"/>
      <c r="AE191" s="323"/>
      <c r="AF191" s="323"/>
      <c r="AG191" s="323"/>
      <c r="AH191" s="323"/>
      <c r="AI191" s="323"/>
      <c r="AJ191" s="323"/>
      <c r="AK191" s="323"/>
      <c r="AL191" s="323"/>
      <c r="AM191" s="326">
        <f t="shared" si="8"/>
        <v>220</v>
      </c>
      <c r="AN191" s="327">
        <f t="shared" si="6"/>
        <v>0.14643200000000001</v>
      </c>
      <c r="AO191" s="323"/>
      <c r="AP191" s="323"/>
      <c r="AQ191" s="328"/>
    </row>
    <row r="192" spans="1:43">
      <c r="A192" s="351" t="s">
        <v>206</v>
      </c>
      <c r="B192" s="323">
        <v>12.7</v>
      </c>
      <c r="C192" s="323">
        <v>82.55</v>
      </c>
      <c r="D192" s="323">
        <v>1219.2</v>
      </c>
      <c r="E192" s="323">
        <v>794</v>
      </c>
      <c r="F192" s="323"/>
      <c r="G192" s="354">
        <v>45785</v>
      </c>
      <c r="H192" s="323"/>
      <c r="I192" s="323"/>
      <c r="J192" s="323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323"/>
      <c r="AB192" s="323"/>
      <c r="AC192" s="323"/>
      <c r="AD192" s="323"/>
      <c r="AE192" s="323"/>
      <c r="AF192" s="323"/>
      <c r="AG192" s="323"/>
      <c r="AH192" s="323"/>
      <c r="AI192" s="323"/>
      <c r="AJ192" s="323"/>
      <c r="AK192" s="323"/>
      <c r="AL192" s="323"/>
      <c r="AM192" s="326">
        <f t="shared" si="8"/>
        <v>794</v>
      </c>
      <c r="AN192" s="327">
        <f t="shared" si="6"/>
        <v>1.0148836476480001</v>
      </c>
      <c r="AO192" s="323"/>
      <c r="AP192" s="323"/>
      <c r="AQ192" s="328"/>
    </row>
    <row r="193" spans="1:43">
      <c r="A193" s="351" t="s">
        <v>206</v>
      </c>
      <c r="B193" s="323">
        <v>12.7</v>
      </c>
      <c r="C193" s="323">
        <v>450.85</v>
      </c>
      <c r="D193" s="323">
        <v>1080</v>
      </c>
      <c r="E193" s="323">
        <v>170</v>
      </c>
      <c r="F193" s="323"/>
      <c r="G193" s="354">
        <v>45785</v>
      </c>
      <c r="H193" s="323"/>
      <c r="I193" s="323"/>
      <c r="J193" s="323"/>
      <c r="K193" s="323"/>
      <c r="L193" s="323"/>
      <c r="M193" s="323"/>
      <c r="N193" s="323"/>
      <c r="O193" s="323"/>
      <c r="P193" s="323"/>
      <c r="Q193" s="323">
        <v>93</v>
      </c>
      <c r="R193" s="323"/>
      <c r="S193" s="323"/>
      <c r="T193" s="323"/>
      <c r="U193" s="323"/>
      <c r="V193" s="323"/>
      <c r="W193" s="323"/>
      <c r="X193" s="323"/>
      <c r="Y193" s="323"/>
      <c r="Z193" s="323"/>
      <c r="AA193" s="323"/>
      <c r="AB193" s="323"/>
      <c r="AC193" s="323"/>
      <c r="AD193" s="323"/>
      <c r="AE193" s="323"/>
      <c r="AF193" s="323"/>
      <c r="AG193" s="323"/>
      <c r="AH193" s="323"/>
      <c r="AI193" s="323"/>
      <c r="AJ193" s="323"/>
      <c r="AK193" s="323"/>
      <c r="AL193" s="323"/>
      <c r="AM193" s="326">
        <f t="shared" si="8"/>
        <v>77</v>
      </c>
      <c r="AN193" s="327">
        <f t="shared" si="6"/>
        <v>0.47615711220000001</v>
      </c>
      <c r="AO193" s="323"/>
      <c r="AP193" s="323"/>
      <c r="AQ193" s="328"/>
    </row>
    <row r="194" spans="1:43">
      <c r="A194" s="351" t="s">
        <v>206</v>
      </c>
      <c r="B194" s="323">
        <v>12.7</v>
      </c>
      <c r="C194" s="323">
        <v>835</v>
      </c>
      <c r="D194" s="323">
        <v>1120</v>
      </c>
      <c r="E194" s="323">
        <v>25</v>
      </c>
      <c r="F194" s="323"/>
      <c r="G194" s="354">
        <v>45785</v>
      </c>
      <c r="H194" s="323"/>
      <c r="I194" s="323"/>
      <c r="J194" s="323"/>
      <c r="K194" s="323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  <c r="AA194" s="323"/>
      <c r="AB194" s="323"/>
      <c r="AC194" s="323"/>
      <c r="AD194" s="323"/>
      <c r="AE194" s="323"/>
      <c r="AF194" s="323"/>
      <c r="AG194" s="323"/>
      <c r="AH194" s="323"/>
      <c r="AI194" s="323"/>
      <c r="AJ194" s="323"/>
      <c r="AK194" s="323"/>
      <c r="AL194" s="323"/>
      <c r="AM194" s="326">
        <f t="shared" si="8"/>
        <v>25</v>
      </c>
      <c r="AN194" s="327">
        <f t="shared" si="6"/>
        <v>0.29692600000000002</v>
      </c>
      <c r="AO194" s="323"/>
      <c r="AP194" s="323"/>
      <c r="AQ194" s="328"/>
    </row>
    <row r="195" spans="1:43">
      <c r="A195" s="351" t="s">
        <v>206</v>
      </c>
      <c r="B195" s="323">
        <v>12.7</v>
      </c>
      <c r="C195" s="323">
        <v>158</v>
      </c>
      <c r="D195" s="323">
        <v>470</v>
      </c>
      <c r="E195" s="323">
        <v>490</v>
      </c>
      <c r="F195" s="323"/>
      <c r="G195" s="354">
        <v>45785</v>
      </c>
      <c r="H195" s="323"/>
      <c r="I195" s="323"/>
      <c r="J195" s="323"/>
      <c r="K195" s="323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  <c r="AA195" s="323"/>
      <c r="AB195" s="323"/>
      <c r="AC195" s="323"/>
      <c r="AD195" s="323"/>
      <c r="AE195" s="323"/>
      <c r="AF195" s="323"/>
      <c r="AG195" s="323"/>
      <c r="AH195" s="323"/>
      <c r="AI195" s="323"/>
      <c r="AJ195" s="323"/>
      <c r="AK195" s="323"/>
      <c r="AL195" s="323"/>
      <c r="AM195" s="326">
        <f t="shared" si="8"/>
        <v>490</v>
      </c>
      <c r="AN195" s="327">
        <f t="shared" ref="AN195:AN258" si="9">B195*C195*D195*AM195/1000000000</f>
        <v>0.46211997999999999</v>
      </c>
      <c r="AO195" s="323"/>
      <c r="AP195" s="323"/>
      <c r="AQ195" s="328"/>
    </row>
    <row r="196" spans="1:43">
      <c r="A196" s="351" t="s">
        <v>206</v>
      </c>
      <c r="B196" s="323">
        <v>12.7</v>
      </c>
      <c r="C196" s="323">
        <v>82.55</v>
      </c>
      <c r="D196" s="323">
        <v>1219.2</v>
      </c>
      <c r="E196" s="323">
        <v>790</v>
      </c>
      <c r="F196" s="323"/>
      <c r="G196" s="354">
        <v>45785</v>
      </c>
      <c r="H196" s="323"/>
      <c r="I196" s="323"/>
      <c r="J196" s="323"/>
      <c r="K196" s="323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3"/>
      <c r="AE196" s="323"/>
      <c r="AF196" s="323"/>
      <c r="AG196" s="323"/>
      <c r="AH196" s="323"/>
      <c r="AI196" s="323"/>
      <c r="AJ196" s="323"/>
      <c r="AK196" s="323"/>
      <c r="AL196" s="323"/>
      <c r="AM196" s="326">
        <f t="shared" si="8"/>
        <v>790</v>
      </c>
      <c r="AN196" s="327">
        <f t="shared" si="9"/>
        <v>1.0097708836800001</v>
      </c>
      <c r="AO196" s="323"/>
      <c r="AP196" s="323"/>
      <c r="AQ196" s="328"/>
    </row>
    <row r="197" spans="1:43">
      <c r="A197" s="351" t="s">
        <v>206</v>
      </c>
      <c r="B197" s="323">
        <v>15.9</v>
      </c>
      <c r="C197" s="323">
        <v>76.2</v>
      </c>
      <c r="D197" s="323">
        <v>444.5</v>
      </c>
      <c r="E197" s="323">
        <v>200</v>
      </c>
      <c r="F197" s="323"/>
      <c r="G197" s="354">
        <v>45785</v>
      </c>
      <c r="H197" s="323"/>
      <c r="I197" s="323"/>
      <c r="J197" s="323"/>
      <c r="K197" s="323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  <c r="AA197" s="323"/>
      <c r="AB197" s="323"/>
      <c r="AC197" s="323"/>
      <c r="AD197" s="323"/>
      <c r="AE197" s="323"/>
      <c r="AF197" s="323"/>
      <c r="AG197" s="323"/>
      <c r="AH197" s="323"/>
      <c r="AI197" s="323"/>
      <c r="AJ197" s="323"/>
      <c r="AK197" s="323"/>
      <c r="AL197" s="323"/>
      <c r="AM197" s="326">
        <f t="shared" si="8"/>
        <v>200</v>
      </c>
      <c r="AN197" s="327">
        <f t="shared" si="9"/>
        <v>0.10770946200000002</v>
      </c>
      <c r="AO197" s="323"/>
      <c r="AP197" s="323"/>
      <c r="AQ197" s="328"/>
    </row>
    <row r="198" spans="1:43">
      <c r="A198" s="351" t="s">
        <v>206</v>
      </c>
      <c r="B198" s="323">
        <v>15.9</v>
      </c>
      <c r="C198" s="323">
        <v>76.2</v>
      </c>
      <c r="D198" s="323">
        <v>520.70000000000005</v>
      </c>
      <c r="E198" s="323">
        <v>100</v>
      </c>
      <c r="F198" s="323"/>
      <c r="G198" s="354">
        <v>45785</v>
      </c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323"/>
      <c r="AB198" s="323"/>
      <c r="AC198" s="323"/>
      <c r="AD198" s="323"/>
      <c r="AE198" s="323"/>
      <c r="AF198" s="323"/>
      <c r="AG198" s="323"/>
      <c r="AH198" s="323"/>
      <c r="AI198" s="323"/>
      <c r="AJ198" s="323"/>
      <c r="AK198" s="323"/>
      <c r="AL198" s="323"/>
      <c r="AM198" s="326">
        <f t="shared" si="8"/>
        <v>100</v>
      </c>
      <c r="AN198" s="327">
        <f t="shared" si="9"/>
        <v>6.3086970600000014E-2</v>
      </c>
      <c r="AO198" s="323"/>
      <c r="AP198" s="323"/>
      <c r="AQ198" s="328"/>
    </row>
    <row r="199" spans="1:43">
      <c r="A199" s="351" t="s">
        <v>206</v>
      </c>
      <c r="B199" s="323">
        <v>15.9</v>
      </c>
      <c r="C199" s="323">
        <v>101.6</v>
      </c>
      <c r="D199" s="323">
        <v>444.5</v>
      </c>
      <c r="E199" s="323">
        <v>740</v>
      </c>
      <c r="F199" s="323"/>
      <c r="G199" s="354">
        <v>45785</v>
      </c>
      <c r="H199" s="323"/>
      <c r="I199" s="323"/>
      <c r="J199" s="323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  <c r="AE199" s="323"/>
      <c r="AF199" s="323"/>
      <c r="AG199" s="323"/>
      <c r="AH199" s="323"/>
      <c r="AI199" s="323"/>
      <c r="AJ199" s="323"/>
      <c r="AK199" s="323"/>
      <c r="AL199" s="323"/>
      <c r="AM199" s="326">
        <f t="shared" si="8"/>
        <v>740</v>
      </c>
      <c r="AN199" s="327">
        <f t="shared" si="9"/>
        <v>0.53136667920000002</v>
      </c>
      <c r="AO199" s="323"/>
      <c r="AP199" s="323"/>
      <c r="AQ199" s="328"/>
    </row>
    <row r="200" spans="1:43">
      <c r="A200" s="351" t="s">
        <v>206</v>
      </c>
      <c r="B200" s="323">
        <v>15.9</v>
      </c>
      <c r="C200" s="323">
        <v>57.2</v>
      </c>
      <c r="D200" s="323">
        <v>509.6</v>
      </c>
      <c r="E200" s="323">
        <v>430</v>
      </c>
      <c r="F200" s="323"/>
      <c r="G200" s="354">
        <v>45785</v>
      </c>
      <c r="H200" s="323"/>
      <c r="I200" s="323"/>
      <c r="J200" s="323"/>
      <c r="K200" s="323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  <c r="AA200" s="323"/>
      <c r="AB200" s="323"/>
      <c r="AC200" s="323"/>
      <c r="AD200" s="323"/>
      <c r="AE200" s="323"/>
      <c r="AF200" s="323"/>
      <c r="AG200" s="323"/>
      <c r="AH200" s="323"/>
      <c r="AI200" s="323"/>
      <c r="AJ200" s="323"/>
      <c r="AK200" s="323"/>
      <c r="AL200" s="323"/>
      <c r="AM200" s="326">
        <f t="shared" si="8"/>
        <v>430</v>
      </c>
      <c r="AN200" s="327">
        <f t="shared" si="9"/>
        <v>0.19929253344000003</v>
      </c>
      <c r="AO200" s="323"/>
      <c r="AP200" s="323"/>
      <c r="AQ200" s="328"/>
    </row>
    <row r="201" spans="1:43">
      <c r="A201" s="351" t="s">
        <v>206</v>
      </c>
      <c r="B201" s="323">
        <v>15.9</v>
      </c>
      <c r="C201" s="323">
        <v>81.5</v>
      </c>
      <c r="D201" s="323">
        <v>1090</v>
      </c>
      <c r="E201" s="323">
        <v>87</v>
      </c>
      <c r="F201" s="323"/>
      <c r="G201" s="354">
        <v>45785</v>
      </c>
      <c r="H201" s="323"/>
      <c r="I201" s="323"/>
      <c r="J201" s="323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323"/>
      <c r="AB201" s="323"/>
      <c r="AC201" s="323"/>
      <c r="AD201" s="323"/>
      <c r="AE201" s="323"/>
      <c r="AF201" s="323"/>
      <c r="AG201" s="323"/>
      <c r="AH201" s="323"/>
      <c r="AI201" s="323"/>
      <c r="AJ201" s="323"/>
      <c r="AK201" s="323"/>
      <c r="AL201" s="323"/>
      <c r="AM201" s="326">
        <f t="shared" si="8"/>
        <v>87</v>
      </c>
      <c r="AN201" s="327">
        <f t="shared" si="9"/>
        <v>0.12288545550000002</v>
      </c>
      <c r="AO201" s="323"/>
      <c r="AP201" s="323"/>
      <c r="AQ201" s="328"/>
    </row>
    <row r="202" spans="1:43">
      <c r="A202" s="351" t="s">
        <v>206</v>
      </c>
      <c r="B202" s="323">
        <v>15.9</v>
      </c>
      <c r="C202" s="323">
        <v>80</v>
      </c>
      <c r="D202" s="323">
        <v>775</v>
      </c>
      <c r="E202" s="323">
        <v>68</v>
      </c>
      <c r="F202" s="323"/>
      <c r="G202" s="354">
        <v>45785</v>
      </c>
      <c r="H202" s="323"/>
      <c r="I202" s="323"/>
      <c r="J202" s="323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323"/>
      <c r="AB202" s="323"/>
      <c r="AC202" s="323"/>
      <c r="AD202" s="323"/>
      <c r="AE202" s="323"/>
      <c r="AF202" s="323"/>
      <c r="AG202" s="323"/>
      <c r="AH202" s="323"/>
      <c r="AI202" s="323"/>
      <c r="AJ202" s="323"/>
      <c r="AK202" s="323"/>
      <c r="AL202" s="323"/>
      <c r="AM202" s="326">
        <f t="shared" si="8"/>
        <v>68</v>
      </c>
      <c r="AN202" s="327">
        <f t="shared" si="9"/>
        <v>6.7034399999999994E-2</v>
      </c>
      <c r="AO202" s="323"/>
      <c r="AP202" s="323"/>
      <c r="AQ202" s="328"/>
    </row>
    <row r="203" spans="1:43">
      <c r="A203" s="356" t="s">
        <v>207</v>
      </c>
      <c r="B203" s="323">
        <v>18</v>
      </c>
      <c r="C203" s="323">
        <v>555</v>
      </c>
      <c r="D203" s="323">
        <v>1220</v>
      </c>
      <c r="E203" s="323">
        <v>114</v>
      </c>
      <c r="F203" s="323"/>
      <c r="G203" s="354">
        <v>45780</v>
      </c>
      <c r="H203" s="323"/>
      <c r="I203" s="323"/>
      <c r="J203" s="323"/>
      <c r="K203" s="323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  <c r="AA203" s="323"/>
      <c r="AB203" s="323"/>
      <c r="AC203" s="323"/>
      <c r="AD203" s="323"/>
      <c r="AE203" s="323"/>
      <c r="AF203" s="323"/>
      <c r="AG203" s="323"/>
      <c r="AH203" s="323"/>
      <c r="AI203" s="323"/>
      <c r="AJ203" s="323"/>
      <c r="AK203" s="323"/>
      <c r="AL203" s="323"/>
      <c r="AM203" s="326">
        <f t="shared" si="8"/>
        <v>114</v>
      </c>
      <c r="AN203" s="327">
        <f t="shared" si="9"/>
        <v>1.3894092</v>
      </c>
      <c r="AO203" s="327"/>
      <c r="AP203" s="327"/>
      <c r="AQ203" s="328"/>
    </row>
    <row r="204" spans="1:43">
      <c r="A204" s="356" t="s">
        <v>207</v>
      </c>
      <c r="B204" s="323">
        <v>18</v>
      </c>
      <c r="C204" s="323">
        <v>720</v>
      </c>
      <c r="D204" s="323">
        <v>1220</v>
      </c>
      <c r="E204" s="323">
        <v>57</v>
      </c>
      <c r="F204" s="323"/>
      <c r="G204" s="354">
        <v>45780</v>
      </c>
      <c r="H204" s="323"/>
      <c r="I204" s="323"/>
      <c r="J204" s="323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  <c r="AA204" s="323"/>
      <c r="AB204" s="323"/>
      <c r="AC204" s="323"/>
      <c r="AD204" s="323"/>
      <c r="AE204" s="323"/>
      <c r="AF204" s="323"/>
      <c r="AG204" s="323"/>
      <c r="AH204" s="323"/>
      <c r="AI204" s="323"/>
      <c r="AJ204" s="323"/>
      <c r="AK204" s="323"/>
      <c r="AL204" s="323"/>
      <c r="AM204" s="326">
        <f t="shared" si="8"/>
        <v>57</v>
      </c>
      <c r="AN204" s="327">
        <f t="shared" si="9"/>
        <v>0.9012384</v>
      </c>
      <c r="AO204" s="327"/>
      <c r="AP204" s="327"/>
      <c r="AQ204" s="328"/>
    </row>
    <row r="205" spans="1:43">
      <c r="A205" s="356" t="s">
        <v>207</v>
      </c>
      <c r="B205" s="323">
        <v>18</v>
      </c>
      <c r="C205" s="323">
        <v>720</v>
      </c>
      <c r="D205" s="323">
        <v>1220</v>
      </c>
      <c r="E205" s="323">
        <v>57</v>
      </c>
      <c r="F205" s="323"/>
      <c r="G205" s="354">
        <v>45780</v>
      </c>
      <c r="H205" s="323"/>
      <c r="I205" s="323"/>
      <c r="J205" s="323"/>
      <c r="K205" s="323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  <c r="AA205" s="323"/>
      <c r="AB205" s="323"/>
      <c r="AC205" s="323"/>
      <c r="AD205" s="323"/>
      <c r="AE205" s="323"/>
      <c r="AF205" s="323"/>
      <c r="AG205" s="323"/>
      <c r="AH205" s="323"/>
      <c r="AI205" s="323"/>
      <c r="AJ205" s="323"/>
      <c r="AK205" s="323"/>
      <c r="AL205" s="323"/>
      <c r="AM205" s="326">
        <f t="shared" si="8"/>
        <v>57</v>
      </c>
      <c r="AN205" s="327">
        <f t="shared" si="9"/>
        <v>0.9012384</v>
      </c>
      <c r="AO205" s="327"/>
      <c r="AP205" s="327"/>
      <c r="AQ205" s="328"/>
    </row>
    <row r="206" spans="1:43">
      <c r="A206" s="356" t="s">
        <v>207</v>
      </c>
      <c r="B206" s="323">
        <v>18</v>
      </c>
      <c r="C206" s="323">
        <v>720</v>
      </c>
      <c r="D206" s="323">
        <v>1220</v>
      </c>
      <c r="E206" s="323">
        <v>57</v>
      </c>
      <c r="F206" s="323"/>
      <c r="G206" s="354">
        <v>45780</v>
      </c>
      <c r="H206" s="323"/>
      <c r="I206" s="323"/>
      <c r="J206" s="323"/>
      <c r="K206" s="323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  <c r="AA206" s="323"/>
      <c r="AB206" s="323"/>
      <c r="AC206" s="323"/>
      <c r="AD206" s="323"/>
      <c r="AE206" s="323"/>
      <c r="AF206" s="323"/>
      <c r="AG206" s="323"/>
      <c r="AH206" s="323"/>
      <c r="AI206" s="323"/>
      <c r="AJ206" s="323"/>
      <c r="AK206" s="323"/>
      <c r="AL206" s="323"/>
      <c r="AM206" s="326">
        <f t="shared" si="8"/>
        <v>57</v>
      </c>
      <c r="AN206" s="327">
        <f t="shared" si="9"/>
        <v>0.9012384</v>
      </c>
      <c r="AO206" s="327"/>
      <c r="AP206" s="327"/>
      <c r="AQ206" s="328"/>
    </row>
    <row r="207" spans="1:43">
      <c r="A207" s="356" t="s">
        <v>207</v>
      </c>
      <c r="B207" s="323">
        <v>18</v>
      </c>
      <c r="C207" s="323">
        <v>720</v>
      </c>
      <c r="D207" s="323">
        <v>1220</v>
      </c>
      <c r="E207" s="323">
        <v>57</v>
      </c>
      <c r="F207" s="323"/>
      <c r="G207" s="354">
        <v>45780</v>
      </c>
      <c r="H207" s="323"/>
      <c r="I207" s="323"/>
      <c r="J207" s="323"/>
      <c r="K207" s="323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  <c r="AA207" s="323"/>
      <c r="AB207" s="323"/>
      <c r="AC207" s="323"/>
      <c r="AD207" s="323"/>
      <c r="AE207" s="323"/>
      <c r="AF207" s="323"/>
      <c r="AG207" s="323"/>
      <c r="AH207" s="323"/>
      <c r="AI207" s="323"/>
      <c r="AJ207" s="323"/>
      <c r="AK207" s="323"/>
      <c r="AL207" s="323"/>
      <c r="AM207" s="326">
        <f t="shared" si="8"/>
        <v>57</v>
      </c>
      <c r="AN207" s="327">
        <f t="shared" si="9"/>
        <v>0.9012384</v>
      </c>
      <c r="AO207" s="327"/>
      <c r="AP207" s="327"/>
      <c r="AQ207" s="328"/>
    </row>
    <row r="208" spans="1:43">
      <c r="A208" s="356" t="s">
        <v>207</v>
      </c>
      <c r="B208" s="323">
        <v>18</v>
      </c>
      <c r="C208" s="323">
        <v>680</v>
      </c>
      <c r="D208" s="323">
        <v>1220</v>
      </c>
      <c r="E208" s="323">
        <v>57</v>
      </c>
      <c r="F208" s="323"/>
      <c r="G208" s="354">
        <v>45780</v>
      </c>
      <c r="H208" s="323"/>
      <c r="I208" s="323"/>
      <c r="J208" s="323"/>
      <c r="K208" s="323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  <c r="AA208" s="323"/>
      <c r="AB208" s="323"/>
      <c r="AC208" s="323"/>
      <c r="AD208" s="323"/>
      <c r="AE208" s="323"/>
      <c r="AF208" s="323"/>
      <c r="AG208" s="323"/>
      <c r="AH208" s="323"/>
      <c r="AI208" s="323"/>
      <c r="AJ208" s="323"/>
      <c r="AK208" s="323"/>
      <c r="AL208" s="323"/>
      <c r="AM208" s="326">
        <f t="shared" si="8"/>
        <v>57</v>
      </c>
      <c r="AN208" s="327">
        <f t="shared" si="9"/>
        <v>0.85116959999999997</v>
      </c>
      <c r="AO208" s="327"/>
      <c r="AP208" s="327"/>
      <c r="AQ208" s="328"/>
    </row>
    <row r="209" spans="1:43">
      <c r="A209" s="356" t="s">
        <v>207</v>
      </c>
      <c r="B209" s="323">
        <v>18</v>
      </c>
      <c r="C209" s="323">
        <v>680</v>
      </c>
      <c r="D209" s="323">
        <v>1220</v>
      </c>
      <c r="E209" s="323">
        <v>57</v>
      </c>
      <c r="F209" s="323"/>
      <c r="G209" s="354">
        <v>45780</v>
      </c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323"/>
      <c r="AB209" s="323"/>
      <c r="AC209" s="323"/>
      <c r="AD209" s="323"/>
      <c r="AE209" s="323"/>
      <c r="AF209" s="323"/>
      <c r="AG209" s="323"/>
      <c r="AH209" s="323"/>
      <c r="AI209" s="323"/>
      <c r="AJ209" s="323"/>
      <c r="AK209" s="323"/>
      <c r="AL209" s="323"/>
      <c r="AM209" s="326">
        <f t="shared" si="8"/>
        <v>57</v>
      </c>
      <c r="AN209" s="327">
        <f t="shared" si="9"/>
        <v>0.85116959999999997</v>
      </c>
      <c r="AO209" s="327"/>
      <c r="AP209" s="327"/>
      <c r="AQ209" s="328"/>
    </row>
    <row r="210" spans="1:43">
      <c r="A210" s="356" t="s">
        <v>207</v>
      </c>
      <c r="B210" s="323">
        <v>18</v>
      </c>
      <c r="C210" s="323">
        <v>680</v>
      </c>
      <c r="D210" s="323">
        <v>1220</v>
      </c>
      <c r="E210" s="323">
        <v>57</v>
      </c>
      <c r="F210" s="323"/>
      <c r="G210" s="354">
        <v>45780</v>
      </c>
      <c r="H210" s="323"/>
      <c r="I210" s="323"/>
      <c r="J210" s="323"/>
      <c r="K210" s="323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  <c r="AA210" s="323"/>
      <c r="AB210" s="323"/>
      <c r="AC210" s="323"/>
      <c r="AD210" s="323"/>
      <c r="AE210" s="323"/>
      <c r="AF210" s="323"/>
      <c r="AG210" s="323"/>
      <c r="AH210" s="323"/>
      <c r="AI210" s="323"/>
      <c r="AJ210" s="323"/>
      <c r="AK210" s="323"/>
      <c r="AL210" s="323"/>
      <c r="AM210" s="326">
        <f t="shared" si="8"/>
        <v>57</v>
      </c>
      <c r="AN210" s="327">
        <f t="shared" si="9"/>
        <v>0.85116959999999997</v>
      </c>
      <c r="AO210" s="327"/>
      <c r="AP210" s="327"/>
      <c r="AQ210" s="328"/>
    </row>
    <row r="211" spans="1:43">
      <c r="A211" s="356" t="s">
        <v>207</v>
      </c>
      <c r="B211" s="323">
        <v>18</v>
      </c>
      <c r="C211" s="323">
        <v>680</v>
      </c>
      <c r="D211" s="323">
        <v>1220</v>
      </c>
      <c r="E211" s="323">
        <v>57</v>
      </c>
      <c r="F211" s="323"/>
      <c r="G211" s="354">
        <v>45780</v>
      </c>
      <c r="H211" s="323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  <c r="AA211" s="323"/>
      <c r="AB211" s="323"/>
      <c r="AC211" s="323"/>
      <c r="AD211" s="323"/>
      <c r="AE211" s="323"/>
      <c r="AF211" s="323"/>
      <c r="AG211" s="323"/>
      <c r="AH211" s="323"/>
      <c r="AI211" s="323"/>
      <c r="AJ211" s="323"/>
      <c r="AK211" s="323"/>
      <c r="AL211" s="323"/>
      <c r="AM211" s="326">
        <f t="shared" si="8"/>
        <v>57</v>
      </c>
      <c r="AN211" s="327">
        <f t="shared" si="9"/>
        <v>0.85116959999999997</v>
      </c>
      <c r="AO211" s="327"/>
      <c r="AP211" s="327"/>
      <c r="AQ211" s="328"/>
    </row>
    <row r="212" spans="1:43">
      <c r="A212" s="356" t="s">
        <v>207</v>
      </c>
      <c r="B212" s="323">
        <v>18</v>
      </c>
      <c r="C212" s="323">
        <v>470</v>
      </c>
      <c r="D212" s="323">
        <v>1220</v>
      </c>
      <c r="E212" s="323">
        <v>114</v>
      </c>
      <c r="F212" s="323"/>
      <c r="G212" s="354">
        <v>45787</v>
      </c>
      <c r="H212" s="323"/>
      <c r="I212" s="323"/>
      <c r="J212" s="323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323"/>
      <c r="AB212" s="323"/>
      <c r="AC212" s="323"/>
      <c r="AD212" s="323"/>
      <c r="AE212" s="323"/>
      <c r="AF212" s="323"/>
      <c r="AG212" s="323"/>
      <c r="AH212" s="323"/>
      <c r="AI212" s="323"/>
      <c r="AJ212" s="323"/>
      <c r="AK212" s="323"/>
      <c r="AL212" s="323"/>
      <c r="AM212" s="326">
        <f t="shared" si="8"/>
        <v>114</v>
      </c>
      <c r="AN212" s="327">
        <f t="shared" si="9"/>
        <v>1.1766167999999999</v>
      </c>
      <c r="AO212" s="323"/>
      <c r="AP212" s="323"/>
      <c r="AQ212" s="328"/>
    </row>
    <row r="213" spans="1:43">
      <c r="A213" s="356" t="s">
        <v>207</v>
      </c>
      <c r="B213" s="323">
        <v>18</v>
      </c>
      <c r="C213" s="323">
        <v>470</v>
      </c>
      <c r="D213" s="323">
        <v>1220</v>
      </c>
      <c r="E213" s="323">
        <v>114</v>
      </c>
      <c r="F213" s="323"/>
      <c r="G213" s="354">
        <v>45787</v>
      </c>
      <c r="H213" s="323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323"/>
      <c r="AB213" s="323"/>
      <c r="AC213" s="323"/>
      <c r="AD213" s="323"/>
      <c r="AE213" s="323"/>
      <c r="AF213" s="323"/>
      <c r="AG213" s="323"/>
      <c r="AH213" s="323"/>
      <c r="AI213" s="323"/>
      <c r="AJ213" s="323"/>
      <c r="AK213" s="323"/>
      <c r="AL213" s="323"/>
      <c r="AM213" s="326">
        <f t="shared" si="8"/>
        <v>114</v>
      </c>
      <c r="AN213" s="327">
        <f t="shared" si="9"/>
        <v>1.1766167999999999</v>
      </c>
      <c r="AO213" s="323"/>
      <c r="AP213" s="323"/>
      <c r="AQ213" s="328"/>
    </row>
    <row r="214" spans="1:43">
      <c r="A214" s="356" t="s">
        <v>207</v>
      </c>
      <c r="B214" s="323">
        <v>18</v>
      </c>
      <c r="C214" s="323">
        <v>720</v>
      </c>
      <c r="D214" s="323">
        <v>1220</v>
      </c>
      <c r="E214" s="323">
        <v>57</v>
      </c>
      <c r="F214" s="323"/>
      <c r="G214" s="354">
        <v>45787</v>
      </c>
      <c r="H214" s="323"/>
      <c r="I214" s="323"/>
      <c r="J214" s="323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  <c r="AA214" s="323"/>
      <c r="AB214" s="323"/>
      <c r="AC214" s="323"/>
      <c r="AD214" s="323"/>
      <c r="AE214" s="323"/>
      <c r="AF214" s="323"/>
      <c r="AG214" s="323"/>
      <c r="AH214" s="323"/>
      <c r="AI214" s="323"/>
      <c r="AJ214" s="323"/>
      <c r="AK214" s="323"/>
      <c r="AL214" s="323"/>
      <c r="AM214" s="326">
        <f t="shared" si="8"/>
        <v>57</v>
      </c>
      <c r="AN214" s="327">
        <f t="shared" si="9"/>
        <v>0.9012384</v>
      </c>
      <c r="AO214" s="323"/>
      <c r="AP214" s="323"/>
      <c r="AQ214" s="328"/>
    </row>
    <row r="215" spans="1:43">
      <c r="A215" s="356" t="s">
        <v>207</v>
      </c>
      <c r="B215" s="323">
        <v>18</v>
      </c>
      <c r="C215" s="323">
        <v>720</v>
      </c>
      <c r="D215" s="323">
        <v>1220</v>
      </c>
      <c r="E215" s="323">
        <v>57</v>
      </c>
      <c r="F215" s="323"/>
      <c r="G215" s="354">
        <v>45787</v>
      </c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323"/>
      <c r="AB215" s="323"/>
      <c r="AC215" s="323"/>
      <c r="AD215" s="323"/>
      <c r="AE215" s="323"/>
      <c r="AF215" s="323"/>
      <c r="AG215" s="323"/>
      <c r="AH215" s="323"/>
      <c r="AI215" s="323"/>
      <c r="AJ215" s="323"/>
      <c r="AK215" s="323"/>
      <c r="AL215" s="323"/>
      <c r="AM215" s="326">
        <f t="shared" si="8"/>
        <v>57</v>
      </c>
      <c r="AN215" s="327">
        <f t="shared" si="9"/>
        <v>0.9012384</v>
      </c>
      <c r="AO215" s="323"/>
      <c r="AP215" s="323"/>
      <c r="AQ215" s="328"/>
    </row>
    <row r="216" spans="1:43">
      <c r="A216" s="356" t="s">
        <v>207</v>
      </c>
      <c r="B216" s="323">
        <v>18</v>
      </c>
      <c r="C216" s="323">
        <v>720</v>
      </c>
      <c r="D216" s="323">
        <v>1220</v>
      </c>
      <c r="E216" s="323">
        <v>59</v>
      </c>
      <c r="F216" s="323"/>
      <c r="G216" s="354">
        <v>45787</v>
      </c>
      <c r="H216" s="323"/>
      <c r="I216" s="323"/>
      <c r="J216" s="323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  <c r="AA216" s="323"/>
      <c r="AB216" s="323"/>
      <c r="AC216" s="323"/>
      <c r="AD216" s="323"/>
      <c r="AE216" s="323"/>
      <c r="AF216" s="323"/>
      <c r="AG216" s="323"/>
      <c r="AH216" s="323"/>
      <c r="AI216" s="323"/>
      <c r="AJ216" s="323"/>
      <c r="AK216" s="323"/>
      <c r="AL216" s="323"/>
      <c r="AM216" s="326">
        <f t="shared" si="8"/>
        <v>59</v>
      </c>
      <c r="AN216" s="327">
        <f t="shared" si="9"/>
        <v>0.93286080000000005</v>
      </c>
      <c r="AO216" s="323"/>
      <c r="AP216" s="323"/>
      <c r="AQ216" s="328"/>
    </row>
    <row r="217" spans="1:43">
      <c r="A217" s="356" t="s">
        <v>207</v>
      </c>
      <c r="B217" s="323">
        <v>18</v>
      </c>
      <c r="C217" s="323">
        <v>720</v>
      </c>
      <c r="D217" s="323">
        <v>1220</v>
      </c>
      <c r="E217" s="323">
        <v>59</v>
      </c>
      <c r="F217" s="323"/>
      <c r="G217" s="354">
        <v>45787</v>
      </c>
      <c r="H217" s="323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  <c r="AA217" s="323"/>
      <c r="AB217" s="323"/>
      <c r="AC217" s="323"/>
      <c r="AD217" s="323"/>
      <c r="AE217" s="323"/>
      <c r="AF217" s="323"/>
      <c r="AG217" s="323"/>
      <c r="AH217" s="323"/>
      <c r="AI217" s="323"/>
      <c r="AJ217" s="323"/>
      <c r="AK217" s="323"/>
      <c r="AL217" s="323"/>
      <c r="AM217" s="326">
        <f t="shared" si="8"/>
        <v>59</v>
      </c>
      <c r="AN217" s="327">
        <f t="shared" si="9"/>
        <v>0.93286080000000005</v>
      </c>
      <c r="AO217" s="323"/>
      <c r="AP217" s="323"/>
      <c r="AQ217" s="328"/>
    </row>
    <row r="218" spans="1:43">
      <c r="A218" s="351" t="s">
        <v>208</v>
      </c>
      <c r="B218" s="323">
        <v>15.9</v>
      </c>
      <c r="C218" s="323">
        <v>860</v>
      </c>
      <c r="D218" s="323">
        <v>166</v>
      </c>
      <c r="E218" s="323">
        <v>43</v>
      </c>
      <c r="F218" s="323"/>
      <c r="G218" s="354">
        <v>45772</v>
      </c>
      <c r="H218" s="323"/>
      <c r="I218" s="323"/>
      <c r="J218" s="323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323"/>
      <c r="AB218" s="323"/>
      <c r="AC218" s="323"/>
      <c r="AD218" s="323"/>
      <c r="AE218" s="323"/>
      <c r="AF218" s="323"/>
      <c r="AG218" s="323"/>
      <c r="AH218" s="323"/>
      <c r="AI218" s="323"/>
      <c r="AJ218" s="323"/>
      <c r="AK218" s="323"/>
      <c r="AL218" s="323"/>
      <c r="AM218" s="326">
        <f t="shared" si="8"/>
        <v>43</v>
      </c>
      <c r="AN218" s="327">
        <f t="shared" si="9"/>
        <v>9.7605012000000005E-2</v>
      </c>
      <c r="AO218" s="327">
        <v>0.25</v>
      </c>
      <c r="AP218" s="327"/>
      <c r="AQ218" s="328">
        <f t="shared" ref="AQ218:AQ227" si="10">AM218*AO218*33.8783</f>
        <v>364.19172500000002</v>
      </c>
    </row>
    <row r="219" spans="1:43">
      <c r="A219" s="351" t="s">
        <v>208</v>
      </c>
      <c r="B219" s="323">
        <v>15.9</v>
      </c>
      <c r="C219" s="323">
        <v>772</v>
      </c>
      <c r="D219" s="323">
        <v>166</v>
      </c>
      <c r="E219" s="323">
        <v>220</v>
      </c>
      <c r="F219" s="323"/>
      <c r="G219" s="354">
        <v>45772</v>
      </c>
      <c r="H219" s="323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323"/>
      <c r="AB219" s="323"/>
      <c r="AC219" s="323"/>
      <c r="AD219" s="323"/>
      <c r="AE219" s="323"/>
      <c r="AF219" s="323"/>
      <c r="AG219" s="323"/>
      <c r="AH219" s="323"/>
      <c r="AI219" s="323"/>
      <c r="AJ219" s="323"/>
      <c r="AK219" s="323"/>
      <c r="AL219" s="323"/>
      <c r="AM219" s="326">
        <f t="shared" si="8"/>
        <v>220</v>
      </c>
      <c r="AN219" s="327">
        <f t="shared" si="9"/>
        <v>0.44827569600000006</v>
      </c>
      <c r="AO219" s="327">
        <v>0.36</v>
      </c>
      <c r="AP219" s="327"/>
      <c r="AQ219" s="328">
        <f t="shared" si="10"/>
        <v>2683.1613600000005</v>
      </c>
    </row>
    <row r="220" spans="1:43">
      <c r="A220" s="351" t="s">
        <v>208</v>
      </c>
      <c r="B220" s="323">
        <v>15.9</v>
      </c>
      <c r="C220" s="323">
        <v>610</v>
      </c>
      <c r="D220" s="323">
        <v>87</v>
      </c>
      <c r="E220" s="323">
        <v>363</v>
      </c>
      <c r="F220" s="323"/>
      <c r="G220" s="354">
        <v>45772</v>
      </c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3"/>
      <c r="AD220" s="323"/>
      <c r="AE220" s="323"/>
      <c r="AF220" s="323"/>
      <c r="AG220" s="323"/>
      <c r="AH220" s="323"/>
      <c r="AI220" s="323"/>
      <c r="AJ220" s="323"/>
      <c r="AK220" s="323"/>
      <c r="AL220" s="323"/>
      <c r="AM220" s="326">
        <f t="shared" si="8"/>
        <v>363</v>
      </c>
      <c r="AN220" s="327">
        <f t="shared" si="9"/>
        <v>0.30630411899999999</v>
      </c>
      <c r="AO220" s="327">
        <v>0.53</v>
      </c>
      <c r="AP220" s="327"/>
      <c r="AQ220" s="328">
        <f t="shared" si="10"/>
        <v>6517.8461370000014</v>
      </c>
    </row>
    <row r="221" spans="1:43">
      <c r="A221" s="351" t="s">
        <v>208</v>
      </c>
      <c r="B221" s="323">
        <v>15.9</v>
      </c>
      <c r="C221" s="323">
        <v>660</v>
      </c>
      <c r="D221" s="323">
        <v>87</v>
      </c>
      <c r="E221" s="323">
        <v>231</v>
      </c>
      <c r="F221" s="323"/>
      <c r="G221" s="354">
        <v>45772</v>
      </c>
      <c r="H221" s="323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323"/>
      <c r="AB221" s="323"/>
      <c r="AC221" s="323"/>
      <c r="AD221" s="323"/>
      <c r="AE221" s="323"/>
      <c r="AF221" s="323"/>
      <c r="AG221" s="323"/>
      <c r="AH221" s="323"/>
      <c r="AI221" s="323"/>
      <c r="AJ221" s="323"/>
      <c r="AK221" s="323"/>
      <c r="AL221" s="323"/>
      <c r="AM221" s="326">
        <f t="shared" si="8"/>
        <v>231</v>
      </c>
      <c r="AN221" s="327">
        <f t="shared" si="9"/>
        <v>0.21089791799999999</v>
      </c>
      <c r="AO221" s="327">
        <v>0.57999999999999996</v>
      </c>
      <c r="AP221" s="327"/>
      <c r="AQ221" s="328">
        <f t="shared" si="10"/>
        <v>4539.0146340000001</v>
      </c>
    </row>
    <row r="222" spans="1:43">
      <c r="A222" s="351" t="s">
        <v>208</v>
      </c>
      <c r="B222" s="323">
        <v>15.9</v>
      </c>
      <c r="C222" s="323">
        <v>850</v>
      </c>
      <c r="D222" s="323">
        <v>166</v>
      </c>
      <c r="E222" s="323">
        <v>35</v>
      </c>
      <c r="F222" s="323"/>
      <c r="G222" s="354">
        <v>45772</v>
      </c>
      <c r="H222" s="323"/>
      <c r="I222" s="323"/>
      <c r="J222" s="323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  <c r="AA222" s="323"/>
      <c r="AB222" s="323"/>
      <c r="AC222" s="323"/>
      <c r="AD222" s="323"/>
      <c r="AE222" s="323"/>
      <c r="AF222" s="323"/>
      <c r="AG222" s="323"/>
      <c r="AH222" s="323"/>
      <c r="AI222" s="323"/>
      <c r="AJ222" s="323"/>
      <c r="AK222" s="323"/>
      <c r="AL222" s="323"/>
      <c r="AM222" s="326">
        <f t="shared" si="8"/>
        <v>35</v>
      </c>
      <c r="AN222" s="327">
        <f t="shared" si="9"/>
        <v>7.8522149999999999E-2</v>
      </c>
      <c r="AO222" s="327">
        <v>0.41</v>
      </c>
      <c r="AP222" s="327"/>
      <c r="AQ222" s="328">
        <f t="shared" si="10"/>
        <v>486.15360500000003</v>
      </c>
    </row>
    <row r="223" spans="1:43">
      <c r="A223" s="351" t="s">
        <v>208</v>
      </c>
      <c r="B223" s="323">
        <v>15.9</v>
      </c>
      <c r="C223" s="323">
        <v>531</v>
      </c>
      <c r="D223" s="323">
        <v>166</v>
      </c>
      <c r="E223" s="323">
        <v>156</v>
      </c>
      <c r="F223" s="323"/>
      <c r="G223" s="354">
        <v>45772</v>
      </c>
      <c r="H223" s="323"/>
      <c r="I223" s="323"/>
      <c r="J223" s="323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323"/>
      <c r="AB223" s="323"/>
      <c r="AC223" s="323"/>
      <c r="AD223" s="323"/>
      <c r="AE223" s="323"/>
      <c r="AF223" s="323"/>
      <c r="AG223" s="323"/>
      <c r="AH223" s="323"/>
      <c r="AI223" s="323"/>
      <c r="AJ223" s="323"/>
      <c r="AK223" s="323"/>
      <c r="AL223" s="323"/>
      <c r="AM223" s="326">
        <f t="shared" si="8"/>
        <v>156</v>
      </c>
      <c r="AN223" s="327">
        <f t="shared" si="9"/>
        <v>0.21863733839999996</v>
      </c>
      <c r="AO223" s="327">
        <v>0.7</v>
      </c>
      <c r="AP223" s="327"/>
      <c r="AQ223" s="328">
        <f t="shared" si="10"/>
        <v>3699.5103599999998</v>
      </c>
    </row>
    <row r="224" spans="1:43">
      <c r="A224" s="351" t="s">
        <v>208</v>
      </c>
      <c r="B224" s="323">
        <v>15.9</v>
      </c>
      <c r="C224" s="323">
        <v>310</v>
      </c>
      <c r="D224" s="323">
        <v>166</v>
      </c>
      <c r="E224" s="323">
        <v>432</v>
      </c>
      <c r="F224" s="323"/>
      <c r="G224" s="354">
        <v>45772</v>
      </c>
      <c r="H224" s="323"/>
      <c r="I224" s="323"/>
      <c r="J224" s="323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323"/>
      <c r="AB224" s="323"/>
      <c r="AC224" s="323"/>
      <c r="AD224" s="323"/>
      <c r="AE224" s="323"/>
      <c r="AF224" s="323"/>
      <c r="AG224" s="323"/>
      <c r="AH224" s="323"/>
      <c r="AI224" s="323"/>
      <c r="AJ224" s="323"/>
      <c r="AK224" s="323"/>
      <c r="AL224" s="323"/>
      <c r="AM224" s="326">
        <f t="shared" si="8"/>
        <v>432</v>
      </c>
      <c r="AN224" s="327">
        <f t="shared" si="9"/>
        <v>0.35346844799999999</v>
      </c>
      <c r="AO224" s="327">
        <v>0.28999999999999998</v>
      </c>
      <c r="AP224" s="327"/>
      <c r="AQ224" s="328">
        <f t="shared" si="10"/>
        <v>4244.273424</v>
      </c>
    </row>
    <row r="225" spans="1:43">
      <c r="A225" s="351" t="s">
        <v>208</v>
      </c>
      <c r="B225" s="323">
        <v>15.9</v>
      </c>
      <c r="C225" s="323">
        <v>480</v>
      </c>
      <c r="D225" s="323">
        <v>166</v>
      </c>
      <c r="E225" s="323">
        <v>120</v>
      </c>
      <c r="F225" s="323"/>
      <c r="G225" s="354">
        <v>45772</v>
      </c>
      <c r="H225" s="323"/>
      <c r="I225" s="323"/>
      <c r="J225" s="323"/>
      <c r="K225" s="323"/>
      <c r="L225" s="323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  <c r="AA225" s="323"/>
      <c r="AB225" s="323"/>
      <c r="AC225" s="323"/>
      <c r="AD225" s="323"/>
      <c r="AE225" s="323"/>
      <c r="AF225" s="323"/>
      <c r="AG225" s="323"/>
      <c r="AH225" s="323"/>
      <c r="AI225" s="323"/>
      <c r="AJ225" s="323"/>
      <c r="AK225" s="323"/>
      <c r="AL225" s="323"/>
      <c r="AM225" s="326">
        <f t="shared" si="8"/>
        <v>120</v>
      </c>
      <c r="AN225" s="327">
        <f t="shared" si="9"/>
        <v>0.15202943999999999</v>
      </c>
      <c r="AO225" s="327">
        <v>0.8</v>
      </c>
      <c r="AP225" s="327"/>
      <c r="AQ225" s="328">
        <f t="shared" si="10"/>
        <v>3252.3168000000005</v>
      </c>
    </row>
    <row r="226" spans="1:43">
      <c r="A226" s="351" t="s">
        <v>208</v>
      </c>
      <c r="B226" s="323">
        <v>15.9</v>
      </c>
      <c r="C226" s="323">
        <v>305</v>
      </c>
      <c r="D226" s="323">
        <v>166</v>
      </c>
      <c r="E226" s="323">
        <v>21</v>
      </c>
      <c r="F226" s="323"/>
      <c r="G226" s="354">
        <v>45772</v>
      </c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323"/>
      <c r="AB226" s="323"/>
      <c r="AC226" s="323"/>
      <c r="AD226" s="323"/>
      <c r="AE226" s="323"/>
      <c r="AF226" s="323"/>
      <c r="AG226" s="323"/>
      <c r="AH226" s="323"/>
      <c r="AI226" s="323"/>
      <c r="AJ226" s="323"/>
      <c r="AK226" s="323"/>
      <c r="AL226" s="323"/>
      <c r="AM226" s="326">
        <f t="shared" si="8"/>
        <v>21</v>
      </c>
      <c r="AN226" s="327">
        <f t="shared" si="9"/>
        <v>1.6905356999999999E-2</v>
      </c>
      <c r="AO226" s="327">
        <v>0.51</v>
      </c>
      <c r="AP226" s="327"/>
      <c r="AQ226" s="328">
        <f t="shared" si="10"/>
        <v>362.83659300000005</v>
      </c>
    </row>
    <row r="227" spans="1:43">
      <c r="A227" s="351" t="s">
        <v>208</v>
      </c>
      <c r="B227" s="323">
        <v>15.9</v>
      </c>
      <c r="C227" s="323">
        <v>700</v>
      </c>
      <c r="D227" s="323">
        <v>166</v>
      </c>
      <c r="E227" s="323">
        <v>288</v>
      </c>
      <c r="F227" s="323"/>
      <c r="G227" s="354">
        <v>45772</v>
      </c>
      <c r="H227" s="323"/>
      <c r="I227" s="323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323"/>
      <c r="AB227" s="323"/>
      <c r="AC227" s="323"/>
      <c r="AD227" s="323"/>
      <c r="AE227" s="323"/>
      <c r="AF227" s="323"/>
      <c r="AG227" s="323"/>
      <c r="AH227" s="323"/>
      <c r="AI227" s="323"/>
      <c r="AJ227" s="323"/>
      <c r="AK227" s="323"/>
      <c r="AL227" s="323"/>
      <c r="AM227" s="326">
        <f t="shared" si="8"/>
        <v>288</v>
      </c>
      <c r="AN227" s="327">
        <f t="shared" si="9"/>
        <v>0.53210303999999997</v>
      </c>
      <c r="AO227" s="327">
        <v>0.37</v>
      </c>
      <c r="AP227" s="327"/>
      <c r="AQ227" s="328">
        <f t="shared" si="10"/>
        <v>3610.0716480000006</v>
      </c>
    </row>
    <row r="228" spans="1:43">
      <c r="A228" s="351" t="s">
        <v>208</v>
      </c>
      <c r="B228" s="323">
        <v>15.9</v>
      </c>
      <c r="C228" s="323">
        <v>161.9</v>
      </c>
      <c r="D228" s="323">
        <v>828.7</v>
      </c>
      <c r="E228" s="323">
        <v>180</v>
      </c>
      <c r="F228" s="323"/>
      <c r="G228" s="354">
        <v>45780</v>
      </c>
      <c r="H228" s="323"/>
      <c r="I228" s="323"/>
      <c r="J228" s="323"/>
      <c r="K228" s="323"/>
      <c r="L228" s="323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  <c r="AA228" s="323"/>
      <c r="AB228" s="323"/>
      <c r="AC228" s="323"/>
      <c r="AD228" s="323"/>
      <c r="AE228" s="323"/>
      <c r="AF228" s="323"/>
      <c r="AG228" s="323"/>
      <c r="AH228" s="323"/>
      <c r="AI228" s="323"/>
      <c r="AJ228" s="323"/>
      <c r="AK228" s="323"/>
      <c r="AL228" s="323"/>
      <c r="AM228" s="326">
        <f t="shared" si="8"/>
        <v>180</v>
      </c>
      <c r="AN228" s="327">
        <f t="shared" si="9"/>
        <v>0.38398460886000002</v>
      </c>
      <c r="AO228" s="327"/>
      <c r="AP228" s="327"/>
      <c r="AQ228" s="328"/>
    </row>
    <row r="229" spans="1:43">
      <c r="A229" s="351" t="s">
        <v>208</v>
      </c>
      <c r="B229" s="323">
        <v>15.9</v>
      </c>
      <c r="C229" s="323">
        <v>161.9</v>
      </c>
      <c r="D229" s="323">
        <v>828.7</v>
      </c>
      <c r="E229" s="323">
        <v>180</v>
      </c>
      <c r="F229" s="323"/>
      <c r="G229" s="354">
        <v>45780</v>
      </c>
      <c r="H229" s="323"/>
      <c r="I229" s="323"/>
      <c r="J229" s="323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  <c r="AA229" s="323"/>
      <c r="AB229" s="323"/>
      <c r="AC229" s="323"/>
      <c r="AD229" s="323"/>
      <c r="AE229" s="323"/>
      <c r="AF229" s="323"/>
      <c r="AG229" s="323"/>
      <c r="AH229" s="323"/>
      <c r="AI229" s="323"/>
      <c r="AJ229" s="323"/>
      <c r="AK229" s="323"/>
      <c r="AL229" s="323"/>
      <c r="AM229" s="326">
        <f t="shared" si="8"/>
        <v>180</v>
      </c>
      <c r="AN229" s="327">
        <f t="shared" si="9"/>
        <v>0.38398460886000002</v>
      </c>
      <c r="AO229" s="327"/>
      <c r="AP229" s="327"/>
      <c r="AQ229" s="328"/>
    </row>
    <row r="230" spans="1:43">
      <c r="A230" s="351" t="s">
        <v>208</v>
      </c>
      <c r="B230" s="323">
        <v>15.9</v>
      </c>
      <c r="C230" s="323">
        <v>161.9</v>
      </c>
      <c r="D230" s="323">
        <v>295.3</v>
      </c>
      <c r="E230" s="323">
        <v>530</v>
      </c>
      <c r="F230" s="323"/>
      <c r="G230" s="354">
        <v>45780</v>
      </c>
      <c r="H230" s="323"/>
      <c r="I230" s="323"/>
      <c r="J230" s="323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>
        <v>130</v>
      </c>
      <c r="U230" s="323"/>
      <c r="V230" s="323"/>
      <c r="W230" s="323"/>
      <c r="X230" s="323"/>
      <c r="Y230" s="323"/>
      <c r="Z230" s="323"/>
      <c r="AA230" s="323"/>
      <c r="AB230" s="323"/>
      <c r="AC230" s="323"/>
      <c r="AD230" s="323"/>
      <c r="AE230" s="323"/>
      <c r="AF230" s="323"/>
      <c r="AG230" s="323"/>
      <c r="AH230" s="323"/>
      <c r="AI230" s="323"/>
      <c r="AJ230" s="323"/>
      <c r="AK230" s="323"/>
      <c r="AL230" s="323"/>
      <c r="AM230" s="326">
        <f t="shared" si="8"/>
        <v>400</v>
      </c>
      <c r="AN230" s="327">
        <f t="shared" si="9"/>
        <v>0.30406568519999999</v>
      </c>
      <c r="AO230" s="327"/>
      <c r="AP230" s="327"/>
      <c r="AQ230" s="328"/>
    </row>
    <row r="231" spans="1:43">
      <c r="A231" s="351" t="s">
        <v>208</v>
      </c>
      <c r="B231" s="323">
        <v>15.9</v>
      </c>
      <c r="C231" s="323">
        <v>161.9</v>
      </c>
      <c r="D231" s="323">
        <v>676.3</v>
      </c>
      <c r="E231" s="323">
        <v>240</v>
      </c>
      <c r="F231" s="323"/>
      <c r="G231" s="354">
        <v>45780</v>
      </c>
      <c r="H231" s="323"/>
      <c r="I231" s="323"/>
      <c r="J231" s="323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  <c r="AA231" s="323"/>
      <c r="AB231" s="323"/>
      <c r="AC231" s="323"/>
      <c r="AD231" s="323"/>
      <c r="AE231" s="323"/>
      <c r="AF231" s="323"/>
      <c r="AG231" s="323"/>
      <c r="AH231" s="323"/>
      <c r="AI231" s="323"/>
      <c r="AJ231" s="323"/>
      <c r="AK231" s="323"/>
      <c r="AL231" s="323"/>
      <c r="AM231" s="326">
        <f t="shared" si="8"/>
        <v>240</v>
      </c>
      <c r="AN231" s="327">
        <f t="shared" si="9"/>
        <v>0.41782517351999998</v>
      </c>
      <c r="AO231" s="327"/>
      <c r="AP231" s="327"/>
      <c r="AQ231" s="328"/>
    </row>
    <row r="232" spans="1:43">
      <c r="A232" s="351" t="s">
        <v>208</v>
      </c>
      <c r="B232" s="323">
        <v>15.9</v>
      </c>
      <c r="C232" s="323">
        <v>254</v>
      </c>
      <c r="D232" s="323">
        <v>371.5</v>
      </c>
      <c r="E232" s="323">
        <v>318</v>
      </c>
      <c r="F232" s="323"/>
      <c r="G232" s="354">
        <v>45780</v>
      </c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323"/>
      <c r="AB232" s="323"/>
      <c r="AC232" s="323"/>
      <c r="AD232" s="323"/>
      <c r="AE232" s="323"/>
      <c r="AF232" s="323"/>
      <c r="AG232" s="323"/>
      <c r="AH232" s="323"/>
      <c r="AI232" s="323"/>
      <c r="AJ232" s="323"/>
      <c r="AK232" s="323"/>
      <c r="AL232" s="323"/>
      <c r="AM232" s="326">
        <f t="shared" si="8"/>
        <v>318</v>
      </c>
      <c r="AN232" s="327">
        <f t="shared" si="9"/>
        <v>0.4771080882</v>
      </c>
      <c r="AO232" s="327"/>
      <c r="AP232" s="327"/>
      <c r="AQ232" s="328"/>
    </row>
    <row r="233" spans="1:43">
      <c r="A233" s="351" t="s">
        <v>208</v>
      </c>
      <c r="B233" s="323">
        <v>15.9</v>
      </c>
      <c r="C233" s="323">
        <v>161.9</v>
      </c>
      <c r="D233" s="323">
        <v>752.5</v>
      </c>
      <c r="E233" s="323">
        <v>88</v>
      </c>
      <c r="F233" s="323"/>
      <c r="G233" s="354">
        <v>45780</v>
      </c>
      <c r="H233" s="323"/>
      <c r="I233" s="323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323"/>
      <c r="AB233" s="323"/>
      <c r="AC233" s="323"/>
      <c r="AD233" s="323"/>
      <c r="AE233" s="323"/>
      <c r="AF233" s="323"/>
      <c r="AG233" s="323"/>
      <c r="AH233" s="323"/>
      <c r="AI233" s="323"/>
      <c r="AJ233" s="323"/>
      <c r="AK233" s="323"/>
      <c r="AL233" s="323"/>
      <c r="AM233" s="326">
        <f t="shared" si="8"/>
        <v>88</v>
      </c>
      <c r="AN233" s="327">
        <f t="shared" si="9"/>
        <v>0.17046418620000001</v>
      </c>
      <c r="AO233" s="327"/>
      <c r="AP233" s="327"/>
      <c r="AQ233" s="328"/>
    </row>
    <row r="234" spans="1:43">
      <c r="A234" s="351" t="s">
        <v>208</v>
      </c>
      <c r="B234" s="323">
        <v>15.9</v>
      </c>
      <c r="C234" s="323">
        <v>254</v>
      </c>
      <c r="D234" s="323">
        <v>520.70000000000005</v>
      </c>
      <c r="E234" s="323">
        <v>110</v>
      </c>
      <c r="F234" s="323"/>
      <c r="G234" s="354">
        <v>45780</v>
      </c>
      <c r="H234" s="323"/>
      <c r="I234" s="323"/>
      <c r="J234" s="323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  <c r="AA234" s="323"/>
      <c r="AB234" s="323"/>
      <c r="AC234" s="323"/>
      <c r="AD234" s="323"/>
      <c r="AE234" s="323"/>
      <c r="AF234" s="323"/>
      <c r="AG234" s="323"/>
      <c r="AH234" s="323"/>
      <c r="AI234" s="323"/>
      <c r="AJ234" s="323"/>
      <c r="AK234" s="323"/>
      <c r="AL234" s="323"/>
      <c r="AM234" s="326">
        <f t="shared" si="8"/>
        <v>110</v>
      </c>
      <c r="AN234" s="327">
        <f t="shared" si="9"/>
        <v>0.23131889219999999</v>
      </c>
      <c r="AO234" s="327"/>
      <c r="AP234" s="327"/>
      <c r="AQ234" s="328"/>
    </row>
    <row r="235" spans="1:43">
      <c r="A235" s="351" t="s">
        <v>208</v>
      </c>
      <c r="B235" s="323">
        <v>15.9</v>
      </c>
      <c r="C235" s="323">
        <v>161.9</v>
      </c>
      <c r="D235" s="323">
        <v>371.5</v>
      </c>
      <c r="E235" s="323">
        <v>660</v>
      </c>
      <c r="F235" s="323"/>
      <c r="G235" s="354">
        <v>45780</v>
      </c>
      <c r="H235" s="323"/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>
        <v>247</v>
      </c>
      <c r="W235" s="323"/>
      <c r="X235" s="323"/>
      <c r="Y235" s="323"/>
      <c r="Z235" s="323"/>
      <c r="AA235" s="323"/>
      <c r="AB235" s="323"/>
      <c r="AC235" s="323"/>
      <c r="AD235" s="323"/>
      <c r="AE235" s="323"/>
      <c r="AF235" s="323"/>
      <c r="AG235" s="323"/>
      <c r="AH235" s="323"/>
      <c r="AI235" s="323"/>
      <c r="AJ235" s="323"/>
      <c r="AK235" s="323"/>
      <c r="AL235" s="323"/>
      <c r="AM235" s="326">
        <f t="shared" si="8"/>
        <v>413</v>
      </c>
      <c r="AN235" s="327">
        <f t="shared" si="9"/>
        <v>0.39495975319499999</v>
      </c>
      <c r="AO235" s="327"/>
      <c r="AP235" s="327"/>
      <c r="AQ235" s="328"/>
    </row>
    <row r="236" spans="1:43">
      <c r="A236" s="351" t="s">
        <v>208</v>
      </c>
      <c r="B236" s="323">
        <v>15.9</v>
      </c>
      <c r="C236" s="323">
        <v>254</v>
      </c>
      <c r="D236" s="323">
        <v>520.70000000000005</v>
      </c>
      <c r="E236" s="323">
        <v>240</v>
      </c>
      <c r="F236" s="323"/>
      <c r="G236" s="354">
        <v>45780</v>
      </c>
      <c r="H236" s="323"/>
      <c r="I236" s="323"/>
      <c r="J236" s="323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323"/>
      <c r="AB236" s="323"/>
      <c r="AC236" s="323"/>
      <c r="AD236" s="323"/>
      <c r="AE236" s="323"/>
      <c r="AF236" s="323"/>
      <c r="AG236" s="323"/>
      <c r="AH236" s="323"/>
      <c r="AI236" s="323"/>
      <c r="AJ236" s="323"/>
      <c r="AK236" s="323"/>
      <c r="AL236" s="323"/>
      <c r="AM236" s="326">
        <f t="shared" si="8"/>
        <v>240</v>
      </c>
      <c r="AN236" s="327">
        <f t="shared" si="9"/>
        <v>0.5046957648</v>
      </c>
      <c r="AO236" s="327"/>
      <c r="AP236" s="327"/>
      <c r="AQ236" s="328"/>
    </row>
    <row r="237" spans="1:43">
      <c r="A237" s="351" t="s">
        <v>208</v>
      </c>
      <c r="B237" s="323">
        <v>15.9</v>
      </c>
      <c r="C237" s="323">
        <v>161.9</v>
      </c>
      <c r="D237" s="323">
        <v>981.1</v>
      </c>
      <c r="E237" s="323">
        <v>160</v>
      </c>
      <c r="F237" s="323"/>
      <c r="G237" s="354">
        <v>45780</v>
      </c>
      <c r="H237" s="323"/>
      <c r="I237" s="323"/>
      <c r="J237" s="323"/>
      <c r="K237" s="323"/>
      <c r="L237" s="323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  <c r="AA237" s="323"/>
      <c r="AB237" s="323"/>
      <c r="AC237" s="323"/>
      <c r="AD237" s="323"/>
      <c r="AE237" s="323"/>
      <c r="AF237" s="323"/>
      <c r="AG237" s="323"/>
      <c r="AH237" s="323"/>
      <c r="AI237" s="323"/>
      <c r="AJ237" s="323"/>
      <c r="AK237" s="323"/>
      <c r="AL237" s="323"/>
      <c r="AM237" s="326">
        <f t="shared" si="8"/>
        <v>160</v>
      </c>
      <c r="AN237" s="327">
        <f t="shared" si="9"/>
        <v>0.40408918895999996</v>
      </c>
      <c r="AO237" s="327"/>
      <c r="AP237" s="327"/>
      <c r="AQ237" s="328"/>
    </row>
    <row r="238" spans="1:43">
      <c r="A238" s="351" t="s">
        <v>208</v>
      </c>
      <c r="B238" s="323">
        <v>15.9</v>
      </c>
      <c r="C238" s="323">
        <v>85.7</v>
      </c>
      <c r="D238" s="323">
        <v>295.3</v>
      </c>
      <c r="E238" s="323">
        <v>1880</v>
      </c>
      <c r="F238" s="323"/>
      <c r="G238" s="354">
        <v>45780</v>
      </c>
      <c r="H238" s="323"/>
      <c r="I238" s="323"/>
      <c r="J238" s="323"/>
      <c r="K238" s="323"/>
      <c r="L238" s="323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  <c r="AA238" s="323"/>
      <c r="AB238" s="323"/>
      <c r="AC238" s="323"/>
      <c r="AD238" s="323"/>
      <c r="AE238" s="323"/>
      <c r="AF238" s="323"/>
      <c r="AG238" s="323"/>
      <c r="AH238" s="323"/>
      <c r="AI238" s="323"/>
      <c r="AJ238" s="323"/>
      <c r="AK238" s="323"/>
      <c r="AL238" s="323"/>
      <c r="AM238" s="326">
        <f t="shared" si="8"/>
        <v>1880</v>
      </c>
      <c r="AN238" s="327">
        <f t="shared" si="9"/>
        <v>0.75648312132000006</v>
      </c>
      <c r="AO238" s="327"/>
      <c r="AP238" s="327"/>
      <c r="AQ238" s="328"/>
    </row>
    <row r="239" spans="1:43">
      <c r="A239" s="351" t="s">
        <v>208</v>
      </c>
      <c r="B239" s="323">
        <v>15.9</v>
      </c>
      <c r="C239" s="323">
        <v>161.9</v>
      </c>
      <c r="D239" s="323">
        <v>444.5</v>
      </c>
      <c r="E239" s="323">
        <v>320</v>
      </c>
      <c r="F239" s="323"/>
      <c r="G239" s="354">
        <v>45780</v>
      </c>
      <c r="H239" s="323"/>
      <c r="I239" s="323"/>
      <c r="J239" s="323"/>
      <c r="K239" s="323"/>
      <c r="L239" s="323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  <c r="AA239" s="323"/>
      <c r="AB239" s="323"/>
      <c r="AC239" s="323"/>
      <c r="AD239" s="323"/>
      <c r="AE239" s="323"/>
      <c r="AF239" s="323"/>
      <c r="AG239" s="323"/>
      <c r="AH239" s="323"/>
      <c r="AI239" s="323"/>
      <c r="AJ239" s="323"/>
      <c r="AK239" s="323"/>
      <c r="AL239" s="323"/>
      <c r="AM239" s="326">
        <f t="shared" si="8"/>
        <v>320</v>
      </c>
      <c r="AN239" s="327">
        <f t="shared" si="9"/>
        <v>0.36615563039999999</v>
      </c>
      <c r="AO239" s="327"/>
      <c r="AP239" s="327"/>
      <c r="AQ239" s="328"/>
    </row>
    <row r="240" spans="1:43">
      <c r="A240" s="351" t="s">
        <v>208</v>
      </c>
      <c r="B240" s="323">
        <v>15.9</v>
      </c>
      <c r="C240" s="323">
        <v>161.9</v>
      </c>
      <c r="D240" s="323">
        <v>523.9</v>
      </c>
      <c r="E240" s="323">
        <v>320</v>
      </c>
      <c r="F240" s="323"/>
      <c r="G240" s="354">
        <v>45780</v>
      </c>
      <c r="H240" s="323"/>
      <c r="I240" s="323"/>
      <c r="J240" s="323"/>
      <c r="K240" s="323"/>
      <c r="L240" s="323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  <c r="AA240" s="323"/>
      <c r="AB240" s="323"/>
      <c r="AC240" s="323"/>
      <c r="AD240" s="323"/>
      <c r="AE240" s="323"/>
      <c r="AF240" s="323"/>
      <c r="AG240" s="323"/>
      <c r="AH240" s="323"/>
      <c r="AI240" s="323"/>
      <c r="AJ240" s="323"/>
      <c r="AK240" s="323"/>
      <c r="AL240" s="323"/>
      <c r="AM240" s="326">
        <f t="shared" si="8"/>
        <v>320</v>
      </c>
      <c r="AN240" s="327">
        <f t="shared" si="9"/>
        <v>0.43156115808000001</v>
      </c>
      <c r="AO240" s="327"/>
      <c r="AP240" s="327"/>
      <c r="AQ240" s="328"/>
    </row>
    <row r="241" spans="1:43">
      <c r="A241" s="351" t="s">
        <v>208</v>
      </c>
      <c r="B241" s="323">
        <v>15.9</v>
      </c>
      <c r="C241" s="323">
        <v>161.9</v>
      </c>
      <c r="D241" s="323">
        <v>828.7</v>
      </c>
      <c r="E241" s="323">
        <v>160</v>
      </c>
      <c r="F241" s="323"/>
      <c r="G241" s="354">
        <v>45780</v>
      </c>
      <c r="H241" s="323"/>
      <c r="I241" s="323"/>
      <c r="J241" s="323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  <c r="AA241" s="323"/>
      <c r="AB241" s="323"/>
      <c r="AC241" s="323"/>
      <c r="AD241" s="323"/>
      <c r="AE241" s="323"/>
      <c r="AF241" s="323"/>
      <c r="AG241" s="323"/>
      <c r="AH241" s="323"/>
      <c r="AI241" s="323"/>
      <c r="AJ241" s="323"/>
      <c r="AK241" s="323"/>
      <c r="AL241" s="323"/>
      <c r="AM241" s="326">
        <f t="shared" si="8"/>
        <v>160</v>
      </c>
      <c r="AN241" s="327">
        <f t="shared" si="9"/>
        <v>0.34131965232</v>
      </c>
      <c r="AO241" s="327"/>
      <c r="AP241" s="327"/>
      <c r="AQ241" s="328"/>
    </row>
    <row r="242" spans="1:43">
      <c r="A242" s="351" t="s">
        <v>208</v>
      </c>
      <c r="B242" s="323">
        <v>15.9</v>
      </c>
      <c r="C242" s="323">
        <v>161.9</v>
      </c>
      <c r="D242" s="323">
        <v>219.1</v>
      </c>
      <c r="E242" s="323">
        <v>720</v>
      </c>
      <c r="F242" s="323"/>
      <c r="G242" s="354">
        <v>45780</v>
      </c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323"/>
      <c r="AB242" s="323"/>
      <c r="AC242" s="323"/>
      <c r="AD242" s="323"/>
      <c r="AE242" s="323"/>
      <c r="AF242" s="323"/>
      <c r="AG242" s="323"/>
      <c r="AH242" s="323"/>
      <c r="AI242" s="323"/>
      <c r="AJ242" s="323"/>
      <c r="AK242" s="323"/>
      <c r="AL242" s="323"/>
      <c r="AM242" s="326">
        <f t="shared" si="8"/>
        <v>720</v>
      </c>
      <c r="AN242" s="327">
        <f t="shared" si="9"/>
        <v>0.40608677591999998</v>
      </c>
      <c r="AO242" s="327"/>
      <c r="AP242" s="327"/>
      <c r="AQ242" s="328"/>
    </row>
    <row r="243" spans="1:43">
      <c r="A243" s="351" t="s">
        <v>208</v>
      </c>
      <c r="B243" s="323">
        <v>15.9</v>
      </c>
      <c r="C243" s="323">
        <v>161.9</v>
      </c>
      <c r="D243" s="323">
        <v>676.3</v>
      </c>
      <c r="E243" s="323">
        <v>240</v>
      </c>
      <c r="F243" s="323"/>
      <c r="G243" s="354">
        <v>45780</v>
      </c>
      <c r="H243" s="323"/>
      <c r="I243" s="323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323"/>
      <c r="AB243" s="323"/>
      <c r="AC243" s="323"/>
      <c r="AD243" s="323"/>
      <c r="AE243" s="323"/>
      <c r="AF243" s="323"/>
      <c r="AG243" s="323"/>
      <c r="AH243" s="323"/>
      <c r="AI243" s="323"/>
      <c r="AJ243" s="323"/>
      <c r="AK243" s="323"/>
      <c r="AL243" s="323"/>
      <c r="AM243" s="326">
        <f t="shared" si="8"/>
        <v>240</v>
      </c>
      <c r="AN243" s="327">
        <f t="shared" si="9"/>
        <v>0.41782517351999998</v>
      </c>
      <c r="AO243" s="327"/>
      <c r="AP243" s="327"/>
      <c r="AQ243" s="328"/>
    </row>
    <row r="244" spans="1:43">
      <c r="A244" s="351" t="s">
        <v>208</v>
      </c>
      <c r="B244" s="323">
        <v>15.9</v>
      </c>
      <c r="C244" s="323">
        <v>254</v>
      </c>
      <c r="D244" s="323">
        <v>1133.5</v>
      </c>
      <c r="E244" s="323">
        <v>120</v>
      </c>
      <c r="F244" s="323"/>
      <c r="G244" s="354">
        <v>45780</v>
      </c>
      <c r="H244" s="323"/>
      <c r="I244" s="323"/>
      <c r="J244" s="323"/>
      <c r="K244" s="323"/>
      <c r="L244" s="323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  <c r="AA244" s="323"/>
      <c r="AB244" s="323"/>
      <c r="AC244" s="323"/>
      <c r="AD244" s="323"/>
      <c r="AE244" s="323"/>
      <c r="AF244" s="323"/>
      <c r="AG244" s="323"/>
      <c r="AH244" s="323"/>
      <c r="AI244" s="323"/>
      <c r="AJ244" s="323"/>
      <c r="AK244" s="323"/>
      <c r="AL244" s="323"/>
      <c r="AM244" s="326">
        <f t="shared" si="8"/>
        <v>120</v>
      </c>
      <c r="AN244" s="327">
        <f t="shared" si="9"/>
        <v>0.54933037200000001</v>
      </c>
      <c r="AO244" s="327"/>
      <c r="AP244" s="327"/>
      <c r="AQ244" s="328"/>
    </row>
    <row r="245" spans="1:43">
      <c r="A245" s="351" t="s">
        <v>208</v>
      </c>
      <c r="B245" s="323">
        <v>19.05</v>
      </c>
      <c r="C245" s="323">
        <v>33</v>
      </c>
      <c r="D245" s="323">
        <v>458</v>
      </c>
      <c r="E245" s="323">
        <v>1280</v>
      </c>
      <c r="F245" s="323"/>
      <c r="G245" s="354">
        <v>45780</v>
      </c>
      <c r="H245" s="323"/>
      <c r="I245" s="323"/>
      <c r="J245" s="323"/>
      <c r="K245" s="323"/>
      <c r="L245" s="323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  <c r="AA245" s="323"/>
      <c r="AB245" s="323"/>
      <c r="AC245" s="323"/>
      <c r="AD245" s="323"/>
      <c r="AE245" s="323"/>
      <c r="AF245" s="323"/>
      <c r="AG245" s="323"/>
      <c r="AH245" s="323"/>
      <c r="AI245" s="323"/>
      <c r="AJ245" s="323"/>
      <c r="AK245" s="323"/>
      <c r="AL245" s="323"/>
      <c r="AM245" s="326">
        <f t="shared" si="8"/>
        <v>1280</v>
      </c>
      <c r="AN245" s="327">
        <f t="shared" si="9"/>
        <v>0.36853977599999999</v>
      </c>
      <c r="AO245" s="327"/>
      <c r="AP245" s="327"/>
      <c r="AQ245" s="328"/>
    </row>
    <row r="246" spans="1:43">
      <c r="A246" s="351" t="s">
        <v>208</v>
      </c>
      <c r="B246" s="323">
        <v>19.05</v>
      </c>
      <c r="C246" s="323">
        <v>33</v>
      </c>
      <c r="D246" s="323">
        <v>458</v>
      </c>
      <c r="E246" s="323">
        <v>1000</v>
      </c>
      <c r="F246" s="323"/>
      <c r="G246" s="354">
        <v>45780</v>
      </c>
      <c r="H246" s="323"/>
      <c r="I246" s="323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323"/>
      <c r="AB246" s="323"/>
      <c r="AC246" s="323"/>
      <c r="AD246" s="323"/>
      <c r="AE246" s="323"/>
      <c r="AF246" s="323"/>
      <c r="AG246" s="323"/>
      <c r="AH246" s="323"/>
      <c r="AI246" s="323"/>
      <c r="AJ246" s="323"/>
      <c r="AK246" s="323"/>
      <c r="AL246" s="323"/>
      <c r="AM246" s="326">
        <f t="shared" ref="AM246:AM309" si="11">E246-H246-I246-J246-K246-L246-M246-N246-O246-P246-Q246-R246-S246-T246-U246-V246-W246-X246-Y246-Z246-AA246-AB246-AC246-AD246-AE246-AF246-AG246-AH246-AI246-AJ246-AK246-AL246</f>
        <v>1000</v>
      </c>
      <c r="AN246" s="327">
        <f t="shared" si="9"/>
        <v>0.2879217</v>
      </c>
      <c r="AO246" s="327"/>
      <c r="AP246" s="327"/>
      <c r="AQ246" s="328"/>
    </row>
    <row r="247" spans="1:43">
      <c r="A247" s="351" t="s">
        <v>208</v>
      </c>
      <c r="B247" s="323">
        <v>15.9</v>
      </c>
      <c r="C247" s="323">
        <v>161.9</v>
      </c>
      <c r="D247" s="323">
        <v>600.1</v>
      </c>
      <c r="E247" s="323">
        <v>240</v>
      </c>
      <c r="F247" s="323"/>
      <c r="G247" s="354">
        <v>45780</v>
      </c>
      <c r="H247" s="323">
        <v>204</v>
      </c>
      <c r="I247" s="323"/>
      <c r="J247" s="323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  <c r="AA247" s="323"/>
      <c r="AB247" s="323"/>
      <c r="AC247" s="323"/>
      <c r="AD247" s="323"/>
      <c r="AE247" s="323"/>
      <c r="AF247" s="323"/>
      <c r="AG247" s="323"/>
      <c r="AH247" s="323"/>
      <c r="AI247" s="323"/>
      <c r="AJ247" s="323"/>
      <c r="AK247" s="323"/>
      <c r="AL247" s="323"/>
      <c r="AM247" s="326">
        <f t="shared" si="11"/>
        <v>36</v>
      </c>
      <c r="AN247" s="327">
        <f t="shared" si="9"/>
        <v>5.5612203156000004E-2</v>
      </c>
      <c r="AO247" s="327"/>
      <c r="AP247" s="327"/>
      <c r="AQ247" s="328"/>
    </row>
    <row r="248" spans="1:43">
      <c r="A248" s="351" t="s">
        <v>208</v>
      </c>
      <c r="B248" s="323">
        <v>15.9</v>
      </c>
      <c r="C248" s="323">
        <v>85.7</v>
      </c>
      <c r="D248" s="323">
        <v>806.5</v>
      </c>
      <c r="E248" s="323">
        <v>320</v>
      </c>
      <c r="F248" s="323"/>
      <c r="G248" s="354">
        <v>45780</v>
      </c>
      <c r="H248" s="323"/>
      <c r="I248" s="323"/>
      <c r="J248" s="323"/>
      <c r="K248" s="323"/>
      <c r="L248" s="323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  <c r="AA248" s="323"/>
      <c r="AB248" s="323"/>
      <c r="AC248" s="323"/>
      <c r="AD248" s="323"/>
      <c r="AE248" s="323"/>
      <c r="AF248" s="323"/>
      <c r="AG248" s="323"/>
      <c r="AH248" s="323"/>
      <c r="AI248" s="323"/>
      <c r="AJ248" s="323"/>
      <c r="AK248" s="323"/>
      <c r="AL248" s="323"/>
      <c r="AM248" s="326">
        <f t="shared" si="11"/>
        <v>320</v>
      </c>
      <c r="AN248" s="327">
        <f t="shared" si="9"/>
        <v>0.35166755039999997</v>
      </c>
      <c r="AO248" s="327"/>
      <c r="AP248" s="327"/>
      <c r="AQ248" s="328"/>
    </row>
    <row r="249" spans="1:43">
      <c r="A249" s="351" t="s">
        <v>208</v>
      </c>
      <c r="B249" s="323">
        <v>15.9</v>
      </c>
      <c r="C249" s="323">
        <v>161.9</v>
      </c>
      <c r="D249" s="323">
        <v>1133.5</v>
      </c>
      <c r="E249" s="323">
        <v>160</v>
      </c>
      <c r="F249" s="323"/>
      <c r="G249" s="354">
        <v>45780</v>
      </c>
      <c r="H249" s="323"/>
      <c r="I249" s="323"/>
      <c r="J249" s="323"/>
      <c r="K249" s="323"/>
      <c r="L249" s="323"/>
      <c r="M249" s="323"/>
      <c r="N249" s="323"/>
      <c r="O249" s="323"/>
      <c r="P249" s="323"/>
      <c r="Q249" s="323"/>
      <c r="R249" s="323"/>
      <c r="S249" s="323"/>
      <c r="T249" s="323"/>
      <c r="U249" s="323"/>
      <c r="V249" s="323"/>
      <c r="W249" s="323"/>
      <c r="X249" s="323"/>
      <c r="Y249" s="323"/>
      <c r="Z249" s="323"/>
      <c r="AA249" s="323"/>
      <c r="AB249" s="323"/>
      <c r="AC249" s="323"/>
      <c r="AD249" s="323"/>
      <c r="AE249" s="323"/>
      <c r="AF249" s="323"/>
      <c r="AG249" s="323"/>
      <c r="AH249" s="323"/>
      <c r="AI249" s="323"/>
      <c r="AJ249" s="323"/>
      <c r="AK249" s="323"/>
      <c r="AL249" s="323"/>
      <c r="AM249" s="326">
        <f t="shared" si="11"/>
        <v>160</v>
      </c>
      <c r="AN249" s="327">
        <f t="shared" si="9"/>
        <v>0.46685872560000002</v>
      </c>
      <c r="AO249" s="327"/>
      <c r="AP249" s="327"/>
      <c r="AQ249" s="328"/>
    </row>
    <row r="250" spans="1:43">
      <c r="A250" s="351" t="s">
        <v>208</v>
      </c>
      <c r="B250" s="323">
        <v>15.9</v>
      </c>
      <c r="C250" s="323">
        <v>85.7</v>
      </c>
      <c r="D250" s="323">
        <v>520.70000000000005</v>
      </c>
      <c r="E250" s="323">
        <v>640</v>
      </c>
      <c r="F250" s="323"/>
      <c r="G250" s="354">
        <v>45780</v>
      </c>
      <c r="H250" s="323"/>
      <c r="I250" s="323"/>
      <c r="J250" s="323"/>
      <c r="K250" s="323"/>
      <c r="L250" s="323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  <c r="AA250" s="323"/>
      <c r="AB250" s="323"/>
      <c r="AC250" s="323"/>
      <c r="AD250" s="323"/>
      <c r="AE250" s="323"/>
      <c r="AF250" s="323"/>
      <c r="AG250" s="323"/>
      <c r="AH250" s="323"/>
      <c r="AI250" s="323"/>
      <c r="AJ250" s="323"/>
      <c r="AK250" s="323"/>
      <c r="AL250" s="323"/>
      <c r="AM250" s="326">
        <f t="shared" si="11"/>
        <v>640</v>
      </c>
      <c r="AN250" s="327">
        <f t="shared" si="9"/>
        <v>0.45409372224000005</v>
      </c>
      <c r="AO250" s="327"/>
      <c r="AP250" s="327"/>
      <c r="AQ250" s="328"/>
    </row>
    <row r="251" spans="1:43">
      <c r="A251" s="351" t="s">
        <v>208</v>
      </c>
      <c r="B251" s="323">
        <v>15.9</v>
      </c>
      <c r="C251" s="323">
        <v>254</v>
      </c>
      <c r="D251" s="323">
        <v>520.70000000000005</v>
      </c>
      <c r="E251" s="323">
        <v>240</v>
      </c>
      <c r="F251" s="323"/>
      <c r="G251" s="354">
        <v>45780</v>
      </c>
      <c r="H251" s="323"/>
      <c r="I251" s="323"/>
      <c r="J251" s="323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  <c r="AA251" s="323"/>
      <c r="AB251" s="323"/>
      <c r="AC251" s="323"/>
      <c r="AD251" s="323"/>
      <c r="AE251" s="323"/>
      <c r="AF251" s="323"/>
      <c r="AG251" s="323"/>
      <c r="AH251" s="323"/>
      <c r="AI251" s="323"/>
      <c r="AJ251" s="323"/>
      <c r="AK251" s="323"/>
      <c r="AL251" s="323"/>
      <c r="AM251" s="326">
        <f t="shared" si="11"/>
        <v>240</v>
      </c>
      <c r="AN251" s="327">
        <f t="shared" si="9"/>
        <v>0.5046957648</v>
      </c>
      <c r="AO251" s="327"/>
      <c r="AP251" s="327"/>
      <c r="AQ251" s="328"/>
    </row>
    <row r="252" spans="1:43">
      <c r="A252" s="351" t="s">
        <v>208</v>
      </c>
      <c r="B252" s="323">
        <v>15.9</v>
      </c>
      <c r="C252" s="323">
        <v>254</v>
      </c>
      <c r="D252" s="323">
        <v>676.3</v>
      </c>
      <c r="E252" s="323">
        <v>68</v>
      </c>
      <c r="F252" s="323"/>
      <c r="G252" s="354">
        <v>45780</v>
      </c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323"/>
      <c r="AB252" s="323"/>
      <c r="AC252" s="323"/>
      <c r="AD252" s="323"/>
      <c r="AE252" s="323"/>
      <c r="AF252" s="323"/>
      <c r="AG252" s="323"/>
      <c r="AH252" s="323"/>
      <c r="AI252" s="323"/>
      <c r="AJ252" s="323"/>
      <c r="AK252" s="323"/>
      <c r="AL252" s="323"/>
      <c r="AM252" s="326">
        <f t="shared" si="11"/>
        <v>68</v>
      </c>
      <c r="AN252" s="327">
        <f t="shared" si="9"/>
        <v>0.18572875223999999</v>
      </c>
      <c r="AO252" s="327"/>
      <c r="AP252" s="327"/>
      <c r="AQ252" s="328"/>
    </row>
    <row r="253" spans="1:43">
      <c r="A253" s="351" t="s">
        <v>208</v>
      </c>
      <c r="B253" s="323">
        <v>15.9</v>
      </c>
      <c r="C253" s="323">
        <v>254</v>
      </c>
      <c r="D253" s="323">
        <v>676.3</v>
      </c>
      <c r="E253" s="323">
        <v>103</v>
      </c>
      <c r="F253" s="323"/>
      <c r="G253" s="354">
        <v>45780</v>
      </c>
      <c r="H253" s="323"/>
      <c r="I253" s="323"/>
      <c r="J253" s="323"/>
      <c r="K253" s="323"/>
      <c r="L253" s="323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  <c r="AA253" s="323"/>
      <c r="AB253" s="323"/>
      <c r="AC253" s="323"/>
      <c r="AD253" s="323"/>
      <c r="AE253" s="323"/>
      <c r="AF253" s="323"/>
      <c r="AG253" s="323"/>
      <c r="AH253" s="323"/>
      <c r="AI253" s="323"/>
      <c r="AJ253" s="323"/>
      <c r="AK253" s="323"/>
      <c r="AL253" s="323"/>
      <c r="AM253" s="326">
        <f t="shared" si="11"/>
        <v>103</v>
      </c>
      <c r="AN253" s="327">
        <f t="shared" si="9"/>
        <v>0.28132443353999997</v>
      </c>
      <c r="AO253" s="327"/>
      <c r="AP253" s="327"/>
      <c r="AQ253" s="328"/>
    </row>
    <row r="254" spans="1:43">
      <c r="A254" s="351" t="s">
        <v>208</v>
      </c>
      <c r="B254" s="323">
        <v>15.9</v>
      </c>
      <c r="C254" s="323">
        <v>254</v>
      </c>
      <c r="D254" s="323">
        <v>523.9</v>
      </c>
      <c r="E254" s="323">
        <v>200</v>
      </c>
      <c r="F254" s="323"/>
      <c r="G254" s="354">
        <v>45780</v>
      </c>
      <c r="H254" s="323"/>
      <c r="I254" s="323"/>
      <c r="J254" s="323"/>
      <c r="K254" s="323"/>
      <c r="L254" s="323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  <c r="AA254" s="323"/>
      <c r="AB254" s="323"/>
      <c r="AC254" s="323"/>
      <c r="AD254" s="323"/>
      <c r="AE254" s="323"/>
      <c r="AF254" s="323"/>
      <c r="AG254" s="323"/>
      <c r="AH254" s="323"/>
      <c r="AI254" s="323"/>
      <c r="AJ254" s="323"/>
      <c r="AK254" s="323"/>
      <c r="AL254" s="323"/>
      <c r="AM254" s="326">
        <f t="shared" si="11"/>
        <v>200</v>
      </c>
      <c r="AN254" s="327">
        <f t="shared" si="9"/>
        <v>0.42316450799999999</v>
      </c>
      <c r="AO254" s="327"/>
      <c r="AP254" s="327"/>
      <c r="AQ254" s="328"/>
    </row>
    <row r="255" spans="1:43">
      <c r="A255" s="351" t="s">
        <v>208</v>
      </c>
      <c r="B255" s="323">
        <v>15.9</v>
      </c>
      <c r="C255" s="345">
        <v>254</v>
      </c>
      <c r="D255" s="323">
        <v>444.5</v>
      </c>
      <c r="E255" s="323">
        <v>180</v>
      </c>
      <c r="F255" s="323"/>
      <c r="G255" s="354">
        <v>45780</v>
      </c>
      <c r="H255" s="323"/>
      <c r="I255" s="323"/>
      <c r="J255" s="323"/>
      <c r="K255" s="323"/>
      <c r="L255" s="323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  <c r="AA255" s="323"/>
      <c r="AB255" s="323"/>
      <c r="AC255" s="323"/>
      <c r="AD255" s="323"/>
      <c r="AE255" s="323"/>
      <c r="AF255" s="323"/>
      <c r="AG255" s="323"/>
      <c r="AH255" s="323"/>
      <c r="AI255" s="323"/>
      <c r="AJ255" s="323"/>
      <c r="AK255" s="323"/>
      <c r="AL255" s="323"/>
      <c r="AM255" s="326">
        <f t="shared" si="11"/>
        <v>180</v>
      </c>
      <c r="AN255" s="327">
        <f t="shared" si="9"/>
        <v>0.32312838599999999</v>
      </c>
      <c r="AO255" s="327"/>
      <c r="AP255" s="327"/>
      <c r="AQ255" s="328"/>
    </row>
    <row r="256" spans="1:43">
      <c r="A256" s="351" t="s">
        <v>208</v>
      </c>
      <c r="B256" s="323">
        <v>15.9</v>
      </c>
      <c r="C256" s="323">
        <v>254</v>
      </c>
      <c r="D256" s="323">
        <v>444.5</v>
      </c>
      <c r="E256" s="323">
        <v>240</v>
      </c>
      <c r="F256" s="323"/>
      <c r="G256" s="354">
        <v>45780</v>
      </c>
      <c r="H256" s="323"/>
      <c r="I256" s="323"/>
      <c r="J256" s="323"/>
      <c r="K256" s="323"/>
      <c r="L256" s="323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/>
      <c r="W256" s="323"/>
      <c r="X256" s="323"/>
      <c r="Y256" s="323"/>
      <c r="Z256" s="323"/>
      <c r="AA256" s="323"/>
      <c r="AB256" s="323"/>
      <c r="AC256" s="323"/>
      <c r="AD256" s="323"/>
      <c r="AE256" s="323"/>
      <c r="AF256" s="323"/>
      <c r="AG256" s="323"/>
      <c r="AH256" s="323"/>
      <c r="AI256" s="323"/>
      <c r="AJ256" s="323"/>
      <c r="AK256" s="323"/>
      <c r="AL256" s="323"/>
      <c r="AM256" s="326">
        <f t="shared" si="11"/>
        <v>240</v>
      </c>
      <c r="AN256" s="327">
        <f t="shared" si="9"/>
        <v>0.43083784800000002</v>
      </c>
      <c r="AO256" s="327"/>
      <c r="AP256" s="327"/>
      <c r="AQ256" s="328"/>
    </row>
    <row r="257" spans="1:43">
      <c r="A257" s="351" t="s">
        <v>208</v>
      </c>
      <c r="B257" s="323">
        <v>12.7</v>
      </c>
      <c r="C257" s="323">
        <v>103.9</v>
      </c>
      <c r="D257" s="323">
        <v>1219.2</v>
      </c>
      <c r="E257" s="323">
        <v>392</v>
      </c>
      <c r="F257" s="323"/>
      <c r="G257" s="354">
        <v>45780</v>
      </c>
      <c r="H257" s="323"/>
      <c r="I257" s="323"/>
      <c r="J257" s="323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  <c r="AA257" s="323"/>
      <c r="AB257" s="323"/>
      <c r="AC257" s="323"/>
      <c r="AD257" s="323"/>
      <c r="AE257" s="323"/>
      <c r="AF257" s="323"/>
      <c r="AG257" s="323"/>
      <c r="AH257" s="323"/>
      <c r="AI257" s="323"/>
      <c r="AJ257" s="323"/>
      <c r="AK257" s="323"/>
      <c r="AL257" s="323"/>
      <c r="AM257" s="326">
        <f t="shared" si="11"/>
        <v>392</v>
      </c>
      <c r="AN257" s="327">
        <f t="shared" si="9"/>
        <v>0.63063822259199998</v>
      </c>
      <c r="AO257" s="327"/>
      <c r="AP257" s="327"/>
      <c r="AQ257" s="328"/>
    </row>
    <row r="258" spans="1:43">
      <c r="A258" s="351" t="s">
        <v>208</v>
      </c>
      <c r="B258" s="323">
        <v>12.7</v>
      </c>
      <c r="C258" s="323">
        <v>103.9</v>
      </c>
      <c r="D258" s="323">
        <v>1219.2</v>
      </c>
      <c r="E258" s="323">
        <v>413</v>
      </c>
      <c r="F258" s="323"/>
      <c r="G258" s="354">
        <v>45780</v>
      </c>
      <c r="H258" s="323"/>
      <c r="I258" s="323"/>
      <c r="J258" s="323"/>
      <c r="K258" s="323"/>
      <c r="L258" s="323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  <c r="AA258" s="323"/>
      <c r="AB258" s="323"/>
      <c r="AC258" s="323"/>
      <c r="AD258" s="323"/>
      <c r="AE258" s="323"/>
      <c r="AF258" s="323"/>
      <c r="AG258" s="323"/>
      <c r="AH258" s="323"/>
      <c r="AI258" s="323"/>
      <c r="AJ258" s="323"/>
      <c r="AK258" s="323"/>
      <c r="AL258" s="323"/>
      <c r="AM258" s="326">
        <f t="shared" si="11"/>
        <v>413</v>
      </c>
      <c r="AN258" s="327">
        <f t="shared" si="9"/>
        <v>0.6644224130880001</v>
      </c>
      <c r="AO258" s="327"/>
      <c r="AP258" s="327"/>
      <c r="AQ258" s="328"/>
    </row>
    <row r="259" spans="1:43">
      <c r="A259" s="351" t="s">
        <v>208</v>
      </c>
      <c r="B259" s="323">
        <v>12.7</v>
      </c>
      <c r="C259" s="323">
        <v>103.9</v>
      </c>
      <c r="D259" s="323">
        <v>1219.2</v>
      </c>
      <c r="E259" s="323">
        <v>392</v>
      </c>
      <c r="F259" s="323"/>
      <c r="G259" s="354">
        <v>45780</v>
      </c>
      <c r="H259" s="323"/>
      <c r="I259" s="323"/>
      <c r="J259" s="323"/>
      <c r="K259" s="323"/>
      <c r="L259" s="323"/>
      <c r="M259" s="323"/>
      <c r="N259" s="323"/>
      <c r="O259" s="323"/>
      <c r="P259" s="323"/>
      <c r="Q259" s="323"/>
      <c r="R259" s="323"/>
      <c r="S259" s="323"/>
      <c r="T259" s="323"/>
      <c r="U259" s="323"/>
      <c r="V259" s="323"/>
      <c r="W259" s="323"/>
      <c r="X259" s="323"/>
      <c r="Y259" s="323"/>
      <c r="Z259" s="323"/>
      <c r="AA259" s="323"/>
      <c r="AB259" s="323"/>
      <c r="AC259" s="323"/>
      <c r="AD259" s="323"/>
      <c r="AE259" s="323"/>
      <c r="AF259" s="323"/>
      <c r="AG259" s="323"/>
      <c r="AH259" s="323"/>
      <c r="AI259" s="323"/>
      <c r="AJ259" s="323"/>
      <c r="AK259" s="323"/>
      <c r="AL259" s="323"/>
      <c r="AM259" s="326">
        <f t="shared" si="11"/>
        <v>392</v>
      </c>
      <c r="AN259" s="327">
        <f t="shared" ref="AN259:AN322" si="12">B259*C259*D259*AM259/1000000000</f>
        <v>0.63063822259199998</v>
      </c>
      <c r="AO259" s="327"/>
      <c r="AP259" s="327"/>
      <c r="AQ259" s="328"/>
    </row>
    <row r="260" spans="1:43">
      <c r="A260" s="351" t="s">
        <v>208</v>
      </c>
      <c r="B260" s="323">
        <v>12.7</v>
      </c>
      <c r="C260" s="323">
        <v>103.9</v>
      </c>
      <c r="D260" s="323">
        <v>1219.2</v>
      </c>
      <c r="E260" s="323">
        <v>427</v>
      </c>
      <c r="F260" s="323"/>
      <c r="G260" s="354">
        <v>45780</v>
      </c>
      <c r="H260" s="323"/>
      <c r="I260" s="323"/>
      <c r="J260" s="323"/>
      <c r="K260" s="323"/>
      <c r="L260" s="323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  <c r="AA260" s="323"/>
      <c r="AB260" s="323"/>
      <c r="AC260" s="323"/>
      <c r="AD260" s="323"/>
      <c r="AE260" s="323"/>
      <c r="AF260" s="323"/>
      <c r="AG260" s="323"/>
      <c r="AH260" s="323"/>
      <c r="AI260" s="323"/>
      <c r="AJ260" s="323"/>
      <c r="AK260" s="323"/>
      <c r="AL260" s="323"/>
      <c r="AM260" s="326">
        <f t="shared" si="11"/>
        <v>427</v>
      </c>
      <c r="AN260" s="327">
        <f t="shared" si="12"/>
        <v>0.68694520675199999</v>
      </c>
      <c r="AO260" s="327"/>
      <c r="AP260" s="327"/>
      <c r="AQ260" s="328"/>
    </row>
    <row r="261" spans="1:43">
      <c r="A261" s="351" t="s">
        <v>208</v>
      </c>
      <c r="B261" s="323">
        <v>12.7</v>
      </c>
      <c r="C261" s="323">
        <v>103.9</v>
      </c>
      <c r="D261" s="323">
        <v>1219.2</v>
      </c>
      <c r="E261" s="323">
        <v>420</v>
      </c>
      <c r="F261" s="323"/>
      <c r="G261" s="354">
        <v>45780</v>
      </c>
      <c r="H261" s="323"/>
      <c r="I261" s="323"/>
      <c r="J261" s="323"/>
      <c r="K261" s="323"/>
      <c r="L261" s="323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  <c r="AA261" s="323"/>
      <c r="AB261" s="323"/>
      <c r="AC261" s="323"/>
      <c r="AD261" s="323"/>
      <c r="AE261" s="323"/>
      <c r="AF261" s="323"/>
      <c r="AG261" s="323"/>
      <c r="AH261" s="323"/>
      <c r="AI261" s="323"/>
      <c r="AJ261" s="323"/>
      <c r="AK261" s="323"/>
      <c r="AL261" s="323"/>
      <c r="AM261" s="326">
        <f t="shared" si="11"/>
        <v>420</v>
      </c>
      <c r="AN261" s="327">
        <f t="shared" si="12"/>
        <v>0.67568380991999999</v>
      </c>
      <c r="AO261" s="327"/>
      <c r="AP261" s="327"/>
      <c r="AQ261" s="328"/>
    </row>
    <row r="262" spans="1:43">
      <c r="A262" s="351" t="s">
        <v>208</v>
      </c>
      <c r="B262" s="323">
        <v>15.9</v>
      </c>
      <c r="C262" s="323">
        <v>254</v>
      </c>
      <c r="D262" s="323">
        <v>828.7</v>
      </c>
      <c r="E262" s="323">
        <v>150</v>
      </c>
      <c r="F262" s="323"/>
      <c r="G262" s="354">
        <v>45780</v>
      </c>
      <c r="H262" s="323"/>
      <c r="I262" s="323"/>
      <c r="J262" s="323"/>
      <c r="K262" s="323"/>
      <c r="L262" s="323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  <c r="AA262" s="323"/>
      <c r="AB262" s="323"/>
      <c r="AC262" s="323"/>
      <c r="AD262" s="323"/>
      <c r="AE262" s="323"/>
      <c r="AF262" s="323"/>
      <c r="AG262" s="323"/>
      <c r="AH262" s="323"/>
      <c r="AI262" s="323"/>
      <c r="AJ262" s="323"/>
      <c r="AK262" s="323"/>
      <c r="AL262" s="323"/>
      <c r="AM262" s="326">
        <f t="shared" si="11"/>
        <v>150</v>
      </c>
      <c r="AN262" s="327">
        <f t="shared" si="12"/>
        <v>0.50201817300000007</v>
      </c>
      <c r="AO262" s="327"/>
      <c r="AP262" s="327"/>
      <c r="AQ262" s="328"/>
    </row>
    <row r="263" spans="1:43">
      <c r="A263" s="351" t="s">
        <v>208</v>
      </c>
      <c r="B263" s="323">
        <v>15.9</v>
      </c>
      <c r="C263" s="323">
        <v>161.9</v>
      </c>
      <c r="D263" s="323">
        <v>444.5</v>
      </c>
      <c r="E263" s="323">
        <v>280</v>
      </c>
      <c r="F263" s="323"/>
      <c r="G263" s="354">
        <v>45780</v>
      </c>
      <c r="H263" s="323"/>
      <c r="I263" s="323"/>
      <c r="J263" s="323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  <c r="AA263" s="323"/>
      <c r="AB263" s="323"/>
      <c r="AC263" s="323"/>
      <c r="AD263" s="323"/>
      <c r="AE263" s="323"/>
      <c r="AF263" s="323"/>
      <c r="AG263" s="323"/>
      <c r="AH263" s="323"/>
      <c r="AI263" s="323"/>
      <c r="AJ263" s="323"/>
      <c r="AK263" s="323"/>
      <c r="AL263" s="323"/>
      <c r="AM263" s="326">
        <f t="shared" si="11"/>
        <v>280</v>
      </c>
      <c r="AN263" s="327">
        <f t="shared" si="12"/>
        <v>0.32038617659999996</v>
      </c>
      <c r="AO263" s="327"/>
      <c r="AP263" s="327"/>
      <c r="AQ263" s="328"/>
    </row>
    <row r="264" spans="1:43">
      <c r="A264" s="351" t="s">
        <v>208</v>
      </c>
      <c r="B264" s="323">
        <v>15.9</v>
      </c>
      <c r="C264" s="323">
        <v>85.7</v>
      </c>
      <c r="D264" s="323">
        <v>447.7</v>
      </c>
      <c r="E264" s="323">
        <v>420</v>
      </c>
      <c r="F264" s="323"/>
      <c r="G264" s="354">
        <v>45780</v>
      </c>
      <c r="H264" s="323"/>
      <c r="I264" s="323"/>
      <c r="J264" s="323"/>
      <c r="K264" s="323"/>
      <c r="L264" s="323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  <c r="AA264" s="323"/>
      <c r="AB264" s="323"/>
      <c r="AC264" s="323"/>
      <c r="AD264" s="323"/>
      <c r="AE264" s="323"/>
      <c r="AF264" s="323"/>
      <c r="AG264" s="323"/>
      <c r="AH264" s="323"/>
      <c r="AI264" s="323"/>
      <c r="AJ264" s="323"/>
      <c r="AK264" s="323"/>
      <c r="AL264" s="323"/>
      <c r="AM264" s="326">
        <f t="shared" si="11"/>
        <v>420</v>
      </c>
      <c r="AN264" s="327">
        <f t="shared" si="12"/>
        <v>0.25622076941999999</v>
      </c>
      <c r="AO264" s="327"/>
      <c r="AP264" s="327"/>
      <c r="AQ264" s="328"/>
    </row>
    <row r="265" spans="1:43">
      <c r="A265" s="351" t="s">
        <v>208</v>
      </c>
      <c r="B265" s="323">
        <v>15.9</v>
      </c>
      <c r="C265" s="323">
        <v>50.8</v>
      </c>
      <c r="D265" s="323">
        <v>1133.5</v>
      </c>
      <c r="E265" s="323">
        <v>320</v>
      </c>
      <c r="F265" s="323"/>
      <c r="G265" s="354">
        <v>45780</v>
      </c>
      <c r="H265" s="323"/>
      <c r="I265" s="323"/>
      <c r="J265" s="323"/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  <c r="AA265" s="323"/>
      <c r="AB265" s="323"/>
      <c r="AC265" s="323"/>
      <c r="AD265" s="323"/>
      <c r="AE265" s="323"/>
      <c r="AF265" s="323"/>
      <c r="AG265" s="323"/>
      <c r="AH265" s="323"/>
      <c r="AI265" s="323"/>
      <c r="AJ265" s="323"/>
      <c r="AK265" s="323"/>
      <c r="AL265" s="323"/>
      <c r="AM265" s="326">
        <f t="shared" si="11"/>
        <v>320</v>
      </c>
      <c r="AN265" s="327">
        <f t="shared" si="12"/>
        <v>0.2929761984</v>
      </c>
      <c r="AO265" s="327"/>
      <c r="AP265" s="327"/>
      <c r="AQ265" s="328"/>
    </row>
    <row r="266" spans="1:43">
      <c r="A266" s="351" t="s">
        <v>208</v>
      </c>
      <c r="B266" s="323">
        <v>15.9</v>
      </c>
      <c r="C266" s="323">
        <v>161.9</v>
      </c>
      <c r="D266" s="323">
        <v>676.3</v>
      </c>
      <c r="E266" s="323">
        <v>70</v>
      </c>
      <c r="F266" s="323"/>
      <c r="G266" s="354">
        <v>45780</v>
      </c>
      <c r="H266" s="323"/>
      <c r="I266" s="323"/>
      <c r="J266" s="323"/>
      <c r="K266" s="323"/>
      <c r="L266" s="323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  <c r="AA266" s="323"/>
      <c r="AB266" s="323"/>
      <c r="AC266" s="323"/>
      <c r="AD266" s="323"/>
      <c r="AE266" s="323"/>
      <c r="AF266" s="323"/>
      <c r="AG266" s="323"/>
      <c r="AH266" s="323"/>
      <c r="AI266" s="323"/>
      <c r="AJ266" s="323"/>
      <c r="AK266" s="323"/>
      <c r="AL266" s="323"/>
      <c r="AM266" s="326">
        <f t="shared" si="11"/>
        <v>70</v>
      </c>
      <c r="AN266" s="327">
        <f t="shared" si="12"/>
        <v>0.12186567561</v>
      </c>
      <c r="AO266" s="327"/>
      <c r="AP266" s="327"/>
      <c r="AQ266" s="328"/>
    </row>
    <row r="267" spans="1:43">
      <c r="A267" s="351" t="s">
        <v>208</v>
      </c>
      <c r="B267" s="323">
        <v>15.9</v>
      </c>
      <c r="C267" s="323">
        <v>85.7</v>
      </c>
      <c r="D267" s="323">
        <v>520.70000000000005</v>
      </c>
      <c r="E267" s="323">
        <v>260</v>
      </c>
      <c r="F267" s="323"/>
      <c r="G267" s="354">
        <v>45780</v>
      </c>
      <c r="H267" s="323"/>
      <c r="I267" s="323"/>
      <c r="J267" s="323"/>
      <c r="K267" s="323"/>
      <c r="L267" s="323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  <c r="AA267" s="323"/>
      <c r="AB267" s="323"/>
      <c r="AC267" s="323"/>
      <c r="AD267" s="323"/>
      <c r="AE267" s="323"/>
      <c r="AF267" s="323"/>
      <c r="AG267" s="323"/>
      <c r="AH267" s="323"/>
      <c r="AI267" s="323"/>
      <c r="AJ267" s="323"/>
      <c r="AK267" s="323"/>
      <c r="AL267" s="323"/>
      <c r="AM267" s="326">
        <f t="shared" si="11"/>
        <v>260</v>
      </c>
      <c r="AN267" s="327">
        <f t="shared" si="12"/>
        <v>0.18447557466000003</v>
      </c>
      <c r="AO267" s="327"/>
      <c r="AP267" s="327"/>
      <c r="AQ267" s="328"/>
    </row>
    <row r="268" spans="1:43">
      <c r="A268" s="351" t="s">
        <v>208</v>
      </c>
      <c r="B268" s="323">
        <v>15.9</v>
      </c>
      <c r="C268" s="323">
        <v>85.7</v>
      </c>
      <c r="D268" s="323">
        <v>520.70000000000005</v>
      </c>
      <c r="E268" s="323">
        <v>300</v>
      </c>
      <c r="F268" s="323"/>
      <c r="G268" s="354">
        <v>45780</v>
      </c>
      <c r="H268" s="323"/>
      <c r="I268" s="323"/>
      <c r="J268" s="323"/>
      <c r="K268" s="323"/>
      <c r="L268" s="323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  <c r="AA268" s="323"/>
      <c r="AB268" s="323"/>
      <c r="AC268" s="323"/>
      <c r="AD268" s="323"/>
      <c r="AE268" s="323"/>
      <c r="AF268" s="323"/>
      <c r="AG268" s="323"/>
      <c r="AH268" s="323"/>
      <c r="AI268" s="323"/>
      <c r="AJ268" s="323"/>
      <c r="AK268" s="323"/>
      <c r="AL268" s="323"/>
      <c r="AM268" s="326">
        <f t="shared" si="11"/>
        <v>300</v>
      </c>
      <c r="AN268" s="327">
        <f t="shared" si="12"/>
        <v>0.21285643230000004</v>
      </c>
      <c r="AO268" s="327"/>
      <c r="AP268" s="327"/>
      <c r="AQ268" s="328"/>
    </row>
    <row r="269" spans="1:43">
      <c r="A269" s="351" t="s">
        <v>208</v>
      </c>
      <c r="B269" s="323">
        <v>15.9</v>
      </c>
      <c r="C269" s="323">
        <v>85.7</v>
      </c>
      <c r="D269" s="323">
        <v>520.70000000000005</v>
      </c>
      <c r="E269" s="323">
        <v>80</v>
      </c>
      <c r="F269" s="323"/>
      <c r="G269" s="354">
        <v>45780</v>
      </c>
      <c r="H269" s="323"/>
      <c r="I269" s="323"/>
      <c r="J269" s="323"/>
      <c r="K269" s="323"/>
      <c r="L269" s="323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  <c r="AA269" s="323"/>
      <c r="AB269" s="323"/>
      <c r="AC269" s="323"/>
      <c r="AD269" s="323"/>
      <c r="AE269" s="323"/>
      <c r="AF269" s="323"/>
      <c r="AG269" s="323"/>
      <c r="AH269" s="323"/>
      <c r="AI269" s="323"/>
      <c r="AJ269" s="323"/>
      <c r="AK269" s="323"/>
      <c r="AL269" s="323"/>
      <c r="AM269" s="326">
        <f t="shared" si="11"/>
        <v>80</v>
      </c>
      <c r="AN269" s="327">
        <f t="shared" si="12"/>
        <v>5.6761715280000007E-2</v>
      </c>
      <c r="AO269" s="327"/>
      <c r="AP269" s="327"/>
      <c r="AQ269" s="328"/>
    </row>
    <row r="270" spans="1:43">
      <c r="A270" s="351" t="s">
        <v>208</v>
      </c>
      <c r="B270" s="323">
        <v>15.9</v>
      </c>
      <c r="C270" s="323">
        <v>85.7</v>
      </c>
      <c r="D270" s="323">
        <v>520.70000000000005</v>
      </c>
      <c r="E270" s="323">
        <v>440</v>
      </c>
      <c r="F270" s="323"/>
      <c r="G270" s="354">
        <v>45780</v>
      </c>
      <c r="H270" s="323"/>
      <c r="I270" s="323"/>
      <c r="J270" s="323"/>
      <c r="K270" s="323"/>
      <c r="L270" s="323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  <c r="AA270" s="323"/>
      <c r="AB270" s="323"/>
      <c r="AC270" s="323"/>
      <c r="AD270" s="323"/>
      <c r="AE270" s="323"/>
      <c r="AF270" s="323"/>
      <c r="AG270" s="323"/>
      <c r="AH270" s="323"/>
      <c r="AI270" s="323"/>
      <c r="AJ270" s="323"/>
      <c r="AK270" s="323"/>
      <c r="AL270" s="323"/>
      <c r="AM270" s="326">
        <f t="shared" si="11"/>
        <v>440</v>
      </c>
      <c r="AN270" s="327">
        <f t="shared" si="12"/>
        <v>0.31218943404000005</v>
      </c>
      <c r="AO270" s="327"/>
      <c r="AP270" s="327"/>
      <c r="AQ270" s="328"/>
    </row>
    <row r="271" spans="1:43">
      <c r="A271" s="351" t="s">
        <v>208</v>
      </c>
      <c r="B271" s="323">
        <v>15.9</v>
      </c>
      <c r="C271" s="323">
        <v>85.7</v>
      </c>
      <c r="D271" s="323">
        <v>520.70000000000005</v>
      </c>
      <c r="E271" s="323">
        <v>120</v>
      </c>
      <c r="F271" s="323"/>
      <c r="G271" s="354">
        <v>45780</v>
      </c>
      <c r="H271" s="323"/>
      <c r="I271" s="323"/>
      <c r="J271" s="323"/>
      <c r="K271" s="323"/>
      <c r="L271" s="323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  <c r="AA271" s="323"/>
      <c r="AB271" s="323"/>
      <c r="AC271" s="323"/>
      <c r="AD271" s="323"/>
      <c r="AE271" s="323"/>
      <c r="AF271" s="323"/>
      <c r="AG271" s="323"/>
      <c r="AH271" s="323"/>
      <c r="AI271" s="323"/>
      <c r="AJ271" s="323"/>
      <c r="AK271" s="323"/>
      <c r="AL271" s="323"/>
      <c r="AM271" s="326">
        <f t="shared" si="11"/>
        <v>120</v>
      </c>
      <c r="AN271" s="327">
        <f t="shared" si="12"/>
        <v>8.514257292000002E-2</v>
      </c>
      <c r="AO271" s="327"/>
      <c r="AP271" s="327"/>
      <c r="AQ271" s="328"/>
    </row>
    <row r="272" spans="1:43">
      <c r="A272" s="351" t="s">
        <v>208</v>
      </c>
      <c r="B272" s="323">
        <v>15.9</v>
      </c>
      <c r="C272" s="323">
        <v>254</v>
      </c>
      <c r="D272" s="323">
        <v>520.70000000000005</v>
      </c>
      <c r="E272" s="323">
        <v>170</v>
      </c>
      <c r="F272" s="323"/>
      <c r="G272" s="354">
        <v>45780</v>
      </c>
      <c r="H272" s="323"/>
      <c r="I272" s="323"/>
      <c r="J272" s="323"/>
      <c r="K272" s="323"/>
      <c r="L272" s="323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  <c r="AA272" s="323"/>
      <c r="AB272" s="323"/>
      <c r="AC272" s="323"/>
      <c r="AD272" s="323"/>
      <c r="AE272" s="323"/>
      <c r="AF272" s="323"/>
      <c r="AG272" s="323"/>
      <c r="AH272" s="323"/>
      <c r="AI272" s="323"/>
      <c r="AJ272" s="323"/>
      <c r="AK272" s="323"/>
      <c r="AL272" s="323"/>
      <c r="AM272" s="326">
        <f t="shared" si="11"/>
        <v>170</v>
      </c>
      <c r="AN272" s="327">
        <f t="shared" si="12"/>
        <v>0.35749283339999999</v>
      </c>
      <c r="AO272" s="327"/>
      <c r="AP272" s="327"/>
      <c r="AQ272" s="328"/>
    </row>
    <row r="273" spans="1:43">
      <c r="A273" s="351" t="s">
        <v>208</v>
      </c>
      <c r="B273" s="323">
        <v>15.9</v>
      </c>
      <c r="C273" s="323">
        <v>254</v>
      </c>
      <c r="D273" s="323">
        <v>371.5</v>
      </c>
      <c r="E273" s="323">
        <v>30</v>
      </c>
      <c r="F273" s="323"/>
      <c r="G273" s="354">
        <v>45780</v>
      </c>
      <c r="H273" s="323"/>
      <c r="I273" s="323"/>
      <c r="J273" s="323"/>
      <c r="K273" s="323"/>
      <c r="L273" s="323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  <c r="AA273" s="323"/>
      <c r="AB273" s="323"/>
      <c r="AC273" s="323"/>
      <c r="AD273" s="323"/>
      <c r="AE273" s="323"/>
      <c r="AF273" s="323"/>
      <c r="AG273" s="323"/>
      <c r="AH273" s="323"/>
      <c r="AI273" s="323"/>
      <c r="AJ273" s="323"/>
      <c r="AK273" s="323"/>
      <c r="AL273" s="323"/>
      <c r="AM273" s="326">
        <f t="shared" si="11"/>
        <v>30</v>
      </c>
      <c r="AN273" s="327">
        <f t="shared" si="12"/>
        <v>4.5010197000000002E-2</v>
      </c>
      <c r="AO273" s="327"/>
      <c r="AP273" s="327"/>
      <c r="AQ273" s="328"/>
    </row>
    <row r="274" spans="1:43">
      <c r="A274" s="351" t="s">
        <v>208</v>
      </c>
      <c r="B274" s="323">
        <v>15.9</v>
      </c>
      <c r="C274" s="323">
        <v>85.7</v>
      </c>
      <c r="D274" s="323">
        <v>273.10000000000002</v>
      </c>
      <c r="E274" s="323">
        <v>40</v>
      </c>
      <c r="F274" s="323"/>
      <c r="G274" s="354">
        <v>45780</v>
      </c>
      <c r="H274" s="323"/>
      <c r="I274" s="323"/>
      <c r="J274" s="323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  <c r="AA274" s="323"/>
      <c r="AB274" s="323"/>
      <c r="AC274" s="323"/>
      <c r="AD274" s="323"/>
      <c r="AE274" s="323"/>
      <c r="AF274" s="323"/>
      <c r="AG274" s="323"/>
      <c r="AH274" s="323"/>
      <c r="AI274" s="323"/>
      <c r="AJ274" s="323"/>
      <c r="AK274" s="323"/>
      <c r="AL274" s="323"/>
      <c r="AM274" s="326">
        <f t="shared" si="11"/>
        <v>40</v>
      </c>
      <c r="AN274" s="327">
        <f t="shared" si="12"/>
        <v>1.4885370120000003E-2</v>
      </c>
      <c r="AO274" s="327"/>
      <c r="AP274" s="327"/>
      <c r="AQ274" s="328"/>
    </row>
    <row r="275" spans="1:43">
      <c r="A275" s="351" t="s">
        <v>208</v>
      </c>
      <c r="B275" s="323">
        <v>15.9</v>
      </c>
      <c r="C275" s="323">
        <v>85.7</v>
      </c>
      <c r="D275" s="323">
        <v>501.7</v>
      </c>
      <c r="E275" s="323">
        <v>60</v>
      </c>
      <c r="F275" s="323"/>
      <c r="G275" s="354">
        <v>45780</v>
      </c>
      <c r="H275" s="323"/>
      <c r="I275" s="323"/>
      <c r="J275" s="323"/>
      <c r="K275" s="323"/>
      <c r="L275" s="323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  <c r="AA275" s="323"/>
      <c r="AB275" s="323"/>
      <c r="AC275" s="323"/>
      <c r="AD275" s="323"/>
      <c r="AE275" s="323"/>
      <c r="AF275" s="323"/>
      <c r="AG275" s="323"/>
      <c r="AH275" s="323"/>
      <c r="AI275" s="323"/>
      <c r="AJ275" s="323"/>
      <c r="AK275" s="323"/>
      <c r="AL275" s="323"/>
      <c r="AM275" s="326">
        <f t="shared" si="11"/>
        <v>60</v>
      </c>
      <c r="AN275" s="327">
        <f t="shared" si="12"/>
        <v>4.1017888259999996E-2</v>
      </c>
      <c r="AO275" s="327"/>
      <c r="AP275" s="327"/>
      <c r="AQ275" s="328"/>
    </row>
    <row r="276" spans="1:43">
      <c r="A276" s="351" t="s">
        <v>208</v>
      </c>
      <c r="B276" s="323">
        <v>15.9</v>
      </c>
      <c r="C276" s="323">
        <v>85.7</v>
      </c>
      <c r="D276" s="323">
        <v>1133.5</v>
      </c>
      <c r="E276" s="323">
        <v>140</v>
      </c>
      <c r="F276" s="323"/>
      <c r="G276" s="354">
        <v>45780</v>
      </c>
      <c r="H276" s="323"/>
      <c r="I276" s="323"/>
      <c r="J276" s="323"/>
      <c r="K276" s="323"/>
      <c r="L276" s="323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  <c r="AA276" s="323"/>
      <c r="AB276" s="323"/>
      <c r="AC276" s="323"/>
      <c r="AD276" s="323"/>
      <c r="AE276" s="323"/>
      <c r="AF276" s="323"/>
      <c r="AG276" s="323"/>
      <c r="AH276" s="323"/>
      <c r="AI276" s="323"/>
      <c r="AJ276" s="323"/>
      <c r="AK276" s="323"/>
      <c r="AL276" s="323"/>
      <c r="AM276" s="326">
        <f t="shared" si="11"/>
        <v>140</v>
      </c>
      <c r="AN276" s="327">
        <f t="shared" si="12"/>
        <v>0.2162357547</v>
      </c>
      <c r="AO276" s="327"/>
      <c r="AP276" s="327"/>
      <c r="AQ276" s="328"/>
    </row>
    <row r="277" spans="1:43">
      <c r="A277" s="351" t="s">
        <v>208</v>
      </c>
      <c r="B277" s="323">
        <v>15.9</v>
      </c>
      <c r="C277" s="323">
        <v>161.9</v>
      </c>
      <c r="D277" s="323">
        <v>1133.5</v>
      </c>
      <c r="E277" s="323">
        <v>50</v>
      </c>
      <c r="F277" s="323"/>
      <c r="G277" s="354">
        <v>45780</v>
      </c>
      <c r="H277" s="323"/>
      <c r="I277" s="323"/>
      <c r="J277" s="323"/>
      <c r="K277" s="323"/>
      <c r="L277" s="323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  <c r="AA277" s="323"/>
      <c r="AB277" s="323"/>
      <c r="AC277" s="323"/>
      <c r="AD277" s="323"/>
      <c r="AE277" s="323"/>
      <c r="AF277" s="323"/>
      <c r="AG277" s="323"/>
      <c r="AH277" s="323"/>
      <c r="AI277" s="323"/>
      <c r="AJ277" s="323"/>
      <c r="AK277" s="323"/>
      <c r="AL277" s="323"/>
      <c r="AM277" s="326">
        <f t="shared" si="11"/>
        <v>50</v>
      </c>
      <c r="AN277" s="327">
        <f t="shared" si="12"/>
        <v>0.14589335175000001</v>
      </c>
      <c r="AO277" s="327"/>
      <c r="AP277" s="327"/>
      <c r="AQ277" s="328"/>
    </row>
    <row r="278" spans="1:43">
      <c r="A278" s="351" t="s">
        <v>208</v>
      </c>
      <c r="B278" s="323">
        <v>15.9</v>
      </c>
      <c r="C278" s="323">
        <v>161.9</v>
      </c>
      <c r="D278" s="323">
        <v>368.3</v>
      </c>
      <c r="E278" s="323">
        <v>20</v>
      </c>
      <c r="F278" s="323"/>
      <c r="G278" s="354">
        <v>45780</v>
      </c>
      <c r="H278" s="323"/>
      <c r="I278" s="323"/>
      <c r="J278" s="323"/>
      <c r="K278" s="323"/>
      <c r="L278" s="323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  <c r="AA278" s="323"/>
      <c r="AB278" s="323"/>
      <c r="AC278" s="323"/>
      <c r="AD278" s="323"/>
      <c r="AE278" s="323"/>
      <c r="AF278" s="323"/>
      <c r="AG278" s="323"/>
      <c r="AH278" s="323"/>
      <c r="AI278" s="323"/>
      <c r="AJ278" s="323"/>
      <c r="AK278" s="323"/>
      <c r="AL278" s="323"/>
      <c r="AM278" s="326">
        <f t="shared" si="11"/>
        <v>20</v>
      </c>
      <c r="AN278" s="327">
        <f t="shared" si="12"/>
        <v>1.8961630859999998E-2</v>
      </c>
      <c r="AO278" s="327"/>
      <c r="AP278" s="327"/>
      <c r="AQ278" s="328"/>
    </row>
    <row r="279" spans="1:43">
      <c r="A279" s="351" t="s">
        <v>208</v>
      </c>
      <c r="B279" s="323">
        <v>15.9</v>
      </c>
      <c r="C279" s="323">
        <v>161.9</v>
      </c>
      <c r="D279" s="323">
        <v>828.7</v>
      </c>
      <c r="E279" s="323">
        <v>90</v>
      </c>
      <c r="F279" s="323"/>
      <c r="G279" s="354">
        <v>45780</v>
      </c>
      <c r="H279" s="323"/>
      <c r="I279" s="323"/>
      <c r="J279" s="323"/>
      <c r="K279" s="323"/>
      <c r="L279" s="323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  <c r="AA279" s="323"/>
      <c r="AB279" s="323"/>
      <c r="AC279" s="323"/>
      <c r="AD279" s="323"/>
      <c r="AE279" s="323"/>
      <c r="AF279" s="323"/>
      <c r="AG279" s="323"/>
      <c r="AH279" s="323"/>
      <c r="AI279" s="323"/>
      <c r="AJ279" s="323"/>
      <c r="AK279" s="323"/>
      <c r="AL279" s="323"/>
      <c r="AM279" s="326">
        <f t="shared" si="11"/>
        <v>90</v>
      </c>
      <c r="AN279" s="327">
        <f t="shared" si="12"/>
        <v>0.19199230443000001</v>
      </c>
      <c r="AO279" s="327"/>
      <c r="AP279" s="327"/>
      <c r="AQ279" s="328"/>
    </row>
    <row r="280" spans="1:43">
      <c r="A280" s="351" t="s">
        <v>208</v>
      </c>
      <c r="B280" s="323">
        <v>15.9</v>
      </c>
      <c r="C280" s="323">
        <v>85.7</v>
      </c>
      <c r="D280" s="323">
        <v>654.1</v>
      </c>
      <c r="E280" s="323">
        <v>100</v>
      </c>
      <c r="F280" s="323"/>
      <c r="G280" s="354">
        <v>45780</v>
      </c>
      <c r="H280" s="323"/>
      <c r="I280" s="323"/>
      <c r="J280" s="323"/>
      <c r="K280" s="323"/>
      <c r="L280" s="323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  <c r="AA280" s="323"/>
      <c r="AB280" s="323"/>
      <c r="AC280" s="323"/>
      <c r="AD280" s="323"/>
      <c r="AE280" s="323"/>
      <c r="AF280" s="323"/>
      <c r="AG280" s="323"/>
      <c r="AH280" s="323"/>
      <c r="AI280" s="323"/>
      <c r="AJ280" s="323"/>
      <c r="AK280" s="323"/>
      <c r="AL280" s="323"/>
      <c r="AM280" s="326">
        <f t="shared" si="11"/>
        <v>100</v>
      </c>
      <c r="AN280" s="327">
        <f t="shared" si="12"/>
        <v>8.9129628300000013E-2</v>
      </c>
      <c r="AO280" s="327"/>
      <c r="AP280" s="327"/>
      <c r="AQ280" s="328"/>
    </row>
    <row r="281" spans="1:43">
      <c r="A281" s="351" t="s">
        <v>208</v>
      </c>
      <c r="B281" s="323">
        <v>15.9</v>
      </c>
      <c r="C281" s="323">
        <v>85.7</v>
      </c>
      <c r="D281" s="323">
        <v>828.7</v>
      </c>
      <c r="E281" s="323">
        <v>260</v>
      </c>
      <c r="F281" s="323"/>
      <c r="G281" s="354">
        <v>45780</v>
      </c>
      <c r="H281" s="323"/>
      <c r="I281" s="323"/>
      <c r="J281" s="323"/>
      <c r="K281" s="323"/>
      <c r="L281" s="323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  <c r="AA281" s="323"/>
      <c r="AB281" s="323"/>
      <c r="AC281" s="323"/>
      <c r="AD281" s="323"/>
      <c r="AE281" s="323"/>
      <c r="AF281" s="323"/>
      <c r="AG281" s="323"/>
      <c r="AH281" s="323"/>
      <c r="AI281" s="323"/>
      <c r="AJ281" s="323"/>
      <c r="AK281" s="323"/>
      <c r="AL281" s="323"/>
      <c r="AM281" s="326">
        <f t="shared" si="11"/>
        <v>260</v>
      </c>
      <c r="AN281" s="327">
        <f t="shared" si="12"/>
        <v>0.29359498506000004</v>
      </c>
      <c r="AO281" s="327"/>
      <c r="AP281" s="327"/>
      <c r="AQ281" s="328"/>
    </row>
    <row r="282" spans="1:43">
      <c r="A282" s="351" t="s">
        <v>208</v>
      </c>
      <c r="B282" s="323">
        <v>15.9</v>
      </c>
      <c r="C282" s="323">
        <v>85.7</v>
      </c>
      <c r="D282" s="323">
        <v>981.1</v>
      </c>
      <c r="E282" s="323">
        <v>60</v>
      </c>
      <c r="F282" s="323"/>
      <c r="G282" s="354">
        <v>45780</v>
      </c>
      <c r="H282" s="323"/>
      <c r="I282" s="323"/>
      <c r="J282" s="323"/>
      <c r="K282" s="323"/>
      <c r="L282" s="323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  <c r="AA282" s="323"/>
      <c r="AB282" s="323"/>
      <c r="AC282" s="323"/>
      <c r="AD282" s="323"/>
      <c r="AE282" s="323"/>
      <c r="AF282" s="323"/>
      <c r="AG282" s="323"/>
      <c r="AH282" s="323"/>
      <c r="AI282" s="323"/>
      <c r="AJ282" s="323"/>
      <c r="AK282" s="323"/>
      <c r="AL282" s="323"/>
      <c r="AM282" s="326">
        <f t="shared" si="11"/>
        <v>60</v>
      </c>
      <c r="AN282" s="327">
        <f t="shared" si="12"/>
        <v>8.021257758E-2</v>
      </c>
      <c r="AO282" s="327"/>
      <c r="AP282" s="327"/>
      <c r="AQ282" s="328"/>
    </row>
    <row r="283" spans="1:43">
      <c r="A283" s="351" t="s">
        <v>208</v>
      </c>
      <c r="B283" s="323">
        <v>15.9</v>
      </c>
      <c r="C283" s="323">
        <v>85.7</v>
      </c>
      <c r="D283" s="323">
        <v>520.70000000000005</v>
      </c>
      <c r="E283" s="323">
        <v>200</v>
      </c>
      <c r="F283" s="323"/>
      <c r="G283" s="354">
        <v>45780</v>
      </c>
      <c r="H283" s="323"/>
      <c r="I283" s="323"/>
      <c r="J283" s="323"/>
      <c r="K283" s="323"/>
      <c r="L283" s="323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  <c r="AA283" s="323"/>
      <c r="AB283" s="323"/>
      <c r="AC283" s="323"/>
      <c r="AD283" s="323"/>
      <c r="AE283" s="323"/>
      <c r="AF283" s="323"/>
      <c r="AG283" s="323"/>
      <c r="AH283" s="323"/>
      <c r="AI283" s="323"/>
      <c r="AJ283" s="323"/>
      <c r="AK283" s="323"/>
      <c r="AL283" s="323"/>
      <c r="AM283" s="326">
        <f t="shared" si="11"/>
        <v>200</v>
      </c>
      <c r="AN283" s="327">
        <f t="shared" si="12"/>
        <v>0.14190428820000001</v>
      </c>
      <c r="AO283" s="327"/>
      <c r="AP283" s="327"/>
      <c r="AQ283" s="328"/>
    </row>
    <row r="284" spans="1:43">
      <c r="A284" s="351" t="s">
        <v>208</v>
      </c>
      <c r="B284" s="323">
        <v>15.9</v>
      </c>
      <c r="C284" s="323">
        <v>85.7</v>
      </c>
      <c r="D284" s="323">
        <v>730.3</v>
      </c>
      <c r="E284" s="323">
        <v>200</v>
      </c>
      <c r="F284" s="323"/>
      <c r="G284" s="354">
        <v>45780</v>
      </c>
      <c r="H284" s="323"/>
      <c r="I284" s="323"/>
      <c r="J284" s="323"/>
      <c r="K284" s="323"/>
      <c r="L284" s="323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  <c r="AA284" s="323"/>
      <c r="AB284" s="323"/>
      <c r="AC284" s="323"/>
      <c r="AD284" s="323"/>
      <c r="AE284" s="323"/>
      <c r="AF284" s="323"/>
      <c r="AG284" s="323"/>
      <c r="AH284" s="323"/>
      <c r="AI284" s="323"/>
      <c r="AJ284" s="323"/>
      <c r="AK284" s="323"/>
      <c r="AL284" s="323"/>
      <c r="AM284" s="326">
        <f t="shared" si="11"/>
        <v>200</v>
      </c>
      <c r="AN284" s="327">
        <f t="shared" si="12"/>
        <v>0.19902573780000002</v>
      </c>
      <c r="AO284" s="327"/>
      <c r="AP284" s="327"/>
      <c r="AQ284" s="328"/>
    </row>
    <row r="285" spans="1:43">
      <c r="A285" s="351" t="s">
        <v>208</v>
      </c>
      <c r="B285" s="323">
        <v>15.9</v>
      </c>
      <c r="C285" s="323">
        <v>161.9</v>
      </c>
      <c r="D285" s="323">
        <v>752.5</v>
      </c>
      <c r="E285" s="323">
        <v>120</v>
      </c>
      <c r="F285" s="323"/>
      <c r="G285" s="354">
        <v>45780</v>
      </c>
      <c r="H285" s="323"/>
      <c r="I285" s="323"/>
      <c r="J285" s="323"/>
      <c r="K285" s="323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  <c r="AA285" s="323"/>
      <c r="AB285" s="323"/>
      <c r="AC285" s="323"/>
      <c r="AD285" s="323"/>
      <c r="AE285" s="323"/>
      <c r="AF285" s="323"/>
      <c r="AG285" s="323"/>
      <c r="AH285" s="323"/>
      <c r="AI285" s="323"/>
      <c r="AJ285" s="323"/>
      <c r="AK285" s="323"/>
      <c r="AL285" s="323"/>
      <c r="AM285" s="326">
        <f t="shared" si="11"/>
        <v>120</v>
      </c>
      <c r="AN285" s="327">
        <f t="shared" si="12"/>
        <v>0.23245116300000002</v>
      </c>
      <c r="AO285" s="327"/>
      <c r="AP285" s="327"/>
      <c r="AQ285" s="328"/>
    </row>
    <row r="286" spans="1:43">
      <c r="A286" s="351" t="s">
        <v>208</v>
      </c>
      <c r="B286" s="323">
        <v>12.7</v>
      </c>
      <c r="C286" s="323">
        <v>107.95</v>
      </c>
      <c r="D286" s="323">
        <v>572.04999999999995</v>
      </c>
      <c r="E286" s="323">
        <v>600</v>
      </c>
      <c r="F286" s="323"/>
      <c r="G286" s="354">
        <v>45780</v>
      </c>
      <c r="H286" s="323"/>
      <c r="I286" s="323"/>
      <c r="J286" s="323"/>
      <c r="K286" s="323"/>
      <c r="L286" s="323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  <c r="AA286" s="323"/>
      <c r="AB286" s="323"/>
      <c r="AC286" s="323"/>
      <c r="AD286" s="323"/>
      <c r="AE286" s="323"/>
      <c r="AF286" s="323"/>
      <c r="AG286" s="323"/>
      <c r="AH286" s="323"/>
      <c r="AI286" s="323"/>
      <c r="AJ286" s="323"/>
      <c r="AK286" s="323"/>
      <c r="AL286" s="323"/>
      <c r="AM286" s="326">
        <f t="shared" si="11"/>
        <v>600</v>
      </c>
      <c r="AN286" s="327">
        <f t="shared" si="12"/>
        <v>0.47055631694999994</v>
      </c>
      <c r="AO286" s="327"/>
      <c r="AP286" s="327"/>
      <c r="AQ286" s="328"/>
    </row>
    <row r="287" spans="1:43">
      <c r="A287" s="351" t="s">
        <v>208</v>
      </c>
      <c r="B287" s="323">
        <v>12.7</v>
      </c>
      <c r="C287" s="323">
        <v>82.5</v>
      </c>
      <c r="D287" s="323">
        <v>450.85</v>
      </c>
      <c r="E287" s="323">
        <v>450</v>
      </c>
      <c r="F287" s="323"/>
      <c r="G287" s="354">
        <v>45780</v>
      </c>
      <c r="H287" s="323"/>
      <c r="I287" s="323"/>
      <c r="J287" s="323"/>
      <c r="K287" s="323"/>
      <c r="L287" s="323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  <c r="AA287" s="323"/>
      <c r="AB287" s="323"/>
      <c r="AC287" s="323"/>
      <c r="AD287" s="323"/>
      <c r="AE287" s="323"/>
      <c r="AF287" s="323"/>
      <c r="AG287" s="323"/>
      <c r="AH287" s="323"/>
      <c r="AI287" s="323"/>
      <c r="AJ287" s="323"/>
      <c r="AK287" s="323"/>
      <c r="AL287" s="323"/>
      <c r="AM287" s="326">
        <f t="shared" si="11"/>
        <v>450</v>
      </c>
      <c r="AN287" s="327">
        <f t="shared" si="12"/>
        <v>0.21257013937499999</v>
      </c>
      <c r="AO287" s="327"/>
      <c r="AP287" s="327"/>
      <c r="AQ287" s="328"/>
    </row>
    <row r="288" spans="1:43">
      <c r="A288" s="351" t="s">
        <v>208</v>
      </c>
      <c r="B288" s="323">
        <v>12.7</v>
      </c>
      <c r="C288" s="323">
        <v>158.75</v>
      </c>
      <c r="D288" s="323">
        <v>527.04999999999995</v>
      </c>
      <c r="E288" s="323">
        <v>410</v>
      </c>
      <c r="F288" s="323"/>
      <c r="G288" s="354">
        <v>45780</v>
      </c>
      <c r="H288" s="323"/>
      <c r="I288" s="323"/>
      <c r="J288" s="323"/>
      <c r="K288" s="323"/>
      <c r="L288" s="323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  <c r="AA288" s="323"/>
      <c r="AB288" s="323"/>
      <c r="AC288" s="323"/>
      <c r="AD288" s="323"/>
      <c r="AE288" s="323"/>
      <c r="AF288" s="323"/>
      <c r="AG288" s="323"/>
      <c r="AH288" s="323"/>
      <c r="AI288" s="323"/>
      <c r="AJ288" s="323"/>
      <c r="AK288" s="323"/>
      <c r="AL288" s="323"/>
      <c r="AM288" s="326">
        <f t="shared" si="11"/>
        <v>410</v>
      </c>
      <c r="AN288" s="327">
        <f t="shared" si="12"/>
        <v>0.43566545931249995</v>
      </c>
      <c r="AO288" s="327"/>
      <c r="AP288" s="327"/>
      <c r="AQ288" s="328"/>
    </row>
    <row r="289" spans="1:43">
      <c r="A289" s="351" t="s">
        <v>208</v>
      </c>
      <c r="B289" s="323">
        <v>12.7</v>
      </c>
      <c r="C289" s="323">
        <v>158.75</v>
      </c>
      <c r="D289" s="323">
        <v>1219.2</v>
      </c>
      <c r="E289" s="323">
        <v>170</v>
      </c>
      <c r="F289" s="323"/>
      <c r="G289" s="354">
        <v>45780</v>
      </c>
      <c r="H289" s="323"/>
      <c r="I289" s="323"/>
      <c r="J289" s="323"/>
      <c r="K289" s="323"/>
      <c r="L289" s="323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  <c r="AA289" s="323"/>
      <c r="AB289" s="323"/>
      <c r="AC289" s="323"/>
      <c r="AD289" s="323"/>
      <c r="AE289" s="323"/>
      <c r="AF289" s="323"/>
      <c r="AG289" s="323"/>
      <c r="AH289" s="323"/>
      <c r="AI289" s="323"/>
      <c r="AJ289" s="323"/>
      <c r="AK289" s="323"/>
      <c r="AL289" s="323"/>
      <c r="AM289" s="326">
        <f t="shared" si="11"/>
        <v>170</v>
      </c>
      <c r="AN289" s="327">
        <f t="shared" si="12"/>
        <v>0.41787013200000001</v>
      </c>
      <c r="AO289" s="327"/>
      <c r="AP289" s="327"/>
      <c r="AQ289" s="328"/>
    </row>
    <row r="290" spans="1:43">
      <c r="A290" s="351" t="s">
        <v>208</v>
      </c>
      <c r="B290" s="323">
        <v>12.7</v>
      </c>
      <c r="C290" s="323">
        <v>57.15</v>
      </c>
      <c r="D290" s="323">
        <v>1219.2</v>
      </c>
      <c r="E290" s="323">
        <v>80</v>
      </c>
      <c r="F290" s="323"/>
      <c r="G290" s="354">
        <v>45780</v>
      </c>
      <c r="H290" s="323"/>
      <c r="I290" s="323"/>
      <c r="J290" s="323"/>
      <c r="K290" s="323"/>
      <c r="L290" s="323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  <c r="AA290" s="323"/>
      <c r="AB290" s="323"/>
      <c r="AC290" s="323"/>
      <c r="AD290" s="323"/>
      <c r="AE290" s="323"/>
      <c r="AF290" s="323"/>
      <c r="AG290" s="323"/>
      <c r="AH290" s="323"/>
      <c r="AI290" s="323"/>
      <c r="AJ290" s="323"/>
      <c r="AK290" s="323"/>
      <c r="AL290" s="323"/>
      <c r="AM290" s="326">
        <f t="shared" si="11"/>
        <v>80</v>
      </c>
      <c r="AN290" s="327">
        <f t="shared" si="12"/>
        <v>7.079211648E-2</v>
      </c>
      <c r="AO290" s="327"/>
      <c r="AP290" s="327"/>
      <c r="AQ290" s="328"/>
    </row>
    <row r="291" spans="1:43">
      <c r="A291" s="351" t="s">
        <v>208</v>
      </c>
      <c r="B291" s="323">
        <v>12.7</v>
      </c>
      <c r="C291" s="323">
        <v>158.75</v>
      </c>
      <c r="D291" s="323">
        <v>450.85</v>
      </c>
      <c r="E291" s="323">
        <v>450</v>
      </c>
      <c r="F291" s="323"/>
      <c r="G291" s="354">
        <v>45780</v>
      </c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6">
        <f t="shared" si="11"/>
        <v>450</v>
      </c>
      <c r="AN291" s="327">
        <f t="shared" si="12"/>
        <v>0.40903648031250001</v>
      </c>
      <c r="AO291" s="327"/>
      <c r="AP291" s="327"/>
      <c r="AQ291" s="328"/>
    </row>
    <row r="292" spans="1:43">
      <c r="A292" s="351" t="s">
        <v>208</v>
      </c>
      <c r="B292" s="323">
        <v>12.7</v>
      </c>
      <c r="C292" s="323">
        <v>158.75</v>
      </c>
      <c r="D292" s="323">
        <v>450.85</v>
      </c>
      <c r="E292" s="323">
        <v>540</v>
      </c>
      <c r="F292" s="323"/>
      <c r="G292" s="354">
        <v>45780</v>
      </c>
      <c r="H292" s="323"/>
      <c r="I292" s="323"/>
      <c r="J292" s="323"/>
      <c r="K292" s="323"/>
      <c r="L292" s="323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  <c r="AA292" s="323"/>
      <c r="AB292" s="323"/>
      <c r="AC292" s="323"/>
      <c r="AD292" s="323"/>
      <c r="AE292" s="323"/>
      <c r="AF292" s="323"/>
      <c r="AG292" s="323"/>
      <c r="AH292" s="323"/>
      <c r="AI292" s="323"/>
      <c r="AJ292" s="323"/>
      <c r="AK292" s="323"/>
      <c r="AL292" s="323"/>
      <c r="AM292" s="326">
        <f t="shared" si="11"/>
        <v>540</v>
      </c>
      <c r="AN292" s="327">
        <f t="shared" si="12"/>
        <v>0.49084377637499998</v>
      </c>
      <c r="AO292" s="327"/>
      <c r="AP292" s="327"/>
      <c r="AQ292" s="328"/>
    </row>
    <row r="293" spans="1:43">
      <c r="A293" s="351" t="s">
        <v>208</v>
      </c>
      <c r="B293" s="323">
        <v>12.7</v>
      </c>
      <c r="C293" s="323">
        <v>209.55</v>
      </c>
      <c r="D293" s="323">
        <v>527.04999999999995</v>
      </c>
      <c r="E293" s="323">
        <v>300</v>
      </c>
      <c r="F293" s="323"/>
      <c r="G293" s="354">
        <v>45780</v>
      </c>
      <c r="H293" s="323"/>
      <c r="I293" s="323"/>
      <c r="J293" s="323"/>
      <c r="K293" s="323"/>
      <c r="L293" s="323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  <c r="AA293" s="323"/>
      <c r="AB293" s="323"/>
      <c r="AC293" s="323"/>
      <c r="AD293" s="323"/>
      <c r="AE293" s="323"/>
      <c r="AF293" s="323"/>
      <c r="AG293" s="323"/>
      <c r="AH293" s="323"/>
      <c r="AI293" s="323"/>
      <c r="AJ293" s="323"/>
      <c r="AK293" s="323"/>
      <c r="AL293" s="323"/>
      <c r="AM293" s="326">
        <f t="shared" si="11"/>
        <v>300</v>
      </c>
      <c r="AN293" s="327">
        <f t="shared" si="12"/>
        <v>0.42078907777499996</v>
      </c>
      <c r="AO293" s="327"/>
      <c r="AP293" s="327"/>
      <c r="AQ293" s="328"/>
    </row>
    <row r="294" spans="1:43">
      <c r="A294" s="351" t="s">
        <v>208</v>
      </c>
      <c r="B294" s="323">
        <v>12.7</v>
      </c>
      <c r="C294" s="323">
        <v>82.55</v>
      </c>
      <c r="D294" s="323">
        <v>527.04999999999995</v>
      </c>
      <c r="E294" s="323">
        <v>160</v>
      </c>
      <c r="F294" s="323"/>
      <c r="G294" s="354">
        <v>45780</v>
      </c>
      <c r="H294" s="323"/>
      <c r="I294" s="323"/>
      <c r="J294" s="323"/>
      <c r="K294" s="323"/>
      <c r="L294" s="323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  <c r="AA294" s="323"/>
      <c r="AB294" s="323"/>
      <c r="AC294" s="323"/>
      <c r="AD294" s="323"/>
      <c r="AE294" s="323"/>
      <c r="AF294" s="323"/>
      <c r="AG294" s="323"/>
      <c r="AH294" s="323"/>
      <c r="AI294" s="323"/>
      <c r="AJ294" s="323"/>
      <c r="AK294" s="323"/>
      <c r="AL294" s="323"/>
      <c r="AM294" s="326">
        <f t="shared" si="11"/>
        <v>160</v>
      </c>
      <c r="AN294" s="327">
        <f t="shared" si="12"/>
        <v>8.8408210279999982E-2</v>
      </c>
      <c r="AO294" s="327"/>
      <c r="AP294" s="327"/>
      <c r="AQ294" s="328"/>
    </row>
    <row r="295" spans="1:43">
      <c r="A295" s="351" t="s">
        <v>208</v>
      </c>
      <c r="B295" s="323">
        <v>12.7</v>
      </c>
      <c r="C295" s="323">
        <v>158.75</v>
      </c>
      <c r="D295" s="323">
        <v>1219.2</v>
      </c>
      <c r="E295" s="323">
        <v>198</v>
      </c>
      <c r="F295" s="323"/>
      <c r="G295" s="354">
        <v>45780</v>
      </c>
      <c r="H295" s="323"/>
      <c r="I295" s="323"/>
      <c r="J295" s="323"/>
      <c r="K295" s="323"/>
      <c r="L295" s="323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  <c r="AA295" s="323"/>
      <c r="AB295" s="323"/>
      <c r="AC295" s="323"/>
      <c r="AD295" s="323"/>
      <c r="AE295" s="323"/>
      <c r="AF295" s="323"/>
      <c r="AG295" s="323"/>
      <c r="AH295" s="323"/>
      <c r="AI295" s="323"/>
      <c r="AJ295" s="323"/>
      <c r="AK295" s="323"/>
      <c r="AL295" s="323"/>
      <c r="AM295" s="326">
        <f t="shared" si="11"/>
        <v>198</v>
      </c>
      <c r="AN295" s="327">
        <f t="shared" si="12"/>
        <v>0.48669580080000002</v>
      </c>
      <c r="AO295" s="327"/>
      <c r="AP295" s="327"/>
      <c r="AQ295" s="328"/>
    </row>
    <row r="296" spans="1:43">
      <c r="A296" s="351" t="s">
        <v>208</v>
      </c>
      <c r="B296" s="323">
        <v>12.7</v>
      </c>
      <c r="C296" s="323">
        <v>82.5</v>
      </c>
      <c r="D296" s="323">
        <v>450.85</v>
      </c>
      <c r="E296" s="323">
        <v>848</v>
      </c>
      <c r="F296" s="323"/>
      <c r="G296" s="354">
        <v>45780</v>
      </c>
      <c r="H296" s="323"/>
      <c r="I296" s="323"/>
      <c r="J296" s="323"/>
      <c r="K296" s="323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  <c r="AA296" s="323"/>
      <c r="AB296" s="323"/>
      <c r="AC296" s="323"/>
      <c r="AD296" s="323">
        <v>689</v>
      </c>
      <c r="AE296" s="323"/>
      <c r="AF296" s="323"/>
      <c r="AG296" s="323"/>
      <c r="AH296" s="323"/>
      <c r="AI296" s="323"/>
      <c r="AJ296" s="323"/>
      <c r="AK296" s="323"/>
      <c r="AL296" s="323"/>
      <c r="AM296" s="326">
        <f t="shared" si="11"/>
        <v>159</v>
      </c>
      <c r="AN296" s="327">
        <f t="shared" si="12"/>
        <v>7.5108115912500009E-2</v>
      </c>
      <c r="AO296" s="327"/>
      <c r="AP296" s="327"/>
      <c r="AQ296" s="328"/>
    </row>
    <row r="297" spans="1:43">
      <c r="A297" s="351" t="s">
        <v>208</v>
      </c>
      <c r="B297" s="323">
        <v>12.7</v>
      </c>
      <c r="C297" s="323">
        <v>82.5</v>
      </c>
      <c r="D297" s="323">
        <v>450.85</v>
      </c>
      <c r="E297" s="323">
        <v>450</v>
      </c>
      <c r="F297" s="323"/>
      <c r="G297" s="354">
        <v>45780</v>
      </c>
      <c r="H297" s="323"/>
      <c r="I297" s="323"/>
      <c r="J297" s="323"/>
      <c r="K297" s="323"/>
      <c r="L297" s="323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  <c r="AA297" s="323"/>
      <c r="AB297" s="323"/>
      <c r="AC297" s="323"/>
      <c r="AD297" s="323"/>
      <c r="AE297" s="323"/>
      <c r="AF297" s="323"/>
      <c r="AG297" s="323"/>
      <c r="AH297" s="323"/>
      <c r="AI297" s="323"/>
      <c r="AJ297" s="323"/>
      <c r="AK297" s="323"/>
      <c r="AL297" s="323"/>
      <c r="AM297" s="326">
        <f t="shared" si="11"/>
        <v>450</v>
      </c>
      <c r="AN297" s="327">
        <f t="shared" si="12"/>
        <v>0.21257013937499999</v>
      </c>
      <c r="AO297" s="327"/>
      <c r="AP297" s="327"/>
      <c r="AQ297" s="328"/>
    </row>
    <row r="298" spans="1:43">
      <c r="A298" s="351" t="s">
        <v>208</v>
      </c>
      <c r="B298" s="323">
        <v>12.7</v>
      </c>
      <c r="C298" s="323">
        <v>107.95</v>
      </c>
      <c r="D298" s="323">
        <v>450.85</v>
      </c>
      <c r="E298" s="323">
        <v>30</v>
      </c>
      <c r="F298" s="323"/>
      <c r="G298" s="354">
        <v>45780</v>
      </c>
      <c r="H298" s="323"/>
      <c r="I298" s="323"/>
      <c r="J298" s="323"/>
      <c r="K298" s="323"/>
      <c r="L298" s="323"/>
      <c r="M298" s="323"/>
      <c r="N298" s="323"/>
      <c r="O298" s="323"/>
      <c r="P298" s="323"/>
      <c r="Q298" s="323"/>
      <c r="R298" s="323"/>
      <c r="S298" s="323"/>
      <c r="T298" s="323"/>
      <c r="U298" s="323"/>
      <c r="V298" s="323"/>
      <c r="W298" s="323"/>
      <c r="X298" s="323"/>
      <c r="Y298" s="323"/>
      <c r="Z298" s="323"/>
      <c r="AA298" s="323"/>
      <c r="AB298" s="323"/>
      <c r="AC298" s="323"/>
      <c r="AD298" s="323"/>
      <c r="AE298" s="323"/>
      <c r="AF298" s="323"/>
      <c r="AG298" s="323"/>
      <c r="AH298" s="323"/>
      <c r="AI298" s="323"/>
      <c r="AJ298" s="323"/>
      <c r="AK298" s="323"/>
      <c r="AL298" s="323"/>
      <c r="AM298" s="326">
        <f t="shared" si="11"/>
        <v>30</v>
      </c>
      <c r="AN298" s="327">
        <f t="shared" si="12"/>
        <v>1.8542987107499999E-2</v>
      </c>
      <c r="AO298" s="327"/>
      <c r="AP298" s="327"/>
      <c r="AQ298" s="328"/>
    </row>
    <row r="299" spans="1:43">
      <c r="A299" s="351" t="s">
        <v>208</v>
      </c>
      <c r="B299" s="323">
        <v>12.7</v>
      </c>
      <c r="C299" s="323">
        <v>209.55</v>
      </c>
      <c r="D299" s="323">
        <v>450.85</v>
      </c>
      <c r="E299" s="323">
        <v>50</v>
      </c>
      <c r="F299" s="323"/>
      <c r="G299" s="354">
        <v>45780</v>
      </c>
      <c r="H299" s="323"/>
      <c r="I299" s="323"/>
      <c r="J299" s="323"/>
      <c r="K299" s="323"/>
      <c r="L299" s="323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  <c r="AA299" s="323"/>
      <c r="AB299" s="323"/>
      <c r="AC299" s="323"/>
      <c r="AD299" s="323"/>
      <c r="AE299" s="323"/>
      <c r="AF299" s="323"/>
      <c r="AG299" s="323"/>
      <c r="AH299" s="323"/>
      <c r="AI299" s="323"/>
      <c r="AJ299" s="323"/>
      <c r="AK299" s="323"/>
      <c r="AL299" s="323"/>
      <c r="AM299" s="326">
        <f t="shared" si="11"/>
        <v>50</v>
      </c>
      <c r="AN299" s="327">
        <f t="shared" si="12"/>
        <v>5.9992017112499997E-2</v>
      </c>
      <c r="AO299" s="327"/>
      <c r="AP299" s="327"/>
      <c r="AQ299" s="328"/>
    </row>
    <row r="300" spans="1:43">
      <c r="A300" s="351" t="s">
        <v>208</v>
      </c>
      <c r="B300" s="323">
        <v>12.7</v>
      </c>
      <c r="C300" s="323">
        <v>107.95</v>
      </c>
      <c r="D300" s="323">
        <v>572.04999999999995</v>
      </c>
      <c r="E300" s="323">
        <v>50</v>
      </c>
      <c r="F300" s="323"/>
      <c r="G300" s="354">
        <v>45780</v>
      </c>
      <c r="H300" s="323"/>
      <c r="I300" s="323"/>
      <c r="J300" s="323"/>
      <c r="K300" s="323"/>
      <c r="L300" s="323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  <c r="AG300" s="323"/>
      <c r="AH300" s="323"/>
      <c r="AI300" s="323"/>
      <c r="AJ300" s="323"/>
      <c r="AK300" s="323"/>
      <c r="AL300" s="323"/>
      <c r="AM300" s="326">
        <f t="shared" si="11"/>
        <v>50</v>
      </c>
      <c r="AN300" s="327">
        <f t="shared" si="12"/>
        <v>3.9213026412499997E-2</v>
      </c>
      <c r="AO300" s="327"/>
      <c r="AP300" s="327"/>
      <c r="AQ300" s="328"/>
    </row>
    <row r="301" spans="1:43">
      <c r="A301" s="351" t="s">
        <v>208</v>
      </c>
      <c r="B301" s="323">
        <v>12.7</v>
      </c>
      <c r="C301" s="323">
        <v>209.55</v>
      </c>
      <c r="D301" s="323">
        <v>527.04999999999995</v>
      </c>
      <c r="E301" s="323">
        <v>20</v>
      </c>
      <c r="F301" s="323"/>
      <c r="G301" s="354">
        <v>45780</v>
      </c>
      <c r="H301" s="323"/>
      <c r="I301" s="323"/>
      <c r="J301" s="323"/>
      <c r="K301" s="323"/>
      <c r="L301" s="323"/>
      <c r="M301" s="323"/>
      <c r="N301" s="323"/>
      <c r="O301" s="323"/>
      <c r="P301" s="323"/>
      <c r="Q301" s="323"/>
      <c r="R301" s="323"/>
      <c r="S301" s="323"/>
      <c r="T301" s="323"/>
      <c r="U301" s="323"/>
      <c r="V301" s="323"/>
      <c r="W301" s="323"/>
      <c r="X301" s="323"/>
      <c r="Y301" s="323"/>
      <c r="Z301" s="323"/>
      <c r="AA301" s="323"/>
      <c r="AB301" s="323"/>
      <c r="AC301" s="323"/>
      <c r="AD301" s="323"/>
      <c r="AE301" s="323"/>
      <c r="AF301" s="323"/>
      <c r="AG301" s="323"/>
      <c r="AH301" s="323"/>
      <c r="AI301" s="323"/>
      <c r="AJ301" s="323"/>
      <c r="AK301" s="323"/>
      <c r="AL301" s="323"/>
      <c r="AM301" s="326">
        <f t="shared" si="11"/>
        <v>20</v>
      </c>
      <c r="AN301" s="327">
        <f t="shared" si="12"/>
        <v>2.8052605184999999E-2</v>
      </c>
      <c r="AO301" s="327"/>
      <c r="AP301" s="327"/>
      <c r="AQ301" s="328"/>
    </row>
    <row r="302" spans="1:43">
      <c r="A302" s="351" t="s">
        <v>208</v>
      </c>
      <c r="B302" s="323">
        <v>15.9</v>
      </c>
      <c r="C302" s="323">
        <v>206.4</v>
      </c>
      <c r="D302" s="323">
        <v>444.5</v>
      </c>
      <c r="E302" s="323">
        <v>38</v>
      </c>
      <c r="F302" s="323"/>
      <c r="G302" s="354">
        <v>45780</v>
      </c>
      <c r="H302" s="323"/>
      <c r="I302" s="323"/>
      <c r="J302" s="323"/>
      <c r="K302" s="323"/>
      <c r="L302" s="323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  <c r="AA302" s="323"/>
      <c r="AB302" s="323"/>
      <c r="AC302" s="323"/>
      <c r="AD302" s="323"/>
      <c r="AE302" s="323"/>
      <c r="AF302" s="323"/>
      <c r="AG302" s="323"/>
      <c r="AH302" s="323"/>
      <c r="AI302" s="323"/>
      <c r="AJ302" s="323"/>
      <c r="AK302" s="323"/>
      <c r="AL302" s="323"/>
      <c r="AM302" s="326">
        <f t="shared" si="11"/>
        <v>38</v>
      </c>
      <c r="AN302" s="327">
        <f t="shared" si="12"/>
        <v>5.5432208160000003E-2</v>
      </c>
      <c r="AO302" s="327"/>
      <c r="AP302" s="327"/>
      <c r="AQ302" s="328"/>
    </row>
    <row r="303" spans="1:43">
      <c r="A303" s="351" t="s">
        <v>208</v>
      </c>
      <c r="B303" s="323">
        <v>15.9</v>
      </c>
      <c r="C303" s="323">
        <v>155.6</v>
      </c>
      <c r="D303" s="323">
        <v>444.5</v>
      </c>
      <c r="E303" s="323">
        <v>160</v>
      </c>
      <c r="F303" s="323"/>
      <c r="G303" s="354">
        <v>45780</v>
      </c>
      <c r="H303" s="323"/>
      <c r="I303" s="323"/>
      <c r="J303" s="323"/>
      <c r="K303" s="323"/>
      <c r="L303" s="323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  <c r="AA303" s="323"/>
      <c r="AB303" s="323"/>
      <c r="AC303" s="323"/>
      <c r="AD303" s="323"/>
      <c r="AE303" s="323"/>
      <c r="AF303" s="323"/>
      <c r="AG303" s="323"/>
      <c r="AH303" s="323"/>
      <c r="AI303" s="323"/>
      <c r="AJ303" s="323"/>
      <c r="AK303" s="323"/>
      <c r="AL303" s="323"/>
      <c r="AM303" s="326">
        <f t="shared" si="11"/>
        <v>160</v>
      </c>
      <c r="AN303" s="327">
        <f t="shared" si="12"/>
        <v>0.17595372480000002</v>
      </c>
      <c r="AO303" s="327"/>
      <c r="AP303" s="327"/>
      <c r="AQ303" s="328"/>
    </row>
    <row r="304" spans="1:43">
      <c r="A304" s="351" t="s">
        <v>208</v>
      </c>
      <c r="B304" s="323">
        <v>15.9</v>
      </c>
      <c r="C304" s="323">
        <v>206.4</v>
      </c>
      <c r="D304" s="323">
        <v>520.70000000000005</v>
      </c>
      <c r="E304" s="323">
        <v>10</v>
      </c>
      <c r="F304" s="323"/>
      <c r="G304" s="354">
        <v>45780</v>
      </c>
      <c r="H304" s="323"/>
      <c r="I304" s="323"/>
      <c r="J304" s="323"/>
      <c r="K304" s="323"/>
      <c r="L304" s="323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  <c r="AA304" s="323"/>
      <c r="AB304" s="323"/>
      <c r="AC304" s="323"/>
      <c r="AD304" s="323"/>
      <c r="AE304" s="323"/>
      <c r="AF304" s="323"/>
      <c r="AG304" s="323"/>
      <c r="AH304" s="323"/>
      <c r="AI304" s="323"/>
      <c r="AJ304" s="323"/>
      <c r="AK304" s="323"/>
      <c r="AL304" s="323"/>
      <c r="AM304" s="326">
        <f t="shared" si="11"/>
        <v>10</v>
      </c>
      <c r="AN304" s="327">
        <f t="shared" si="12"/>
        <v>1.7088124320000005E-2</v>
      </c>
      <c r="AO304" s="327"/>
      <c r="AP304" s="327"/>
      <c r="AQ304" s="328"/>
    </row>
    <row r="305" spans="1:43">
      <c r="A305" s="351" t="s">
        <v>208</v>
      </c>
      <c r="B305" s="323">
        <v>12.7</v>
      </c>
      <c r="C305" s="323">
        <v>203.2</v>
      </c>
      <c r="D305" s="323">
        <v>523.6</v>
      </c>
      <c r="E305" s="323">
        <v>412</v>
      </c>
      <c r="F305" s="323"/>
      <c r="G305" s="354">
        <v>45780</v>
      </c>
      <c r="H305" s="323"/>
      <c r="I305" s="323"/>
      <c r="J305" s="323"/>
      <c r="K305" s="323"/>
      <c r="L305" s="323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  <c r="AA305" s="323"/>
      <c r="AB305" s="323"/>
      <c r="AC305" s="323"/>
      <c r="AD305" s="323"/>
      <c r="AE305" s="323"/>
      <c r="AF305" s="323"/>
      <c r="AG305" s="323"/>
      <c r="AH305" s="323"/>
      <c r="AI305" s="323"/>
      <c r="AJ305" s="323"/>
      <c r="AK305" s="323"/>
      <c r="AL305" s="323"/>
      <c r="AM305" s="326">
        <f t="shared" si="11"/>
        <v>412</v>
      </c>
      <c r="AN305" s="327">
        <f t="shared" si="12"/>
        <v>0.55670391884800008</v>
      </c>
      <c r="AO305" s="327"/>
      <c r="AP305" s="327"/>
      <c r="AQ305" s="328"/>
    </row>
    <row r="306" spans="1:43">
      <c r="A306" s="351" t="s">
        <v>208</v>
      </c>
      <c r="B306" s="323">
        <v>15.9</v>
      </c>
      <c r="C306" s="323">
        <v>85.7</v>
      </c>
      <c r="D306" s="323">
        <v>295.3</v>
      </c>
      <c r="E306" s="323">
        <v>468</v>
      </c>
      <c r="F306" s="323"/>
      <c r="G306" s="354">
        <v>45787</v>
      </c>
      <c r="H306" s="323"/>
      <c r="I306" s="323"/>
      <c r="J306" s="323"/>
      <c r="K306" s="323"/>
      <c r="L306" s="323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  <c r="AA306" s="323"/>
      <c r="AB306" s="323"/>
      <c r="AC306" s="323"/>
      <c r="AD306" s="323"/>
      <c r="AE306" s="323"/>
      <c r="AF306" s="323"/>
      <c r="AG306" s="323"/>
      <c r="AH306" s="323"/>
      <c r="AI306" s="323"/>
      <c r="AJ306" s="323"/>
      <c r="AK306" s="323"/>
      <c r="AL306" s="323"/>
      <c r="AM306" s="326">
        <f t="shared" si="11"/>
        <v>468</v>
      </c>
      <c r="AN306" s="327">
        <f t="shared" si="12"/>
        <v>0.18831601105200002</v>
      </c>
      <c r="AO306" s="323"/>
      <c r="AP306" s="323"/>
      <c r="AQ306" s="328"/>
    </row>
    <row r="307" spans="1:43">
      <c r="A307" s="351" t="s">
        <v>208</v>
      </c>
      <c r="B307" s="323">
        <v>15.9</v>
      </c>
      <c r="C307" s="323">
        <v>162</v>
      </c>
      <c r="D307" s="323">
        <v>371.5</v>
      </c>
      <c r="E307" s="323">
        <v>1200</v>
      </c>
      <c r="F307" s="323"/>
      <c r="G307" s="354">
        <v>45787</v>
      </c>
      <c r="H307" s="323"/>
      <c r="I307" s="323"/>
      <c r="J307" s="323"/>
      <c r="K307" s="323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  <c r="AA307" s="323"/>
      <c r="AB307" s="323"/>
      <c r="AC307" s="323"/>
      <c r="AD307" s="323"/>
      <c r="AE307" s="323"/>
      <c r="AF307" s="323"/>
      <c r="AG307" s="323"/>
      <c r="AH307" s="323"/>
      <c r="AI307" s="323"/>
      <c r="AJ307" s="323"/>
      <c r="AK307" s="323"/>
      <c r="AL307" s="323"/>
      <c r="AM307" s="326">
        <f t="shared" si="11"/>
        <v>1200</v>
      </c>
      <c r="AN307" s="327">
        <f t="shared" si="12"/>
        <v>1.1482916400000001</v>
      </c>
      <c r="AO307" s="323"/>
      <c r="AP307" s="323"/>
      <c r="AQ307" s="328"/>
    </row>
    <row r="308" spans="1:43">
      <c r="A308" s="351" t="s">
        <v>208</v>
      </c>
      <c r="B308" s="323">
        <v>16.399999999999999</v>
      </c>
      <c r="C308" s="323">
        <v>218</v>
      </c>
      <c r="D308" s="323">
        <v>1218</v>
      </c>
      <c r="E308" s="323">
        <v>176</v>
      </c>
      <c r="F308" s="323"/>
      <c r="G308" s="354">
        <v>45787</v>
      </c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6">
        <f t="shared" si="11"/>
        <v>176</v>
      </c>
      <c r="AN308" s="327">
        <f t="shared" si="12"/>
        <v>0.76640847359999986</v>
      </c>
      <c r="AO308" s="323"/>
      <c r="AP308" s="323"/>
      <c r="AQ308" s="328"/>
    </row>
    <row r="309" spans="1:43">
      <c r="A309" s="351" t="s">
        <v>208</v>
      </c>
      <c r="B309" s="323">
        <v>15.9</v>
      </c>
      <c r="C309" s="323">
        <v>161.9</v>
      </c>
      <c r="D309" s="323">
        <v>523.9</v>
      </c>
      <c r="E309" s="323">
        <v>240</v>
      </c>
      <c r="F309" s="323"/>
      <c r="G309" s="354">
        <v>45787</v>
      </c>
      <c r="H309" s="323"/>
      <c r="I309" s="323"/>
      <c r="J309" s="323"/>
      <c r="K309" s="323"/>
      <c r="L309" s="323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  <c r="AA309" s="323"/>
      <c r="AB309" s="323"/>
      <c r="AC309" s="323"/>
      <c r="AD309" s="323"/>
      <c r="AE309" s="323"/>
      <c r="AF309" s="323"/>
      <c r="AG309" s="323"/>
      <c r="AH309" s="323"/>
      <c r="AI309" s="323"/>
      <c r="AJ309" s="323"/>
      <c r="AK309" s="323"/>
      <c r="AL309" s="323"/>
      <c r="AM309" s="326">
        <f t="shared" si="11"/>
        <v>240</v>
      </c>
      <c r="AN309" s="327">
        <f t="shared" si="12"/>
        <v>0.32367086855999999</v>
      </c>
      <c r="AO309" s="323"/>
      <c r="AP309" s="323"/>
      <c r="AQ309" s="328"/>
    </row>
    <row r="310" spans="1:43">
      <c r="A310" s="351" t="s">
        <v>208</v>
      </c>
      <c r="B310" s="323">
        <v>15.9</v>
      </c>
      <c r="C310" s="323">
        <v>161.9</v>
      </c>
      <c r="D310" s="323">
        <v>371.5</v>
      </c>
      <c r="E310" s="323">
        <v>400</v>
      </c>
      <c r="F310" s="323"/>
      <c r="G310" s="354">
        <v>45787</v>
      </c>
      <c r="H310" s="323"/>
      <c r="I310" s="323"/>
      <c r="J310" s="323"/>
      <c r="K310" s="323"/>
      <c r="L310" s="323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>
        <v>342</v>
      </c>
      <c r="W310" s="323"/>
      <c r="X310" s="323"/>
      <c r="Y310" s="323"/>
      <c r="Z310" s="323"/>
      <c r="AA310" s="323"/>
      <c r="AB310" s="323"/>
      <c r="AC310" s="323"/>
      <c r="AD310" s="323"/>
      <c r="AE310" s="323"/>
      <c r="AF310" s="323"/>
      <c r="AG310" s="323"/>
      <c r="AH310" s="323"/>
      <c r="AI310" s="323"/>
      <c r="AJ310" s="323"/>
      <c r="AK310" s="323"/>
      <c r="AL310" s="323"/>
      <c r="AM310" s="326">
        <f t="shared" ref="AM310:AM373" si="13">E310-H310-I310-J310-K310-L310-M310-N310-O310-P310-Q310-R310-S310-T310-U310-V310-W310-X310-Y310-Z310-AA310-AB310-AC310-AD310-AE310-AF310-AG310-AH310-AI310-AJ310-AK310-AL310</f>
        <v>58</v>
      </c>
      <c r="AN310" s="327">
        <f t="shared" si="12"/>
        <v>5.5466502869999997E-2</v>
      </c>
      <c r="AO310" s="323"/>
      <c r="AP310" s="323"/>
      <c r="AQ310" s="328"/>
    </row>
    <row r="311" spans="1:43">
      <c r="A311" s="351" t="s">
        <v>208</v>
      </c>
      <c r="B311" s="323">
        <v>15.9</v>
      </c>
      <c r="C311" s="323">
        <v>161.9</v>
      </c>
      <c r="D311" s="323">
        <v>371.5</v>
      </c>
      <c r="E311" s="323">
        <v>400</v>
      </c>
      <c r="F311" s="323"/>
      <c r="G311" s="354">
        <v>45787</v>
      </c>
      <c r="H311" s="323"/>
      <c r="I311" s="323"/>
      <c r="J311" s="323"/>
      <c r="K311" s="323"/>
      <c r="L311" s="323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>
        <v>348</v>
      </c>
      <c r="W311" s="323"/>
      <c r="X311" s="323"/>
      <c r="Y311" s="323"/>
      <c r="Z311" s="323"/>
      <c r="AA311" s="323"/>
      <c r="AB311" s="323"/>
      <c r="AC311" s="323"/>
      <c r="AD311" s="323"/>
      <c r="AE311" s="323"/>
      <c r="AF311" s="323"/>
      <c r="AG311" s="323"/>
      <c r="AH311" s="323"/>
      <c r="AI311" s="323"/>
      <c r="AJ311" s="323"/>
      <c r="AK311" s="323"/>
      <c r="AL311" s="323"/>
      <c r="AM311" s="326">
        <f t="shared" si="13"/>
        <v>52</v>
      </c>
      <c r="AN311" s="327">
        <f t="shared" si="12"/>
        <v>4.9728588779999999E-2</v>
      </c>
      <c r="AO311" s="323"/>
      <c r="AP311" s="323"/>
      <c r="AQ311" s="328"/>
    </row>
    <row r="312" spans="1:43">
      <c r="A312" s="351" t="s">
        <v>208</v>
      </c>
      <c r="B312" s="323">
        <v>15.9</v>
      </c>
      <c r="C312" s="323">
        <v>161.9</v>
      </c>
      <c r="D312" s="323">
        <v>1133.5</v>
      </c>
      <c r="E312" s="323">
        <v>160</v>
      </c>
      <c r="F312" s="323"/>
      <c r="G312" s="354">
        <v>45787</v>
      </c>
      <c r="H312" s="323"/>
      <c r="I312" s="323"/>
      <c r="J312" s="323"/>
      <c r="K312" s="323"/>
      <c r="L312" s="323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  <c r="AA312" s="323"/>
      <c r="AB312" s="323"/>
      <c r="AC312" s="323"/>
      <c r="AD312" s="323"/>
      <c r="AE312" s="323"/>
      <c r="AF312" s="323"/>
      <c r="AG312" s="323"/>
      <c r="AH312" s="323"/>
      <c r="AI312" s="323"/>
      <c r="AJ312" s="323"/>
      <c r="AK312" s="323"/>
      <c r="AL312" s="323"/>
      <c r="AM312" s="326">
        <f t="shared" si="13"/>
        <v>160</v>
      </c>
      <c r="AN312" s="327">
        <f t="shared" si="12"/>
        <v>0.46685872560000002</v>
      </c>
      <c r="AO312" s="323"/>
      <c r="AP312" s="323"/>
      <c r="AQ312" s="328"/>
    </row>
    <row r="313" spans="1:43">
      <c r="A313" s="351" t="s">
        <v>208</v>
      </c>
      <c r="B313" s="323">
        <v>15.9</v>
      </c>
      <c r="C313" s="323">
        <v>161.9</v>
      </c>
      <c r="D313" s="323">
        <v>1133.5</v>
      </c>
      <c r="E313" s="323">
        <v>160</v>
      </c>
      <c r="F313" s="323"/>
      <c r="G313" s="354">
        <v>45787</v>
      </c>
      <c r="H313" s="323"/>
      <c r="I313" s="323"/>
      <c r="J313" s="323"/>
      <c r="K313" s="323"/>
      <c r="L313" s="323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  <c r="AA313" s="323"/>
      <c r="AB313" s="323"/>
      <c r="AC313" s="323"/>
      <c r="AD313" s="323"/>
      <c r="AE313" s="323"/>
      <c r="AF313" s="323"/>
      <c r="AG313" s="323"/>
      <c r="AH313" s="323"/>
      <c r="AI313" s="323"/>
      <c r="AJ313" s="323"/>
      <c r="AK313" s="323"/>
      <c r="AL313" s="323"/>
      <c r="AM313" s="326">
        <f t="shared" si="13"/>
        <v>160</v>
      </c>
      <c r="AN313" s="327">
        <f t="shared" si="12"/>
        <v>0.46685872560000002</v>
      </c>
      <c r="AO313" s="323"/>
      <c r="AP313" s="323"/>
      <c r="AQ313" s="328"/>
    </row>
    <row r="314" spans="1:43">
      <c r="A314" s="351" t="s">
        <v>208</v>
      </c>
      <c r="B314" s="323">
        <v>15.9</v>
      </c>
      <c r="C314" s="323">
        <v>206.38</v>
      </c>
      <c r="D314" s="323">
        <v>520.70000000000005</v>
      </c>
      <c r="E314" s="323">
        <v>372</v>
      </c>
      <c r="F314" s="323"/>
      <c r="G314" s="354">
        <v>45787</v>
      </c>
      <c r="H314" s="323"/>
      <c r="I314" s="323"/>
      <c r="J314" s="323"/>
      <c r="K314" s="323"/>
      <c r="L314" s="323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  <c r="AA314" s="323"/>
      <c r="AB314" s="323"/>
      <c r="AC314" s="323"/>
      <c r="AD314" s="323"/>
      <c r="AE314" s="323"/>
      <c r="AF314" s="323"/>
      <c r="AG314" s="323"/>
      <c r="AH314" s="323"/>
      <c r="AI314" s="323"/>
      <c r="AJ314" s="323"/>
      <c r="AK314" s="323"/>
      <c r="AL314" s="323"/>
      <c r="AM314" s="326">
        <f t="shared" si="13"/>
        <v>372</v>
      </c>
      <c r="AN314" s="327">
        <f t="shared" si="12"/>
        <v>0.63561662797680007</v>
      </c>
      <c r="AO314" s="323"/>
      <c r="AP314" s="323"/>
      <c r="AQ314" s="328"/>
    </row>
    <row r="315" spans="1:43">
      <c r="A315" s="351" t="s">
        <v>208</v>
      </c>
      <c r="B315" s="323">
        <v>15.9</v>
      </c>
      <c r="C315" s="323">
        <v>162</v>
      </c>
      <c r="D315" s="323">
        <v>219.1</v>
      </c>
      <c r="E315" s="323">
        <v>1200</v>
      </c>
      <c r="F315" s="323"/>
      <c r="G315" s="354">
        <v>45787</v>
      </c>
      <c r="H315" s="323"/>
      <c r="I315" s="323"/>
      <c r="J315" s="323"/>
      <c r="K315" s="323"/>
      <c r="L315" s="323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  <c r="AA315" s="323"/>
      <c r="AB315" s="323"/>
      <c r="AC315" s="323"/>
      <c r="AD315" s="323"/>
      <c r="AE315" s="323"/>
      <c r="AF315" s="323"/>
      <c r="AG315" s="323"/>
      <c r="AH315" s="323"/>
      <c r="AI315" s="323"/>
      <c r="AJ315" s="323"/>
      <c r="AK315" s="323"/>
      <c r="AL315" s="323"/>
      <c r="AM315" s="326">
        <f t="shared" si="13"/>
        <v>1200</v>
      </c>
      <c r="AN315" s="327">
        <f t="shared" si="12"/>
        <v>0.67722933600000002</v>
      </c>
      <c r="AO315" s="323"/>
      <c r="AP315" s="323"/>
      <c r="AQ315" s="328"/>
    </row>
    <row r="316" spans="1:43">
      <c r="A316" s="351" t="s">
        <v>208</v>
      </c>
      <c r="B316" s="323">
        <v>15.9</v>
      </c>
      <c r="C316" s="323">
        <v>85.7</v>
      </c>
      <c r="D316" s="323">
        <v>828.7</v>
      </c>
      <c r="E316" s="323">
        <v>816</v>
      </c>
      <c r="F316" s="323"/>
      <c r="G316" s="354">
        <v>45787</v>
      </c>
      <c r="H316" s="323"/>
      <c r="I316" s="323"/>
      <c r="J316" s="323"/>
      <c r="K316" s="323"/>
      <c r="L316" s="323"/>
      <c r="M316" s="323"/>
      <c r="N316" s="323"/>
      <c r="O316" s="323"/>
      <c r="P316" s="323"/>
      <c r="Q316" s="323"/>
      <c r="R316" s="323"/>
      <c r="S316" s="323"/>
      <c r="T316" s="323">
        <v>504</v>
      </c>
      <c r="U316" s="323"/>
      <c r="V316" s="323"/>
      <c r="W316" s="323"/>
      <c r="X316" s="323"/>
      <c r="Y316" s="323"/>
      <c r="Z316" s="323"/>
      <c r="AA316" s="323"/>
      <c r="AB316" s="323"/>
      <c r="AC316" s="323"/>
      <c r="AD316" s="323"/>
      <c r="AE316" s="323"/>
      <c r="AF316" s="323"/>
      <c r="AG316" s="323"/>
      <c r="AH316" s="323"/>
      <c r="AI316" s="323"/>
      <c r="AJ316" s="323"/>
      <c r="AK316" s="323"/>
      <c r="AL316" s="323"/>
      <c r="AM316" s="326">
        <f t="shared" si="13"/>
        <v>312</v>
      </c>
      <c r="AN316" s="327">
        <f t="shared" si="12"/>
        <v>0.35231398207200004</v>
      </c>
      <c r="AO316" s="323"/>
      <c r="AP316" s="323"/>
      <c r="AQ316" s="328"/>
    </row>
    <row r="317" spans="1:43">
      <c r="A317" s="351" t="s">
        <v>208</v>
      </c>
      <c r="B317" s="323">
        <v>15.9</v>
      </c>
      <c r="C317" s="323">
        <v>256</v>
      </c>
      <c r="D317" s="323">
        <v>520.70000000000005</v>
      </c>
      <c r="E317" s="323">
        <v>78</v>
      </c>
      <c r="F317" s="323"/>
      <c r="G317" s="354">
        <v>45787</v>
      </c>
      <c r="H317" s="323"/>
      <c r="I317" s="323"/>
      <c r="J317" s="323"/>
      <c r="K317" s="323"/>
      <c r="L317" s="323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  <c r="AA317" s="323"/>
      <c r="AB317" s="323"/>
      <c r="AC317" s="323"/>
      <c r="AD317" s="323"/>
      <c r="AE317" s="323"/>
      <c r="AF317" s="323"/>
      <c r="AG317" s="323"/>
      <c r="AH317" s="323"/>
      <c r="AI317" s="323"/>
      <c r="AJ317" s="323"/>
      <c r="AK317" s="323"/>
      <c r="AL317" s="323"/>
      <c r="AM317" s="326">
        <f t="shared" si="13"/>
        <v>78</v>
      </c>
      <c r="AN317" s="327">
        <f t="shared" si="12"/>
        <v>0.16531766784000004</v>
      </c>
      <c r="AO317" s="323"/>
      <c r="AP317" s="323"/>
      <c r="AQ317" s="328"/>
    </row>
    <row r="318" spans="1:43">
      <c r="A318" s="351" t="s">
        <v>208</v>
      </c>
      <c r="B318" s="323">
        <v>15.9</v>
      </c>
      <c r="C318" s="323">
        <v>256</v>
      </c>
      <c r="D318" s="323">
        <v>371.5</v>
      </c>
      <c r="E318" s="323">
        <v>320</v>
      </c>
      <c r="F318" s="323"/>
      <c r="G318" s="354">
        <v>45787</v>
      </c>
      <c r="H318" s="323"/>
      <c r="I318" s="323"/>
      <c r="J318" s="323"/>
      <c r="K318" s="323"/>
      <c r="L318" s="323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  <c r="AA318" s="323"/>
      <c r="AB318" s="323"/>
      <c r="AC318" s="323"/>
      <c r="AD318" s="323"/>
      <c r="AE318" s="323"/>
      <c r="AF318" s="323"/>
      <c r="AG318" s="323"/>
      <c r="AH318" s="323"/>
      <c r="AI318" s="323"/>
      <c r="AJ318" s="323"/>
      <c r="AK318" s="323"/>
      <c r="AL318" s="323"/>
      <c r="AM318" s="326">
        <f t="shared" si="13"/>
        <v>320</v>
      </c>
      <c r="AN318" s="327">
        <f t="shared" si="12"/>
        <v>0.48388915199999999</v>
      </c>
      <c r="AO318" s="323"/>
      <c r="AP318" s="323"/>
      <c r="AQ318" s="328"/>
    </row>
    <row r="319" spans="1:43">
      <c r="A319" s="351" t="s">
        <v>208</v>
      </c>
      <c r="B319" s="323">
        <v>15.9</v>
      </c>
      <c r="C319" s="323">
        <v>161.9</v>
      </c>
      <c r="D319" s="323">
        <v>371.5</v>
      </c>
      <c r="E319" s="323">
        <v>625</v>
      </c>
      <c r="F319" s="323"/>
      <c r="G319" s="354">
        <v>45787</v>
      </c>
      <c r="H319" s="323"/>
      <c r="I319" s="323"/>
      <c r="J319" s="323"/>
      <c r="K319" s="323"/>
      <c r="L319" s="323"/>
      <c r="M319" s="323"/>
      <c r="N319" s="323"/>
      <c r="O319" s="323"/>
      <c r="P319" s="323"/>
      <c r="Q319" s="323"/>
      <c r="R319" s="323"/>
      <c r="S319" s="323"/>
      <c r="T319" s="323"/>
      <c r="U319" s="323"/>
      <c r="V319" s="323"/>
      <c r="W319" s="323"/>
      <c r="X319" s="323"/>
      <c r="Y319" s="323"/>
      <c r="Z319" s="323"/>
      <c r="AA319" s="323"/>
      <c r="AB319" s="323"/>
      <c r="AC319" s="323"/>
      <c r="AD319" s="323"/>
      <c r="AE319" s="323"/>
      <c r="AF319" s="323"/>
      <c r="AG319" s="323"/>
      <c r="AH319" s="323"/>
      <c r="AI319" s="323"/>
      <c r="AJ319" s="323"/>
      <c r="AK319" s="323"/>
      <c r="AL319" s="323"/>
      <c r="AM319" s="326">
        <f t="shared" si="13"/>
        <v>625</v>
      </c>
      <c r="AN319" s="327">
        <f t="shared" si="12"/>
        <v>0.59769938437500003</v>
      </c>
      <c r="AO319" s="323"/>
      <c r="AP319" s="323"/>
      <c r="AQ319" s="328"/>
    </row>
    <row r="320" spans="1:43">
      <c r="A320" s="351" t="s">
        <v>208</v>
      </c>
      <c r="B320" s="323">
        <v>15.9</v>
      </c>
      <c r="C320" s="323">
        <v>254</v>
      </c>
      <c r="D320" s="323">
        <v>828.7</v>
      </c>
      <c r="E320" s="323">
        <v>165</v>
      </c>
      <c r="F320" s="323"/>
      <c r="G320" s="354">
        <v>45787</v>
      </c>
      <c r="H320" s="323"/>
      <c r="I320" s="323"/>
      <c r="J320" s="323"/>
      <c r="K320" s="323"/>
      <c r="L320" s="323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  <c r="AA320" s="323"/>
      <c r="AB320" s="323"/>
      <c r="AC320" s="323"/>
      <c r="AD320" s="323"/>
      <c r="AE320" s="323"/>
      <c r="AF320" s="323"/>
      <c r="AG320" s="323"/>
      <c r="AH320" s="323"/>
      <c r="AI320" s="323"/>
      <c r="AJ320" s="323"/>
      <c r="AK320" s="323"/>
      <c r="AL320" s="323"/>
      <c r="AM320" s="326">
        <f t="shared" si="13"/>
        <v>165</v>
      </c>
      <c r="AN320" s="327">
        <f t="shared" si="12"/>
        <v>0.55221999030000002</v>
      </c>
      <c r="AO320" s="323"/>
      <c r="AP320" s="323"/>
      <c r="AQ320" s="328"/>
    </row>
    <row r="321" spans="1:43">
      <c r="A321" s="351" t="s">
        <v>208</v>
      </c>
      <c r="B321" s="323">
        <v>15.9</v>
      </c>
      <c r="C321" s="323">
        <v>85.7</v>
      </c>
      <c r="D321" s="323">
        <v>349.3</v>
      </c>
      <c r="E321" s="323">
        <v>110</v>
      </c>
      <c r="F321" s="323"/>
      <c r="G321" s="354">
        <v>45787</v>
      </c>
      <c r="H321" s="323"/>
      <c r="I321" s="323"/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  <c r="AA321" s="323"/>
      <c r="AB321" s="323"/>
      <c r="AC321" s="323"/>
      <c r="AD321" s="323"/>
      <c r="AE321" s="323"/>
      <c r="AF321" s="323"/>
      <c r="AG321" s="323"/>
      <c r="AH321" s="323"/>
      <c r="AI321" s="323"/>
      <c r="AJ321" s="323"/>
      <c r="AK321" s="323"/>
      <c r="AL321" s="323"/>
      <c r="AM321" s="326">
        <f t="shared" si="13"/>
        <v>110</v>
      </c>
      <c r="AN321" s="327">
        <f t="shared" si="12"/>
        <v>5.2356332490000004E-2</v>
      </c>
      <c r="AO321" s="323"/>
      <c r="AP321" s="323"/>
      <c r="AQ321" s="328"/>
    </row>
    <row r="322" spans="1:43">
      <c r="A322" s="351" t="s">
        <v>208</v>
      </c>
      <c r="B322" s="323">
        <v>15.9</v>
      </c>
      <c r="C322" s="323">
        <v>254</v>
      </c>
      <c r="D322" s="323">
        <v>371.5</v>
      </c>
      <c r="E322" s="323">
        <v>320</v>
      </c>
      <c r="F322" s="323"/>
      <c r="G322" s="354">
        <v>45787</v>
      </c>
      <c r="H322" s="323"/>
      <c r="I322" s="323"/>
      <c r="J322" s="323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  <c r="AA322" s="323"/>
      <c r="AB322" s="323"/>
      <c r="AC322" s="323"/>
      <c r="AD322" s="323"/>
      <c r="AE322" s="323"/>
      <c r="AF322" s="323"/>
      <c r="AG322" s="323"/>
      <c r="AH322" s="323"/>
      <c r="AI322" s="323"/>
      <c r="AJ322" s="323"/>
      <c r="AK322" s="323"/>
      <c r="AL322" s="323"/>
      <c r="AM322" s="326">
        <f t="shared" si="13"/>
        <v>320</v>
      </c>
      <c r="AN322" s="327">
        <f t="shared" si="12"/>
        <v>0.48010876800000002</v>
      </c>
      <c r="AO322" s="323"/>
      <c r="AP322" s="323"/>
      <c r="AQ322" s="328"/>
    </row>
    <row r="323" spans="1:43">
      <c r="A323" s="351" t="s">
        <v>208</v>
      </c>
      <c r="B323" s="323">
        <v>15.9</v>
      </c>
      <c r="C323" s="323">
        <v>85.7</v>
      </c>
      <c r="D323" s="323">
        <v>333.4</v>
      </c>
      <c r="E323" s="323">
        <v>960</v>
      </c>
      <c r="F323" s="323"/>
      <c r="G323" s="354">
        <v>45787</v>
      </c>
      <c r="H323" s="323"/>
      <c r="I323" s="323"/>
      <c r="J323" s="323"/>
      <c r="K323" s="323"/>
      <c r="L323" s="323"/>
      <c r="M323" s="323"/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  <c r="AA323" s="323"/>
      <c r="AB323" s="323"/>
      <c r="AC323" s="323"/>
      <c r="AD323" s="323"/>
      <c r="AE323" s="323"/>
      <c r="AF323" s="323"/>
      <c r="AG323" s="323"/>
      <c r="AH323" s="323"/>
      <c r="AI323" s="323"/>
      <c r="AJ323" s="323"/>
      <c r="AK323" s="323"/>
      <c r="AL323" s="323"/>
      <c r="AM323" s="326">
        <f t="shared" si="13"/>
        <v>960</v>
      </c>
      <c r="AN323" s="327">
        <f t="shared" ref="AN323:AN386" si="14">B323*C323*D323*AM323/1000000000</f>
        <v>0.43612880832000001</v>
      </c>
      <c r="AO323" s="323"/>
      <c r="AP323" s="323"/>
      <c r="AQ323" s="328"/>
    </row>
    <row r="324" spans="1:43">
      <c r="A324" s="351" t="s">
        <v>208</v>
      </c>
      <c r="B324" s="323">
        <v>15.9</v>
      </c>
      <c r="C324" s="323">
        <v>254</v>
      </c>
      <c r="D324" s="323">
        <v>371.5</v>
      </c>
      <c r="E324" s="323">
        <v>320</v>
      </c>
      <c r="F324" s="323"/>
      <c r="G324" s="354">
        <v>45787</v>
      </c>
      <c r="H324" s="323"/>
      <c r="I324" s="323"/>
      <c r="J324" s="323"/>
      <c r="K324" s="323"/>
      <c r="L324" s="323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  <c r="AA324" s="323"/>
      <c r="AB324" s="323"/>
      <c r="AC324" s="323"/>
      <c r="AD324" s="323"/>
      <c r="AE324" s="323"/>
      <c r="AF324" s="323"/>
      <c r="AG324" s="323"/>
      <c r="AH324" s="323"/>
      <c r="AI324" s="323"/>
      <c r="AJ324" s="323"/>
      <c r="AK324" s="323"/>
      <c r="AL324" s="323"/>
      <c r="AM324" s="326">
        <f t="shared" si="13"/>
        <v>320</v>
      </c>
      <c r="AN324" s="327">
        <f t="shared" si="14"/>
        <v>0.48010876800000002</v>
      </c>
      <c r="AO324" s="323"/>
      <c r="AP324" s="323"/>
      <c r="AQ324" s="328"/>
    </row>
    <row r="325" spans="1:43">
      <c r="A325" s="351" t="s">
        <v>208</v>
      </c>
      <c r="B325" s="323">
        <v>15.9</v>
      </c>
      <c r="C325" s="323">
        <v>85.7</v>
      </c>
      <c r="D325" s="323">
        <v>700</v>
      </c>
      <c r="E325" s="323">
        <v>100</v>
      </c>
      <c r="F325" s="323"/>
      <c r="G325" s="354">
        <v>45787</v>
      </c>
      <c r="H325" s="323"/>
      <c r="I325" s="323"/>
      <c r="J325" s="323"/>
      <c r="K325" s="323"/>
      <c r="L325" s="323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  <c r="AA325" s="323"/>
      <c r="AB325" s="323"/>
      <c r="AC325" s="323"/>
      <c r="AD325" s="323"/>
      <c r="AE325" s="323"/>
      <c r="AF325" s="323"/>
      <c r="AG325" s="323"/>
      <c r="AH325" s="323"/>
      <c r="AI325" s="323"/>
      <c r="AJ325" s="323"/>
      <c r="AK325" s="323"/>
      <c r="AL325" s="323"/>
      <c r="AM325" s="326">
        <f t="shared" si="13"/>
        <v>100</v>
      </c>
      <c r="AN325" s="327">
        <f t="shared" si="14"/>
        <v>9.5384100000000013E-2</v>
      </c>
      <c r="AO325" s="323"/>
      <c r="AP325" s="323"/>
      <c r="AQ325" s="328"/>
    </row>
    <row r="326" spans="1:43">
      <c r="A326" s="351" t="s">
        <v>208</v>
      </c>
      <c r="B326" s="323">
        <v>15.9</v>
      </c>
      <c r="C326" s="323">
        <v>161.9</v>
      </c>
      <c r="D326" s="323">
        <v>855</v>
      </c>
      <c r="E326" s="323">
        <v>82</v>
      </c>
      <c r="F326" s="323"/>
      <c r="G326" s="354">
        <v>45787</v>
      </c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6">
        <f t="shared" si="13"/>
        <v>82</v>
      </c>
      <c r="AN326" s="327">
        <f t="shared" si="14"/>
        <v>0.1804778631</v>
      </c>
      <c r="AO326" s="323"/>
      <c r="AP326" s="323"/>
      <c r="AQ326" s="328"/>
    </row>
    <row r="327" spans="1:43">
      <c r="A327" s="351" t="s">
        <v>208</v>
      </c>
      <c r="B327" s="323">
        <v>15.9</v>
      </c>
      <c r="C327" s="323">
        <v>85.7</v>
      </c>
      <c r="D327" s="323">
        <v>820</v>
      </c>
      <c r="E327" s="323">
        <v>205</v>
      </c>
      <c r="F327" s="323"/>
      <c r="G327" s="354">
        <v>45787</v>
      </c>
      <c r="H327" s="323"/>
      <c r="I327" s="323"/>
      <c r="J327" s="323"/>
      <c r="K327" s="323"/>
      <c r="L327" s="323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  <c r="AA327" s="323"/>
      <c r="AB327" s="323"/>
      <c r="AC327" s="323"/>
      <c r="AD327" s="323"/>
      <c r="AE327" s="323"/>
      <c r="AF327" s="323"/>
      <c r="AG327" s="323"/>
      <c r="AH327" s="323"/>
      <c r="AI327" s="323"/>
      <c r="AJ327" s="323"/>
      <c r="AK327" s="323"/>
      <c r="AL327" s="323"/>
      <c r="AM327" s="326">
        <f t="shared" si="13"/>
        <v>205</v>
      </c>
      <c r="AN327" s="327">
        <f t="shared" si="14"/>
        <v>0.22905810300000004</v>
      </c>
      <c r="AO327" s="323"/>
      <c r="AP327" s="323"/>
      <c r="AQ327" s="328"/>
    </row>
    <row r="328" spans="1:43">
      <c r="A328" s="351" t="s">
        <v>208</v>
      </c>
      <c r="B328" s="323">
        <v>15.9</v>
      </c>
      <c r="C328" s="323">
        <v>254</v>
      </c>
      <c r="D328" s="323">
        <v>315</v>
      </c>
      <c r="E328" s="323">
        <v>208</v>
      </c>
      <c r="F328" s="323"/>
      <c r="G328" s="354">
        <v>45787</v>
      </c>
      <c r="H328" s="323"/>
      <c r="I328" s="323"/>
      <c r="J328" s="323"/>
      <c r="K328" s="323"/>
      <c r="L328" s="323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  <c r="AA328" s="323"/>
      <c r="AB328" s="323"/>
      <c r="AC328" s="323"/>
      <c r="AD328" s="323"/>
      <c r="AE328" s="323"/>
      <c r="AF328" s="323"/>
      <c r="AG328" s="323"/>
      <c r="AH328" s="323"/>
      <c r="AI328" s="323"/>
      <c r="AJ328" s="323"/>
      <c r="AK328" s="323"/>
      <c r="AL328" s="323"/>
      <c r="AM328" s="326">
        <f t="shared" si="13"/>
        <v>208</v>
      </c>
      <c r="AN328" s="327">
        <f t="shared" si="14"/>
        <v>0.264609072</v>
      </c>
      <c r="AO328" s="323"/>
      <c r="AP328" s="323"/>
      <c r="AQ328" s="328"/>
    </row>
    <row r="329" spans="1:43">
      <c r="A329" s="351" t="s">
        <v>208</v>
      </c>
      <c r="B329" s="323">
        <v>16</v>
      </c>
      <c r="C329" s="323">
        <v>85.7</v>
      </c>
      <c r="D329" s="323">
        <v>520.70000000000005</v>
      </c>
      <c r="E329" s="323">
        <v>1390</v>
      </c>
      <c r="F329" s="323"/>
      <c r="G329" s="354">
        <v>45787</v>
      </c>
      <c r="H329" s="323"/>
      <c r="I329" s="323"/>
      <c r="J329" s="323"/>
      <c r="K329" s="323"/>
      <c r="L329" s="323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  <c r="AA329" s="323"/>
      <c r="AB329" s="323"/>
      <c r="AC329" s="323"/>
      <c r="AD329" s="323"/>
      <c r="AE329" s="323"/>
      <c r="AF329" s="323"/>
      <c r="AG329" s="323"/>
      <c r="AH329" s="323"/>
      <c r="AI329" s="323"/>
      <c r="AJ329" s="323"/>
      <c r="AK329" s="323"/>
      <c r="AL329" s="323"/>
      <c r="AM329" s="326">
        <f t="shared" si="13"/>
        <v>1390</v>
      </c>
      <c r="AN329" s="327">
        <f t="shared" si="14"/>
        <v>0.9924375376000002</v>
      </c>
      <c r="AO329" s="323"/>
      <c r="AP329" s="323"/>
      <c r="AQ329" s="328"/>
    </row>
    <row r="330" spans="1:43">
      <c r="A330" s="351" t="s">
        <v>208</v>
      </c>
      <c r="B330" s="323">
        <v>15.9</v>
      </c>
      <c r="C330" s="323">
        <v>85.7</v>
      </c>
      <c r="D330" s="323">
        <v>680</v>
      </c>
      <c r="E330" s="323">
        <v>360</v>
      </c>
      <c r="F330" s="323"/>
      <c r="G330" s="354">
        <v>45787</v>
      </c>
      <c r="H330" s="323"/>
      <c r="I330" s="323"/>
      <c r="J330" s="323"/>
      <c r="K330" s="323"/>
      <c r="L330" s="323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  <c r="AA330" s="323"/>
      <c r="AB330" s="323"/>
      <c r="AC330" s="323"/>
      <c r="AD330" s="323"/>
      <c r="AE330" s="323"/>
      <c r="AF330" s="323"/>
      <c r="AG330" s="323"/>
      <c r="AH330" s="323"/>
      <c r="AI330" s="323"/>
      <c r="AJ330" s="323"/>
      <c r="AK330" s="323"/>
      <c r="AL330" s="323"/>
      <c r="AM330" s="326">
        <f t="shared" si="13"/>
        <v>360</v>
      </c>
      <c r="AN330" s="327">
        <f t="shared" si="14"/>
        <v>0.33357182400000002</v>
      </c>
      <c r="AO330" s="323"/>
      <c r="AP330" s="323"/>
      <c r="AQ330" s="328"/>
    </row>
    <row r="331" spans="1:43">
      <c r="A331" s="351" t="s">
        <v>208</v>
      </c>
      <c r="B331" s="323">
        <v>15.9</v>
      </c>
      <c r="C331" s="323">
        <v>85.7</v>
      </c>
      <c r="D331" s="323">
        <v>750</v>
      </c>
      <c r="E331" s="323">
        <v>375</v>
      </c>
      <c r="F331" s="323"/>
      <c r="G331" s="354">
        <v>45787</v>
      </c>
      <c r="H331" s="323"/>
      <c r="I331" s="323"/>
      <c r="J331" s="323"/>
      <c r="K331" s="323"/>
      <c r="L331" s="323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  <c r="AA331" s="323"/>
      <c r="AB331" s="323"/>
      <c r="AC331" s="323"/>
      <c r="AD331" s="323"/>
      <c r="AE331" s="323"/>
      <c r="AF331" s="323"/>
      <c r="AG331" s="323"/>
      <c r="AH331" s="323"/>
      <c r="AI331" s="323"/>
      <c r="AJ331" s="323"/>
      <c r="AK331" s="323"/>
      <c r="AL331" s="323"/>
      <c r="AM331" s="326">
        <f t="shared" si="13"/>
        <v>375</v>
      </c>
      <c r="AN331" s="327">
        <f t="shared" si="14"/>
        <v>0.38323968750000004</v>
      </c>
      <c r="AO331" s="323"/>
      <c r="AP331" s="323"/>
      <c r="AQ331" s="328"/>
    </row>
    <row r="332" spans="1:43">
      <c r="A332" s="351" t="s">
        <v>208</v>
      </c>
      <c r="B332" s="323">
        <v>15.9</v>
      </c>
      <c r="C332" s="323">
        <v>85.7</v>
      </c>
      <c r="D332" s="323">
        <v>750</v>
      </c>
      <c r="E332" s="323">
        <v>220</v>
      </c>
      <c r="F332" s="323"/>
      <c r="G332" s="354">
        <v>45787</v>
      </c>
      <c r="H332" s="323"/>
      <c r="I332" s="323"/>
      <c r="J332" s="323"/>
      <c r="K332" s="323"/>
      <c r="L332" s="323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  <c r="AA332" s="323"/>
      <c r="AB332" s="323"/>
      <c r="AC332" s="323"/>
      <c r="AD332" s="323"/>
      <c r="AE332" s="323"/>
      <c r="AF332" s="323"/>
      <c r="AG332" s="323"/>
      <c r="AH332" s="323"/>
      <c r="AI332" s="323"/>
      <c r="AJ332" s="323"/>
      <c r="AK332" s="323"/>
      <c r="AL332" s="323"/>
      <c r="AM332" s="326">
        <f t="shared" si="13"/>
        <v>220</v>
      </c>
      <c r="AN332" s="327">
        <f t="shared" si="14"/>
        <v>0.22483395000000003</v>
      </c>
      <c r="AO332" s="323"/>
      <c r="AP332" s="323"/>
      <c r="AQ332" s="328"/>
    </row>
    <row r="333" spans="1:43">
      <c r="A333" s="351" t="s">
        <v>208</v>
      </c>
      <c r="B333" s="323">
        <v>15.9</v>
      </c>
      <c r="C333" s="323">
        <v>85.7</v>
      </c>
      <c r="D333" s="323">
        <v>690</v>
      </c>
      <c r="E333" s="323">
        <v>480</v>
      </c>
      <c r="F333" s="323"/>
      <c r="G333" s="354">
        <v>45787</v>
      </c>
      <c r="H333" s="323"/>
      <c r="I333" s="323"/>
      <c r="J333" s="323"/>
      <c r="K333" s="323"/>
      <c r="L333" s="323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  <c r="AA333" s="323"/>
      <c r="AB333" s="323"/>
      <c r="AC333" s="323"/>
      <c r="AD333" s="323"/>
      <c r="AE333" s="323"/>
      <c r="AF333" s="323"/>
      <c r="AG333" s="323"/>
      <c r="AH333" s="323"/>
      <c r="AI333" s="323"/>
      <c r="AJ333" s="323"/>
      <c r="AK333" s="323"/>
      <c r="AL333" s="323"/>
      <c r="AM333" s="326">
        <f t="shared" si="13"/>
        <v>480</v>
      </c>
      <c r="AN333" s="327">
        <f t="shared" si="14"/>
        <v>0.45130305600000004</v>
      </c>
      <c r="AO333" s="323"/>
      <c r="AP333" s="323"/>
      <c r="AQ333" s="328"/>
    </row>
    <row r="334" spans="1:43">
      <c r="A334" s="351" t="s">
        <v>208</v>
      </c>
      <c r="B334" s="323">
        <v>15.9</v>
      </c>
      <c r="C334" s="323">
        <v>161.9</v>
      </c>
      <c r="D334" s="323">
        <v>543</v>
      </c>
      <c r="E334" s="323">
        <v>400</v>
      </c>
      <c r="F334" s="323"/>
      <c r="G334" s="354">
        <v>45787</v>
      </c>
      <c r="H334" s="323"/>
      <c r="I334" s="323"/>
      <c r="J334" s="323"/>
      <c r="K334" s="323"/>
      <c r="L334" s="323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>
        <v>19</v>
      </c>
      <c r="W334" s="323"/>
      <c r="X334" s="323"/>
      <c r="Y334" s="323"/>
      <c r="Z334" s="323"/>
      <c r="AA334" s="323"/>
      <c r="AB334" s="323"/>
      <c r="AC334" s="323"/>
      <c r="AD334" s="323"/>
      <c r="AE334" s="323"/>
      <c r="AF334" s="323"/>
      <c r="AG334" s="323"/>
      <c r="AH334" s="323"/>
      <c r="AI334" s="323"/>
      <c r="AJ334" s="323"/>
      <c r="AK334" s="323"/>
      <c r="AL334" s="323"/>
      <c r="AM334" s="326">
        <f t="shared" si="13"/>
        <v>381</v>
      </c>
      <c r="AN334" s="327">
        <f t="shared" si="14"/>
        <v>0.53256028743000006</v>
      </c>
      <c r="AO334" s="323"/>
      <c r="AP334" s="323"/>
      <c r="AQ334" s="328"/>
    </row>
    <row r="335" spans="1:43">
      <c r="A335" s="351" t="s">
        <v>208</v>
      </c>
      <c r="B335" s="323">
        <v>15.9</v>
      </c>
      <c r="C335" s="323">
        <v>161.9</v>
      </c>
      <c r="D335" s="323">
        <v>775</v>
      </c>
      <c r="E335" s="323">
        <v>75</v>
      </c>
      <c r="F335" s="323"/>
      <c r="G335" s="354">
        <v>45787</v>
      </c>
      <c r="H335" s="323"/>
      <c r="I335" s="323"/>
      <c r="J335" s="323"/>
      <c r="K335" s="323"/>
      <c r="L335" s="323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  <c r="AA335" s="323"/>
      <c r="AB335" s="323"/>
      <c r="AC335" s="323"/>
      <c r="AD335" s="323"/>
      <c r="AE335" s="323"/>
      <c r="AF335" s="323"/>
      <c r="AG335" s="323"/>
      <c r="AH335" s="323"/>
      <c r="AI335" s="323"/>
      <c r="AJ335" s="323"/>
      <c r="AK335" s="323"/>
      <c r="AL335" s="323"/>
      <c r="AM335" s="326">
        <f t="shared" si="13"/>
        <v>75</v>
      </c>
      <c r="AN335" s="327">
        <f t="shared" si="14"/>
        <v>0.14962595625</v>
      </c>
      <c r="AO335" s="323"/>
      <c r="AP335" s="323"/>
      <c r="AQ335" s="328"/>
    </row>
    <row r="336" spans="1:43">
      <c r="A336" s="351" t="s">
        <v>208</v>
      </c>
      <c r="B336" s="323">
        <v>15.9</v>
      </c>
      <c r="C336" s="323">
        <v>161.9</v>
      </c>
      <c r="D336" s="323">
        <v>520.70000000000005</v>
      </c>
      <c r="E336" s="323">
        <v>70</v>
      </c>
      <c r="F336" s="323"/>
      <c r="G336" s="354">
        <v>45787</v>
      </c>
      <c r="H336" s="323"/>
      <c r="I336" s="323"/>
      <c r="J336" s="323"/>
      <c r="K336" s="323"/>
      <c r="L336" s="323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  <c r="AA336" s="323"/>
      <c r="AB336" s="323"/>
      <c r="AC336" s="323"/>
      <c r="AD336" s="323"/>
      <c r="AE336" s="323"/>
      <c r="AF336" s="323"/>
      <c r="AG336" s="323"/>
      <c r="AH336" s="323"/>
      <c r="AI336" s="323"/>
      <c r="AJ336" s="323"/>
      <c r="AK336" s="323"/>
      <c r="AL336" s="323"/>
      <c r="AM336" s="326">
        <f t="shared" si="13"/>
        <v>70</v>
      </c>
      <c r="AN336" s="327">
        <f t="shared" si="14"/>
        <v>9.3827380290000012E-2</v>
      </c>
      <c r="AO336" s="323"/>
      <c r="AP336" s="323"/>
      <c r="AQ336" s="328"/>
    </row>
    <row r="337" spans="1:43">
      <c r="A337" s="351" t="s">
        <v>208</v>
      </c>
      <c r="B337" s="323">
        <v>15.9</v>
      </c>
      <c r="C337" s="323">
        <v>161.9</v>
      </c>
      <c r="D337" s="323">
        <v>445</v>
      </c>
      <c r="E337" s="323">
        <v>105</v>
      </c>
      <c r="F337" s="323"/>
      <c r="G337" s="354">
        <v>45787</v>
      </c>
      <c r="H337" s="323"/>
      <c r="I337" s="323"/>
      <c r="J337" s="323"/>
      <c r="K337" s="323"/>
      <c r="L337" s="323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  <c r="AA337" s="323"/>
      <c r="AB337" s="323"/>
      <c r="AC337" s="323"/>
      <c r="AD337" s="323"/>
      <c r="AE337" s="323"/>
      <c r="AF337" s="323"/>
      <c r="AG337" s="323"/>
      <c r="AH337" s="323"/>
      <c r="AI337" s="323"/>
      <c r="AJ337" s="323"/>
      <c r="AK337" s="323"/>
      <c r="AL337" s="323"/>
      <c r="AM337" s="326">
        <f t="shared" si="13"/>
        <v>105</v>
      </c>
      <c r="AN337" s="327">
        <f t="shared" si="14"/>
        <v>0.12027996225</v>
      </c>
      <c r="AO337" s="323"/>
      <c r="AP337" s="323"/>
      <c r="AQ337" s="328"/>
    </row>
    <row r="338" spans="1:43">
      <c r="A338" s="351" t="s">
        <v>208</v>
      </c>
      <c r="B338" s="323">
        <v>16</v>
      </c>
      <c r="C338" s="323">
        <v>253</v>
      </c>
      <c r="D338" s="323">
        <v>540</v>
      </c>
      <c r="E338" s="323">
        <v>196</v>
      </c>
      <c r="F338" s="323"/>
      <c r="G338" s="354">
        <v>45787</v>
      </c>
      <c r="H338" s="323"/>
      <c r="I338" s="323"/>
      <c r="J338" s="323"/>
      <c r="K338" s="323"/>
      <c r="L338" s="323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  <c r="AA338" s="323"/>
      <c r="AB338" s="323"/>
      <c r="AC338" s="323"/>
      <c r="AD338" s="323"/>
      <c r="AE338" s="323"/>
      <c r="AF338" s="323"/>
      <c r="AG338" s="323"/>
      <c r="AH338" s="323"/>
      <c r="AI338" s="323"/>
      <c r="AJ338" s="323"/>
      <c r="AK338" s="323"/>
      <c r="AL338" s="323"/>
      <c r="AM338" s="326">
        <f t="shared" si="13"/>
        <v>196</v>
      </c>
      <c r="AN338" s="327">
        <f t="shared" si="14"/>
        <v>0.42844031999999999</v>
      </c>
      <c r="AO338" s="323"/>
      <c r="AP338" s="323"/>
      <c r="AQ338" s="328"/>
    </row>
    <row r="339" spans="1:43">
      <c r="A339" s="351" t="s">
        <v>208</v>
      </c>
      <c r="B339" s="323">
        <v>16</v>
      </c>
      <c r="C339" s="323">
        <v>161.9</v>
      </c>
      <c r="D339" s="323">
        <v>540</v>
      </c>
      <c r="E339" s="323">
        <v>190</v>
      </c>
      <c r="F339" s="323"/>
      <c r="G339" s="354">
        <v>45787</v>
      </c>
      <c r="H339" s="323"/>
      <c r="I339" s="323"/>
      <c r="J339" s="323"/>
      <c r="K339" s="323"/>
      <c r="L339" s="323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  <c r="AA339" s="323"/>
      <c r="AB339" s="323"/>
      <c r="AC339" s="323"/>
      <c r="AD339" s="323"/>
      <c r="AE339" s="323"/>
      <c r="AF339" s="323"/>
      <c r="AG339" s="323"/>
      <c r="AH339" s="323"/>
      <c r="AI339" s="323"/>
      <c r="AJ339" s="323"/>
      <c r="AK339" s="323"/>
      <c r="AL339" s="323"/>
      <c r="AM339" s="326">
        <f t="shared" si="13"/>
        <v>190</v>
      </c>
      <c r="AN339" s="327">
        <f t="shared" si="14"/>
        <v>0.26577504000000002</v>
      </c>
      <c r="AO339" s="323"/>
      <c r="AP339" s="323"/>
      <c r="AQ339" s="328"/>
    </row>
    <row r="340" spans="1:43">
      <c r="A340" s="351" t="s">
        <v>208</v>
      </c>
      <c r="B340" s="323">
        <v>16</v>
      </c>
      <c r="C340" s="323">
        <v>161.9</v>
      </c>
      <c r="D340" s="323">
        <v>700</v>
      </c>
      <c r="E340" s="323">
        <v>80</v>
      </c>
      <c r="F340" s="323"/>
      <c r="G340" s="354">
        <v>45787</v>
      </c>
      <c r="H340" s="323"/>
      <c r="I340" s="323"/>
      <c r="J340" s="323"/>
      <c r="K340" s="323"/>
      <c r="L340" s="323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  <c r="AA340" s="323"/>
      <c r="AB340" s="323"/>
      <c r="AC340" s="323"/>
      <c r="AD340" s="323"/>
      <c r="AE340" s="323"/>
      <c r="AF340" s="323"/>
      <c r="AG340" s="323"/>
      <c r="AH340" s="323"/>
      <c r="AI340" s="323"/>
      <c r="AJ340" s="323"/>
      <c r="AK340" s="323"/>
      <c r="AL340" s="323"/>
      <c r="AM340" s="326">
        <f t="shared" si="13"/>
        <v>80</v>
      </c>
      <c r="AN340" s="327">
        <f t="shared" si="14"/>
        <v>0.14506240000000001</v>
      </c>
      <c r="AO340" s="323"/>
      <c r="AP340" s="323"/>
      <c r="AQ340" s="328"/>
    </row>
    <row r="341" spans="1:43">
      <c r="A341" s="351" t="s">
        <v>208</v>
      </c>
      <c r="B341" s="323">
        <v>16</v>
      </c>
      <c r="C341" s="323">
        <v>161.9</v>
      </c>
      <c r="D341" s="323">
        <v>480</v>
      </c>
      <c r="E341" s="323">
        <v>130</v>
      </c>
      <c r="F341" s="323"/>
      <c r="G341" s="354">
        <v>45787</v>
      </c>
      <c r="H341" s="323"/>
      <c r="I341" s="323"/>
      <c r="J341" s="323"/>
      <c r="K341" s="323"/>
      <c r="L341" s="323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  <c r="AA341" s="323"/>
      <c r="AB341" s="323"/>
      <c r="AC341" s="323"/>
      <c r="AD341" s="323"/>
      <c r="AE341" s="323"/>
      <c r="AF341" s="323"/>
      <c r="AG341" s="323"/>
      <c r="AH341" s="323"/>
      <c r="AI341" s="323"/>
      <c r="AJ341" s="323"/>
      <c r="AK341" s="323"/>
      <c r="AL341" s="323"/>
      <c r="AM341" s="326">
        <f t="shared" si="13"/>
        <v>130</v>
      </c>
      <c r="AN341" s="327">
        <f t="shared" si="14"/>
        <v>0.16164096</v>
      </c>
      <c r="AO341" s="323"/>
      <c r="AP341" s="323"/>
      <c r="AQ341" s="328"/>
    </row>
    <row r="342" spans="1:43">
      <c r="A342" s="351" t="s">
        <v>208</v>
      </c>
      <c r="B342" s="323">
        <v>15.9</v>
      </c>
      <c r="C342" s="323">
        <v>161.9</v>
      </c>
      <c r="D342" s="323">
        <v>316</v>
      </c>
      <c r="E342" s="323">
        <v>85</v>
      </c>
      <c r="F342" s="323"/>
      <c r="G342" s="354">
        <v>45787</v>
      </c>
      <c r="H342" s="323"/>
      <c r="I342" s="323"/>
      <c r="J342" s="323"/>
      <c r="K342" s="323"/>
      <c r="L342" s="323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  <c r="AA342" s="323"/>
      <c r="AB342" s="323"/>
      <c r="AC342" s="323"/>
      <c r="AD342" s="323"/>
      <c r="AE342" s="323"/>
      <c r="AF342" s="323"/>
      <c r="AG342" s="323"/>
      <c r="AH342" s="323"/>
      <c r="AI342" s="323"/>
      <c r="AJ342" s="323"/>
      <c r="AK342" s="323"/>
      <c r="AL342" s="323"/>
      <c r="AM342" s="326">
        <f t="shared" si="13"/>
        <v>85</v>
      </c>
      <c r="AN342" s="327">
        <f t="shared" si="14"/>
        <v>6.9143280599999996E-2</v>
      </c>
      <c r="AO342" s="323"/>
      <c r="AP342" s="323"/>
      <c r="AQ342" s="328"/>
    </row>
    <row r="343" spans="1:43">
      <c r="A343" s="351" t="s">
        <v>208</v>
      </c>
      <c r="B343" s="323">
        <v>15.9</v>
      </c>
      <c r="C343" s="323">
        <v>161.9</v>
      </c>
      <c r="D343" s="323">
        <v>850</v>
      </c>
      <c r="E343" s="323">
        <v>180</v>
      </c>
      <c r="F343" s="323"/>
      <c r="G343" s="354">
        <v>45787</v>
      </c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6">
        <f t="shared" si="13"/>
        <v>180</v>
      </c>
      <c r="AN343" s="327">
        <f t="shared" si="14"/>
        <v>0.39385413000000002</v>
      </c>
      <c r="AO343" s="323"/>
      <c r="AP343" s="323"/>
      <c r="AQ343" s="328"/>
    </row>
    <row r="344" spans="1:43">
      <c r="A344" s="351" t="s">
        <v>208</v>
      </c>
      <c r="B344" s="323">
        <v>16.5</v>
      </c>
      <c r="C344" s="323">
        <v>256</v>
      </c>
      <c r="D344" s="323">
        <v>830</v>
      </c>
      <c r="E344" s="323">
        <v>144</v>
      </c>
      <c r="F344" s="323"/>
      <c r="G344" s="354">
        <v>45787</v>
      </c>
      <c r="H344" s="323"/>
      <c r="I344" s="323"/>
      <c r="J344" s="323"/>
      <c r="K344" s="323"/>
      <c r="L344" s="323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  <c r="AA344" s="323"/>
      <c r="AB344" s="323"/>
      <c r="AC344" s="323"/>
      <c r="AD344" s="323"/>
      <c r="AE344" s="323"/>
      <c r="AF344" s="323"/>
      <c r="AG344" s="323"/>
      <c r="AH344" s="323"/>
      <c r="AI344" s="323"/>
      <c r="AJ344" s="323"/>
      <c r="AK344" s="323"/>
      <c r="AL344" s="323"/>
      <c r="AM344" s="326">
        <f t="shared" si="13"/>
        <v>144</v>
      </c>
      <c r="AN344" s="327">
        <f t="shared" si="14"/>
        <v>0.50485248000000005</v>
      </c>
      <c r="AO344" s="323"/>
      <c r="AP344" s="323"/>
      <c r="AQ344" s="328"/>
    </row>
    <row r="345" spans="1:43">
      <c r="A345" s="351" t="s">
        <v>208</v>
      </c>
      <c r="B345" s="323">
        <v>18</v>
      </c>
      <c r="C345" s="323">
        <v>255</v>
      </c>
      <c r="D345" s="323">
        <v>560</v>
      </c>
      <c r="E345" s="323">
        <v>95</v>
      </c>
      <c r="F345" s="323"/>
      <c r="G345" s="354">
        <v>45787</v>
      </c>
      <c r="H345" s="323"/>
      <c r="I345" s="323"/>
      <c r="J345" s="323"/>
      <c r="K345" s="323"/>
      <c r="L345" s="323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  <c r="AA345" s="323"/>
      <c r="AB345" s="323"/>
      <c r="AC345" s="323"/>
      <c r="AD345" s="323"/>
      <c r="AE345" s="323"/>
      <c r="AF345" s="323"/>
      <c r="AG345" s="323"/>
      <c r="AH345" s="323"/>
      <c r="AI345" s="323"/>
      <c r="AJ345" s="323"/>
      <c r="AK345" s="323"/>
      <c r="AL345" s="323"/>
      <c r="AM345" s="326">
        <f t="shared" si="13"/>
        <v>95</v>
      </c>
      <c r="AN345" s="327">
        <f t="shared" si="14"/>
        <v>0.24418799999999999</v>
      </c>
      <c r="AO345" s="323"/>
      <c r="AP345" s="323"/>
      <c r="AQ345" s="328"/>
    </row>
    <row r="346" spans="1:43">
      <c r="A346" s="351" t="s">
        <v>208</v>
      </c>
      <c r="B346" s="323">
        <v>18</v>
      </c>
      <c r="C346" s="323">
        <v>95</v>
      </c>
      <c r="D346" s="323">
        <v>556</v>
      </c>
      <c r="E346" s="323">
        <v>90</v>
      </c>
      <c r="F346" s="323"/>
      <c r="G346" s="354">
        <v>45787</v>
      </c>
      <c r="H346" s="323"/>
      <c r="I346" s="323"/>
      <c r="J346" s="323"/>
      <c r="K346" s="323"/>
      <c r="L346" s="323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  <c r="AA346" s="323"/>
      <c r="AB346" s="323"/>
      <c r="AC346" s="323"/>
      <c r="AD346" s="323"/>
      <c r="AE346" s="323"/>
      <c r="AF346" s="323"/>
      <c r="AG346" s="323"/>
      <c r="AH346" s="323"/>
      <c r="AI346" s="323"/>
      <c r="AJ346" s="323"/>
      <c r="AK346" s="323"/>
      <c r="AL346" s="323"/>
      <c r="AM346" s="326">
        <f t="shared" si="13"/>
        <v>90</v>
      </c>
      <c r="AN346" s="327">
        <f t="shared" si="14"/>
        <v>8.5568400000000003E-2</v>
      </c>
      <c r="AO346" s="323"/>
      <c r="AP346" s="323"/>
      <c r="AQ346" s="328"/>
    </row>
    <row r="347" spans="1:43">
      <c r="A347" s="351" t="s">
        <v>208</v>
      </c>
      <c r="B347" s="323">
        <v>15.9</v>
      </c>
      <c r="C347" s="323">
        <v>90</v>
      </c>
      <c r="D347" s="323">
        <v>405</v>
      </c>
      <c r="E347" s="323">
        <v>160</v>
      </c>
      <c r="F347" s="323"/>
      <c r="G347" s="354">
        <v>45787</v>
      </c>
      <c r="H347" s="323"/>
      <c r="I347" s="323"/>
      <c r="J347" s="323"/>
      <c r="K347" s="323"/>
      <c r="L347" s="323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  <c r="AA347" s="323"/>
      <c r="AB347" s="323"/>
      <c r="AC347" s="323"/>
      <c r="AD347" s="323"/>
      <c r="AE347" s="323"/>
      <c r="AF347" s="323"/>
      <c r="AG347" s="323"/>
      <c r="AH347" s="323"/>
      <c r="AI347" s="323"/>
      <c r="AJ347" s="323"/>
      <c r="AK347" s="323"/>
      <c r="AL347" s="323"/>
      <c r="AM347" s="326">
        <f t="shared" si="13"/>
        <v>160</v>
      </c>
      <c r="AN347" s="327">
        <f t="shared" si="14"/>
        <v>9.27288E-2</v>
      </c>
      <c r="AO347" s="323"/>
      <c r="AP347" s="323"/>
      <c r="AQ347" s="328"/>
    </row>
    <row r="348" spans="1:43">
      <c r="A348" s="351" t="s">
        <v>208</v>
      </c>
      <c r="B348" s="323">
        <v>15.9</v>
      </c>
      <c r="C348" s="323">
        <v>85.7</v>
      </c>
      <c r="D348" s="323">
        <v>540</v>
      </c>
      <c r="E348" s="323">
        <v>190</v>
      </c>
      <c r="F348" s="323"/>
      <c r="G348" s="354">
        <v>45787</v>
      </c>
      <c r="H348" s="323"/>
      <c r="I348" s="323"/>
      <c r="J348" s="323"/>
      <c r="K348" s="323"/>
      <c r="L348" s="323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  <c r="AA348" s="323"/>
      <c r="AB348" s="323"/>
      <c r="AC348" s="323"/>
      <c r="AD348" s="323"/>
      <c r="AE348" s="323"/>
      <c r="AF348" s="323"/>
      <c r="AG348" s="323"/>
      <c r="AH348" s="323"/>
      <c r="AI348" s="323"/>
      <c r="AJ348" s="323"/>
      <c r="AK348" s="323"/>
      <c r="AL348" s="323"/>
      <c r="AM348" s="326">
        <f t="shared" si="13"/>
        <v>190</v>
      </c>
      <c r="AN348" s="327">
        <f t="shared" si="14"/>
        <v>0.13980583799999999</v>
      </c>
      <c r="AO348" s="323"/>
      <c r="AP348" s="323"/>
      <c r="AQ348" s="328"/>
    </row>
    <row r="349" spans="1:43">
      <c r="A349" s="351" t="s">
        <v>208</v>
      </c>
      <c r="B349" s="323">
        <v>15.9</v>
      </c>
      <c r="C349" s="323">
        <v>85.7</v>
      </c>
      <c r="D349" s="323">
        <v>445</v>
      </c>
      <c r="E349" s="323">
        <v>140</v>
      </c>
      <c r="F349" s="323"/>
      <c r="G349" s="354">
        <v>45787</v>
      </c>
      <c r="H349" s="323"/>
      <c r="I349" s="323"/>
      <c r="J349" s="323"/>
      <c r="K349" s="323"/>
      <c r="L349" s="323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  <c r="AA349" s="323"/>
      <c r="AB349" s="323"/>
      <c r="AC349" s="323"/>
      <c r="AD349" s="323"/>
      <c r="AE349" s="323"/>
      <c r="AF349" s="323"/>
      <c r="AG349" s="323"/>
      <c r="AH349" s="323"/>
      <c r="AI349" s="323"/>
      <c r="AJ349" s="323"/>
      <c r="AK349" s="323"/>
      <c r="AL349" s="323"/>
      <c r="AM349" s="326">
        <f t="shared" si="13"/>
        <v>140</v>
      </c>
      <c r="AN349" s="327">
        <f t="shared" si="14"/>
        <v>8.4891849000000019E-2</v>
      </c>
      <c r="AO349" s="323"/>
      <c r="AP349" s="323"/>
      <c r="AQ349" s="328"/>
    </row>
    <row r="350" spans="1:43">
      <c r="A350" s="351" t="s">
        <v>208</v>
      </c>
      <c r="B350" s="323">
        <v>16.399999999999999</v>
      </c>
      <c r="C350" s="323">
        <v>90.9</v>
      </c>
      <c r="D350" s="323">
        <v>443.4</v>
      </c>
      <c r="E350" s="323">
        <v>949</v>
      </c>
      <c r="F350" s="323"/>
      <c r="G350" s="354">
        <v>45787</v>
      </c>
      <c r="H350" s="323"/>
      <c r="I350" s="323"/>
      <c r="J350" s="323"/>
      <c r="K350" s="323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  <c r="AA350" s="323"/>
      <c r="AB350" s="323"/>
      <c r="AC350" s="323"/>
      <c r="AD350" s="323"/>
      <c r="AE350" s="323"/>
      <c r="AF350" s="323"/>
      <c r="AG350" s="323"/>
      <c r="AH350" s="323"/>
      <c r="AI350" s="323"/>
      <c r="AJ350" s="323"/>
      <c r="AK350" s="323"/>
      <c r="AL350" s="323"/>
      <c r="AM350" s="326">
        <f t="shared" si="13"/>
        <v>949</v>
      </c>
      <c r="AN350" s="327">
        <f t="shared" si="14"/>
        <v>0.62729183181600001</v>
      </c>
      <c r="AO350" s="323"/>
      <c r="AP350" s="323"/>
      <c r="AQ350" s="328"/>
    </row>
    <row r="351" spans="1:43">
      <c r="A351" s="351" t="s">
        <v>208</v>
      </c>
      <c r="B351" s="323">
        <v>15</v>
      </c>
      <c r="C351" s="323">
        <v>180</v>
      </c>
      <c r="D351" s="323">
        <v>523.5</v>
      </c>
      <c r="E351" s="323">
        <v>609</v>
      </c>
      <c r="F351" s="323"/>
      <c r="G351" s="354">
        <v>45787</v>
      </c>
      <c r="H351" s="323"/>
      <c r="I351" s="323"/>
      <c r="J351" s="323"/>
      <c r="K351" s="323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  <c r="AA351" s="323"/>
      <c r="AB351" s="323"/>
      <c r="AC351" s="323"/>
      <c r="AD351" s="323"/>
      <c r="AE351" s="323"/>
      <c r="AF351" s="323"/>
      <c r="AG351" s="323"/>
      <c r="AH351" s="323"/>
      <c r="AI351" s="323"/>
      <c r="AJ351" s="323"/>
      <c r="AK351" s="323">
        <v>317</v>
      </c>
      <c r="AL351" s="323"/>
      <c r="AM351" s="326">
        <f t="shared" si="13"/>
        <v>292</v>
      </c>
      <c r="AN351" s="327">
        <f t="shared" si="14"/>
        <v>0.41272740000000002</v>
      </c>
      <c r="AO351" s="323"/>
      <c r="AP351" s="323"/>
      <c r="AQ351" s="328"/>
    </row>
    <row r="352" spans="1:43">
      <c r="A352" s="351" t="s">
        <v>208</v>
      </c>
      <c r="B352" s="323">
        <v>15.9</v>
      </c>
      <c r="C352" s="323">
        <v>90</v>
      </c>
      <c r="D352" s="323">
        <v>295</v>
      </c>
      <c r="E352" s="323">
        <v>1330</v>
      </c>
      <c r="F352" s="323"/>
      <c r="G352" s="354">
        <v>45787</v>
      </c>
      <c r="H352" s="323"/>
      <c r="I352" s="323"/>
      <c r="J352" s="323"/>
      <c r="K352" s="323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  <c r="AA352" s="323"/>
      <c r="AB352" s="323"/>
      <c r="AC352" s="323"/>
      <c r="AD352" s="323"/>
      <c r="AE352" s="323"/>
      <c r="AF352" s="323"/>
      <c r="AG352" s="323"/>
      <c r="AH352" s="323"/>
      <c r="AI352" s="323"/>
      <c r="AJ352" s="323"/>
      <c r="AK352" s="323"/>
      <c r="AL352" s="323"/>
      <c r="AM352" s="326">
        <f t="shared" si="13"/>
        <v>1330</v>
      </c>
      <c r="AN352" s="327">
        <f t="shared" si="14"/>
        <v>0.56145285</v>
      </c>
      <c r="AO352" s="323"/>
      <c r="AP352" s="323"/>
      <c r="AQ352" s="328"/>
    </row>
    <row r="353" spans="1:43">
      <c r="A353" s="351" t="s">
        <v>208</v>
      </c>
      <c r="B353" s="323">
        <v>15.9</v>
      </c>
      <c r="C353" s="323">
        <v>90</v>
      </c>
      <c r="D353" s="323">
        <v>320</v>
      </c>
      <c r="E353" s="323">
        <v>564</v>
      </c>
      <c r="F353" s="323"/>
      <c r="G353" s="354">
        <v>45787</v>
      </c>
      <c r="H353" s="323"/>
      <c r="I353" s="323"/>
      <c r="J353" s="323"/>
      <c r="K353" s="323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  <c r="AA353" s="323"/>
      <c r="AB353" s="323"/>
      <c r="AC353" s="323"/>
      <c r="AD353" s="323"/>
      <c r="AE353" s="323"/>
      <c r="AF353" s="323"/>
      <c r="AG353" s="323"/>
      <c r="AH353" s="323"/>
      <c r="AI353" s="323"/>
      <c r="AJ353" s="323"/>
      <c r="AK353" s="323"/>
      <c r="AL353" s="323"/>
      <c r="AM353" s="326">
        <f t="shared" si="13"/>
        <v>564</v>
      </c>
      <c r="AN353" s="327">
        <f t="shared" si="14"/>
        <v>0.25826687999999998</v>
      </c>
      <c r="AO353" s="323"/>
      <c r="AP353" s="323"/>
      <c r="AQ353" s="328"/>
    </row>
    <row r="354" spans="1:43">
      <c r="A354" s="351" t="s">
        <v>208</v>
      </c>
      <c r="B354" s="323">
        <v>15.9</v>
      </c>
      <c r="C354" s="323">
        <v>90</v>
      </c>
      <c r="D354" s="323">
        <v>454</v>
      </c>
      <c r="E354" s="323">
        <v>208</v>
      </c>
      <c r="F354" s="323"/>
      <c r="G354" s="354">
        <v>45787</v>
      </c>
      <c r="H354" s="323"/>
      <c r="I354" s="323"/>
      <c r="J354" s="323"/>
      <c r="K354" s="323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  <c r="AA354" s="323"/>
      <c r="AB354" s="323"/>
      <c r="AC354" s="323"/>
      <c r="AD354" s="323"/>
      <c r="AE354" s="323"/>
      <c r="AF354" s="323"/>
      <c r="AG354" s="323"/>
      <c r="AH354" s="323"/>
      <c r="AI354" s="323"/>
      <c r="AJ354" s="323"/>
      <c r="AK354" s="323"/>
      <c r="AL354" s="323"/>
      <c r="AM354" s="326">
        <f t="shared" si="13"/>
        <v>208</v>
      </c>
      <c r="AN354" s="327">
        <f t="shared" si="14"/>
        <v>0.13513219200000001</v>
      </c>
      <c r="AO354" s="323"/>
      <c r="AP354" s="323"/>
      <c r="AQ354" s="328"/>
    </row>
    <row r="355" spans="1:43">
      <c r="A355" s="351" t="s">
        <v>208</v>
      </c>
      <c r="B355" s="323">
        <v>15.9</v>
      </c>
      <c r="C355" s="323">
        <v>85.7</v>
      </c>
      <c r="D355" s="323">
        <v>533.4</v>
      </c>
      <c r="E355" s="323">
        <v>1151</v>
      </c>
      <c r="F355" s="323"/>
      <c r="G355" s="354">
        <v>45787</v>
      </c>
      <c r="H355" s="323"/>
      <c r="I355" s="323"/>
      <c r="J355" s="323"/>
      <c r="K355" s="323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  <c r="AA355" s="323"/>
      <c r="AB355" s="323"/>
      <c r="AC355" s="323"/>
      <c r="AD355" s="323"/>
      <c r="AE355" s="323"/>
      <c r="AF355" s="323"/>
      <c r="AG355" s="323"/>
      <c r="AH355" s="323"/>
      <c r="AI355" s="323"/>
      <c r="AJ355" s="323"/>
      <c r="AK355" s="323"/>
      <c r="AL355" s="323"/>
      <c r="AM355" s="326">
        <f t="shared" si="13"/>
        <v>1151</v>
      </c>
      <c r="AN355" s="327">
        <f t="shared" si="14"/>
        <v>0.83657769514200009</v>
      </c>
      <c r="AO355" s="323"/>
      <c r="AP355" s="323"/>
      <c r="AQ355" s="328"/>
    </row>
    <row r="356" spans="1:43">
      <c r="A356" s="351" t="s">
        <v>208</v>
      </c>
      <c r="B356" s="323">
        <v>15.9</v>
      </c>
      <c r="C356" s="323">
        <v>85.7</v>
      </c>
      <c r="D356" s="323">
        <v>219.1</v>
      </c>
      <c r="E356" s="323">
        <v>474</v>
      </c>
      <c r="F356" s="323"/>
      <c r="G356" s="354">
        <v>45787</v>
      </c>
      <c r="H356" s="323"/>
      <c r="I356" s="323"/>
      <c r="J356" s="323"/>
      <c r="K356" s="323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  <c r="AA356" s="323"/>
      <c r="AB356" s="323"/>
      <c r="AC356" s="323"/>
      <c r="AD356" s="323"/>
      <c r="AE356" s="323"/>
      <c r="AF356" s="323"/>
      <c r="AG356" s="323"/>
      <c r="AH356" s="323"/>
      <c r="AI356" s="323"/>
      <c r="AJ356" s="323"/>
      <c r="AK356" s="323"/>
      <c r="AL356" s="323"/>
      <c r="AM356" s="326">
        <f t="shared" si="13"/>
        <v>474</v>
      </c>
      <c r="AN356" s="327">
        <f t="shared" si="14"/>
        <v>0.14151375844200001</v>
      </c>
      <c r="AO356" s="323"/>
      <c r="AP356" s="323"/>
      <c r="AQ356" s="328"/>
    </row>
    <row r="357" spans="1:43">
      <c r="A357" s="351" t="s">
        <v>208</v>
      </c>
      <c r="B357" s="323">
        <v>15.9</v>
      </c>
      <c r="C357" s="323">
        <v>85.7</v>
      </c>
      <c r="D357" s="323">
        <v>219.1</v>
      </c>
      <c r="E357" s="323">
        <v>380</v>
      </c>
      <c r="F357" s="323"/>
      <c r="G357" s="354">
        <v>45787</v>
      </c>
      <c r="H357" s="323"/>
      <c r="I357" s="323"/>
      <c r="J357" s="323"/>
      <c r="K357" s="323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  <c r="AA357" s="323"/>
      <c r="AB357" s="323"/>
      <c r="AC357" s="323"/>
      <c r="AD357" s="323"/>
      <c r="AE357" s="323"/>
      <c r="AF357" s="323"/>
      <c r="AG357" s="323"/>
      <c r="AH357" s="323"/>
      <c r="AI357" s="323"/>
      <c r="AJ357" s="323"/>
      <c r="AK357" s="323"/>
      <c r="AL357" s="323"/>
      <c r="AM357" s="326">
        <f t="shared" si="13"/>
        <v>380</v>
      </c>
      <c r="AN357" s="327">
        <f t="shared" si="14"/>
        <v>0.11344984854000001</v>
      </c>
      <c r="AO357" s="323"/>
      <c r="AP357" s="323"/>
      <c r="AQ357" s="328"/>
    </row>
    <row r="358" spans="1:43">
      <c r="A358" s="351" t="s">
        <v>208</v>
      </c>
      <c r="B358" s="323">
        <v>15.9</v>
      </c>
      <c r="C358" s="323">
        <v>85.7</v>
      </c>
      <c r="D358" s="323">
        <v>210</v>
      </c>
      <c r="E358" s="323">
        <v>2080</v>
      </c>
      <c r="F358" s="323"/>
      <c r="G358" s="354">
        <v>45787</v>
      </c>
      <c r="H358" s="323"/>
      <c r="I358" s="323"/>
      <c r="J358" s="323"/>
      <c r="K358" s="323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  <c r="AA358" s="323"/>
      <c r="AB358" s="323"/>
      <c r="AC358" s="323"/>
      <c r="AD358" s="323"/>
      <c r="AE358" s="323"/>
      <c r="AF358" s="323"/>
      <c r="AG358" s="323"/>
      <c r="AH358" s="323"/>
      <c r="AI358" s="323"/>
      <c r="AJ358" s="323"/>
      <c r="AK358" s="323"/>
      <c r="AL358" s="323"/>
      <c r="AM358" s="326">
        <f t="shared" si="13"/>
        <v>2080</v>
      </c>
      <c r="AN358" s="327">
        <f t="shared" si="14"/>
        <v>0.59519678400000009</v>
      </c>
      <c r="AO358" s="323"/>
      <c r="AP358" s="323"/>
      <c r="AQ358" s="328"/>
    </row>
    <row r="359" spans="1:43">
      <c r="A359" s="351" t="s">
        <v>209</v>
      </c>
      <c r="B359" s="323">
        <v>20</v>
      </c>
      <c r="C359" s="323">
        <v>60</v>
      </c>
      <c r="D359" s="323">
        <v>530</v>
      </c>
      <c r="E359" s="323">
        <v>504</v>
      </c>
      <c r="F359" s="323"/>
      <c r="G359" s="354">
        <v>45785</v>
      </c>
      <c r="H359" s="323"/>
      <c r="I359" s="323"/>
      <c r="J359" s="323"/>
      <c r="K359" s="323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  <c r="AA359" s="323"/>
      <c r="AB359" s="323"/>
      <c r="AC359" s="323"/>
      <c r="AD359" s="323"/>
      <c r="AE359" s="323"/>
      <c r="AF359" s="323"/>
      <c r="AG359" s="323"/>
      <c r="AH359" s="323"/>
      <c r="AI359" s="323"/>
      <c r="AJ359" s="323"/>
      <c r="AK359" s="323"/>
      <c r="AL359" s="323"/>
      <c r="AM359" s="326">
        <f t="shared" si="13"/>
        <v>504</v>
      </c>
      <c r="AN359" s="327">
        <f t="shared" si="14"/>
        <v>0.320544</v>
      </c>
      <c r="AO359" s="323"/>
      <c r="AP359" s="323"/>
      <c r="AQ359" s="328"/>
    </row>
    <row r="360" spans="1:43">
      <c r="A360" s="351" t="s">
        <v>209</v>
      </c>
      <c r="B360" s="323">
        <v>15.9</v>
      </c>
      <c r="C360" s="323">
        <v>161.9</v>
      </c>
      <c r="D360" s="323">
        <v>444.5</v>
      </c>
      <c r="E360" s="323">
        <v>270</v>
      </c>
      <c r="F360" s="323"/>
      <c r="G360" s="354">
        <v>45785</v>
      </c>
      <c r="H360" s="323"/>
      <c r="I360" s="323"/>
      <c r="J360" s="323"/>
      <c r="K360" s="323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  <c r="AA360" s="323"/>
      <c r="AB360" s="323"/>
      <c r="AC360" s="323"/>
      <c r="AD360" s="323"/>
      <c r="AE360" s="323"/>
      <c r="AF360" s="323"/>
      <c r="AG360" s="323"/>
      <c r="AH360" s="323"/>
      <c r="AI360" s="323"/>
      <c r="AJ360" s="323"/>
      <c r="AK360" s="323"/>
      <c r="AL360" s="323"/>
      <c r="AM360" s="326">
        <f t="shared" si="13"/>
        <v>270</v>
      </c>
      <c r="AN360" s="327">
        <f t="shared" si="14"/>
        <v>0.30894381314999997</v>
      </c>
      <c r="AO360" s="323"/>
      <c r="AP360" s="323"/>
      <c r="AQ360" s="328"/>
    </row>
    <row r="361" spans="1:43">
      <c r="A361" s="351" t="s">
        <v>209</v>
      </c>
      <c r="B361" s="323">
        <v>15.9</v>
      </c>
      <c r="C361" s="323">
        <v>162</v>
      </c>
      <c r="D361" s="323">
        <v>520.70000000000005</v>
      </c>
      <c r="E361" s="323">
        <v>888</v>
      </c>
      <c r="F361" s="323"/>
      <c r="G361" s="354">
        <v>45785</v>
      </c>
      <c r="H361" s="323"/>
      <c r="I361" s="323"/>
      <c r="J361" s="323"/>
      <c r="K361" s="323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  <c r="AA361" s="323"/>
      <c r="AB361" s="323"/>
      <c r="AC361" s="323"/>
      <c r="AD361" s="323"/>
      <c r="AE361" s="323"/>
      <c r="AF361" s="323"/>
      <c r="AG361" s="323"/>
      <c r="AH361" s="323"/>
      <c r="AI361" s="323"/>
      <c r="AJ361" s="323"/>
      <c r="AK361" s="323"/>
      <c r="AL361" s="323"/>
      <c r="AM361" s="326">
        <f t="shared" si="13"/>
        <v>888</v>
      </c>
      <c r="AN361" s="327">
        <f t="shared" si="14"/>
        <v>1.1910025252800003</v>
      </c>
      <c r="AO361" s="323"/>
      <c r="AP361" s="323"/>
      <c r="AQ361" s="328"/>
    </row>
    <row r="362" spans="1:43">
      <c r="A362" s="351" t="s">
        <v>209</v>
      </c>
      <c r="B362" s="323">
        <v>15.9</v>
      </c>
      <c r="C362" s="323">
        <v>161.9</v>
      </c>
      <c r="D362" s="323">
        <v>520.70000000000005</v>
      </c>
      <c r="E362" s="323">
        <v>320</v>
      </c>
      <c r="F362" s="323"/>
      <c r="G362" s="354">
        <v>45785</v>
      </c>
      <c r="H362" s="323"/>
      <c r="I362" s="323"/>
      <c r="J362" s="323"/>
      <c r="K362" s="323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  <c r="AA362" s="323"/>
      <c r="AB362" s="323"/>
      <c r="AC362" s="323"/>
      <c r="AD362" s="323"/>
      <c r="AE362" s="323"/>
      <c r="AF362" s="323"/>
      <c r="AG362" s="323"/>
      <c r="AH362" s="323"/>
      <c r="AI362" s="323"/>
      <c r="AJ362" s="323"/>
      <c r="AK362" s="323"/>
      <c r="AL362" s="323"/>
      <c r="AM362" s="326">
        <f t="shared" si="13"/>
        <v>320</v>
      </c>
      <c r="AN362" s="327">
        <f t="shared" si="14"/>
        <v>0.42892516704</v>
      </c>
      <c r="AO362" s="323"/>
      <c r="AP362" s="323"/>
      <c r="AQ362" s="328"/>
    </row>
    <row r="363" spans="1:43">
      <c r="A363" s="351" t="s">
        <v>209</v>
      </c>
      <c r="B363" s="323">
        <v>15.9</v>
      </c>
      <c r="C363" s="323">
        <v>161.9</v>
      </c>
      <c r="D363" s="323">
        <v>520.70000000000005</v>
      </c>
      <c r="E363" s="323">
        <v>320</v>
      </c>
      <c r="F363" s="323"/>
      <c r="G363" s="354">
        <v>45785</v>
      </c>
      <c r="H363" s="323"/>
      <c r="I363" s="323"/>
      <c r="J363" s="323"/>
      <c r="K363" s="323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  <c r="AA363" s="323"/>
      <c r="AB363" s="323"/>
      <c r="AC363" s="323"/>
      <c r="AD363" s="323"/>
      <c r="AE363" s="323"/>
      <c r="AF363" s="323"/>
      <c r="AG363" s="323"/>
      <c r="AH363" s="323"/>
      <c r="AI363" s="323"/>
      <c r="AJ363" s="323"/>
      <c r="AK363" s="323"/>
      <c r="AL363" s="323"/>
      <c r="AM363" s="326">
        <f t="shared" si="13"/>
        <v>320</v>
      </c>
      <c r="AN363" s="327">
        <f t="shared" si="14"/>
        <v>0.42892516704</v>
      </c>
      <c r="AO363" s="323"/>
      <c r="AP363" s="323"/>
      <c r="AQ363" s="328"/>
    </row>
    <row r="364" spans="1:43">
      <c r="A364" s="351" t="s">
        <v>209</v>
      </c>
      <c r="B364" s="323">
        <v>16</v>
      </c>
      <c r="C364" s="323">
        <v>68</v>
      </c>
      <c r="D364" s="323">
        <v>1223</v>
      </c>
      <c r="E364" s="323">
        <v>219</v>
      </c>
      <c r="F364" s="323"/>
      <c r="G364" s="354">
        <v>45785</v>
      </c>
      <c r="H364" s="323"/>
      <c r="I364" s="323"/>
      <c r="J364" s="323"/>
      <c r="K364" s="323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  <c r="AA364" s="323"/>
      <c r="AB364" s="323"/>
      <c r="AC364" s="323"/>
      <c r="AD364" s="323"/>
      <c r="AE364" s="323"/>
      <c r="AF364" s="323"/>
      <c r="AG364" s="323"/>
      <c r="AH364" s="323"/>
      <c r="AI364" s="323"/>
      <c r="AJ364" s="323"/>
      <c r="AK364" s="323"/>
      <c r="AL364" s="323"/>
      <c r="AM364" s="326">
        <f t="shared" si="13"/>
        <v>219</v>
      </c>
      <c r="AN364" s="327">
        <f t="shared" si="14"/>
        <v>0.29140665599999999</v>
      </c>
      <c r="AO364" s="323"/>
      <c r="AP364" s="323"/>
      <c r="AQ364" s="328"/>
    </row>
    <row r="365" spans="1:43">
      <c r="A365" s="351" t="s">
        <v>209</v>
      </c>
      <c r="B365" s="323">
        <v>17</v>
      </c>
      <c r="C365" s="323">
        <v>283</v>
      </c>
      <c r="D365" s="323">
        <v>1224</v>
      </c>
      <c r="E365" s="323">
        <v>86</v>
      </c>
      <c r="F365" s="323"/>
      <c r="G365" s="354">
        <v>45785</v>
      </c>
      <c r="H365" s="323"/>
      <c r="I365" s="323"/>
      <c r="J365" s="323"/>
      <c r="K365" s="323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  <c r="AA365" s="323"/>
      <c r="AB365" s="323"/>
      <c r="AC365" s="323"/>
      <c r="AD365" s="323"/>
      <c r="AE365" s="323"/>
      <c r="AF365" s="323"/>
      <c r="AG365" s="323"/>
      <c r="AH365" s="323"/>
      <c r="AI365" s="323"/>
      <c r="AJ365" s="323"/>
      <c r="AK365" s="323"/>
      <c r="AL365" s="323"/>
      <c r="AM365" s="326">
        <f t="shared" si="13"/>
        <v>86</v>
      </c>
      <c r="AN365" s="327">
        <f t="shared" si="14"/>
        <v>0.50642510399999996</v>
      </c>
      <c r="AO365" s="323"/>
      <c r="AP365" s="323"/>
      <c r="AQ365" s="328"/>
    </row>
    <row r="366" spans="1:43">
      <c r="A366" s="351" t="s">
        <v>209</v>
      </c>
      <c r="B366" s="323">
        <v>15.5</v>
      </c>
      <c r="C366" s="323">
        <v>105</v>
      </c>
      <c r="D366" s="323">
        <v>546</v>
      </c>
      <c r="E366" s="323">
        <v>52</v>
      </c>
      <c r="F366" s="323"/>
      <c r="G366" s="354">
        <v>45785</v>
      </c>
      <c r="H366" s="323"/>
      <c r="I366" s="323"/>
      <c r="J366" s="323"/>
      <c r="K366" s="323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  <c r="AA366" s="323"/>
      <c r="AB366" s="323"/>
      <c r="AC366" s="323"/>
      <c r="AD366" s="323"/>
      <c r="AE366" s="323"/>
      <c r="AF366" s="323"/>
      <c r="AG366" s="323"/>
      <c r="AH366" s="323"/>
      <c r="AI366" s="323"/>
      <c r="AJ366" s="323"/>
      <c r="AK366" s="323"/>
      <c r="AL366" s="323"/>
      <c r="AM366" s="326">
        <f t="shared" si="13"/>
        <v>52</v>
      </c>
      <c r="AN366" s="327">
        <f t="shared" si="14"/>
        <v>4.6207980000000003E-2</v>
      </c>
      <c r="AO366" s="323"/>
      <c r="AP366" s="323"/>
      <c r="AQ366" s="328"/>
    </row>
    <row r="367" spans="1:43">
      <c r="A367" s="351" t="s">
        <v>209</v>
      </c>
      <c r="B367" s="323">
        <v>15.5</v>
      </c>
      <c r="C367" s="323">
        <v>110</v>
      </c>
      <c r="D367" s="323">
        <v>400</v>
      </c>
      <c r="E367" s="323">
        <v>288</v>
      </c>
      <c r="F367" s="323"/>
      <c r="G367" s="354">
        <v>45785</v>
      </c>
      <c r="H367" s="323"/>
      <c r="I367" s="323"/>
      <c r="J367" s="323"/>
      <c r="K367" s="323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  <c r="AA367" s="323"/>
      <c r="AB367" s="323"/>
      <c r="AC367" s="323"/>
      <c r="AD367" s="323"/>
      <c r="AE367" s="323"/>
      <c r="AF367" s="323"/>
      <c r="AG367" s="323"/>
      <c r="AH367" s="323"/>
      <c r="AI367" s="323"/>
      <c r="AJ367" s="323"/>
      <c r="AK367" s="323"/>
      <c r="AL367" s="323"/>
      <c r="AM367" s="326">
        <f t="shared" si="13"/>
        <v>288</v>
      </c>
      <c r="AN367" s="327">
        <f t="shared" si="14"/>
        <v>0.19641600000000001</v>
      </c>
      <c r="AO367" s="323"/>
      <c r="AP367" s="323"/>
      <c r="AQ367" s="328"/>
    </row>
    <row r="368" spans="1:43">
      <c r="A368" s="351" t="s">
        <v>209</v>
      </c>
      <c r="B368" s="323">
        <v>15.5</v>
      </c>
      <c r="C368" s="323">
        <v>53</v>
      </c>
      <c r="D368" s="323">
        <v>930</v>
      </c>
      <c r="E368" s="323">
        <v>546</v>
      </c>
      <c r="F368" s="323"/>
      <c r="G368" s="354">
        <v>45785</v>
      </c>
      <c r="H368" s="323"/>
      <c r="I368" s="323"/>
      <c r="J368" s="323"/>
      <c r="K368" s="323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  <c r="AA368" s="323"/>
      <c r="AB368" s="323"/>
      <c r="AC368" s="323"/>
      <c r="AD368" s="323"/>
      <c r="AE368" s="323"/>
      <c r="AF368" s="323"/>
      <c r="AG368" s="323"/>
      <c r="AH368" s="323"/>
      <c r="AI368" s="323"/>
      <c r="AJ368" s="323"/>
      <c r="AK368" s="323"/>
      <c r="AL368" s="323"/>
      <c r="AM368" s="326">
        <f t="shared" si="13"/>
        <v>546</v>
      </c>
      <c r="AN368" s="327">
        <f t="shared" si="14"/>
        <v>0.41714127000000001</v>
      </c>
      <c r="AO368" s="323"/>
      <c r="AP368" s="323"/>
      <c r="AQ368" s="328"/>
    </row>
    <row r="369" spans="1:43">
      <c r="A369" s="351" t="s">
        <v>209</v>
      </c>
      <c r="B369" s="323">
        <v>15.9</v>
      </c>
      <c r="C369" s="323">
        <v>161.9</v>
      </c>
      <c r="D369" s="323">
        <v>752.5</v>
      </c>
      <c r="E369" s="323">
        <v>200</v>
      </c>
      <c r="F369" s="323"/>
      <c r="G369" s="354">
        <v>45785</v>
      </c>
      <c r="H369" s="323"/>
      <c r="I369" s="323"/>
      <c r="J369" s="323"/>
      <c r="K369" s="323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  <c r="AA369" s="323"/>
      <c r="AB369" s="323"/>
      <c r="AC369" s="323"/>
      <c r="AD369" s="323"/>
      <c r="AE369" s="323"/>
      <c r="AF369" s="323"/>
      <c r="AG369" s="323"/>
      <c r="AH369" s="323"/>
      <c r="AI369" s="323"/>
      <c r="AJ369" s="323"/>
      <c r="AK369" s="323"/>
      <c r="AL369" s="323"/>
      <c r="AM369" s="326">
        <f t="shared" si="13"/>
        <v>200</v>
      </c>
      <c r="AN369" s="327">
        <f t="shared" si="14"/>
        <v>0.38741860500000003</v>
      </c>
      <c r="AO369" s="323"/>
      <c r="AP369" s="323"/>
      <c r="AQ369" s="328"/>
    </row>
    <row r="370" spans="1:43">
      <c r="A370" s="351" t="s">
        <v>209</v>
      </c>
      <c r="B370" s="323">
        <v>15.9</v>
      </c>
      <c r="C370" s="323">
        <v>161.9</v>
      </c>
      <c r="D370" s="323">
        <v>371.5</v>
      </c>
      <c r="E370" s="323">
        <v>540</v>
      </c>
      <c r="F370" s="323"/>
      <c r="G370" s="354">
        <v>45785</v>
      </c>
      <c r="H370" s="323"/>
      <c r="I370" s="323"/>
      <c r="J370" s="323"/>
      <c r="K370" s="323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  <c r="AA370" s="323"/>
      <c r="AB370" s="323"/>
      <c r="AC370" s="323"/>
      <c r="AD370" s="323"/>
      <c r="AE370" s="323"/>
      <c r="AF370" s="323"/>
      <c r="AG370" s="323"/>
      <c r="AH370" s="323"/>
      <c r="AI370" s="323"/>
      <c r="AJ370" s="323"/>
      <c r="AK370" s="323"/>
      <c r="AL370" s="323"/>
      <c r="AM370" s="326">
        <f t="shared" si="13"/>
        <v>540</v>
      </c>
      <c r="AN370" s="327">
        <f t="shared" si="14"/>
        <v>0.51641226810000007</v>
      </c>
      <c r="AO370" s="323"/>
      <c r="AP370" s="323"/>
      <c r="AQ370" s="328"/>
    </row>
    <row r="371" spans="1:43">
      <c r="A371" s="351" t="s">
        <v>209</v>
      </c>
      <c r="B371" s="323">
        <v>15.9</v>
      </c>
      <c r="C371" s="323">
        <v>85.7</v>
      </c>
      <c r="D371" s="323">
        <v>447.7</v>
      </c>
      <c r="E371" s="323">
        <v>735</v>
      </c>
      <c r="F371" s="323"/>
      <c r="G371" s="354">
        <v>45785</v>
      </c>
      <c r="H371" s="323"/>
      <c r="I371" s="323"/>
      <c r="J371" s="323"/>
      <c r="K371" s="323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  <c r="AA371" s="323"/>
      <c r="AB371" s="323"/>
      <c r="AC371" s="323"/>
      <c r="AD371" s="323"/>
      <c r="AE371" s="323"/>
      <c r="AF371" s="323"/>
      <c r="AG371" s="323">
        <v>624</v>
      </c>
      <c r="AH371" s="323"/>
      <c r="AI371" s="323"/>
      <c r="AJ371" s="323"/>
      <c r="AK371" s="323"/>
      <c r="AL371" s="323"/>
      <c r="AM371" s="326">
        <f t="shared" si="13"/>
        <v>111</v>
      </c>
      <c r="AN371" s="327">
        <f t="shared" si="14"/>
        <v>6.7715489061E-2</v>
      </c>
      <c r="AO371" s="323"/>
      <c r="AP371" s="323"/>
      <c r="AQ371" s="328"/>
    </row>
    <row r="372" spans="1:43">
      <c r="A372" s="351" t="s">
        <v>209</v>
      </c>
      <c r="B372" s="323">
        <v>15.5</v>
      </c>
      <c r="C372" s="323">
        <v>281.89999999999998</v>
      </c>
      <c r="D372" s="323">
        <v>1229.2</v>
      </c>
      <c r="E372" s="323">
        <v>28</v>
      </c>
      <c r="F372" s="323"/>
      <c r="G372" s="354">
        <v>45785</v>
      </c>
      <c r="H372" s="323"/>
      <c r="I372" s="323"/>
      <c r="J372" s="323"/>
      <c r="K372" s="323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  <c r="AA372" s="323"/>
      <c r="AB372" s="323"/>
      <c r="AC372" s="323"/>
      <c r="AD372" s="323"/>
      <c r="AE372" s="323"/>
      <c r="AF372" s="323"/>
      <c r="AG372" s="323"/>
      <c r="AH372" s="323"/>
      <c r="AI372" s="323"/>
      <c r="AJ372" s="323"/>
      <c r="AK372" s="323"/>
      <c r="AL372" s="323"/>
      <c r="AM372" s="326">
        <f t="shared" si="13"/>
        <v>28</v>
      </c>
      <c r="AN372" s="327">
        <f t="shared" si="14"/>
        <v>0.15038598232000003</v>
      </c>
      <c r="AO372" s="323"/>
      <c r="AP372" s="323"/>
      <c r="AQ372" s="328"/>
    </row>
    <row r="373" spans="1:43">
      <c r="A373" s="351" t="s">
        <v>209</v>
      </c>
      <c r="B373" s="323">
        <v>15.5</v>
      </c>
      <c r="C373" s="323">
        <v>230.6</v>
      </c>
      <c r="D373" s="323">
        <v>1229.2</v>
      </c>
      <c r="E373" s="323">
        <v>6</v>
      </c>
      <c r="F373" s="323"/>
      <c r="G373" s="354">
        <v>45785</v>
      </c>
      <c r="H373" s="323"/>
      <c r="I373" s="323"/>
      <c r="J373" s="323"/>
      <c r="K373" s="323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  <c r="AA373" s="323"/>
      <c r="AB373" s="323"/>
      <c r="AC373" s="323"/>
      <c r="AD373" s="323"/>
      <c r="AE373" s="323"/>
      <c r="AF373" s="323"/>
      <c r="AG373" s="323"/>
      <c r="AH373" s="323"/>
      <c r="AI373" s="323"/>
      <c r="AJ373" s="323"/>
      <c r="AK373" s="323"/>
      <c r="AL373" s="323"/>
      <c r="AM373" s="326">
        <f t="shared" si="13"/>
        <v>6</v>
      </c>
      <c r="AN373" s="327">
        <f t="shared" si="14"/>
        <v>2.6361177359999998E-2</v>
      </c>
      <c r="AO373" s="323"/>
      <c r="AP373" s="323"/>
      <c r="AQ373" s="328"/>
    </row>
    <row r="374" spans="1:43">
      <c r="A374" s="351" t="s">
        <v>209</v>
      </c>
      <c r="B374" s="323">
        <v>17</v>
      </c>
      <c r="C374" s="323">
        <v>92</v>
      </c>
      <c r="D374" s="323">
        <v>380</v>
      </c>
      <c r="E374" s="323">
        <v>851</v>
      </c>
      <c r="F374" s="323"/>
      <c r="G374" s="354">
        <v>45785</v>
      </c>
      <c r="H374" s="323"/>
      <c r="I374" s="323"/>
      <c r="J374" s="323"/>
      <c r="K374" s="323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  <c r="AA374" s="323"/>
      <c r="AB374" s="323"/>
      <c r="AC374" s="323"/>
      <c r="AD374" s="323"/>
      <c r="AE374" s="323"/>
      <c r="AF374" s="323"/>
      <c r="AG374" s="323"/>
      <c r="AH374" s="323"/>
      <c r="AI374" s="323"/>
      <c r="AJ374" s="323"/>
      <c r="AK374" s="323"/>
      <c r="AL374" s="323"/>
      <c r="AM374" s="326">
        <f t="shared" ref="AM374:AM437" si="15">E374-H374-I374-J374-K374-L374-M374-N374-O374-P374-Q374-R374-S374-T374-U374-V374-W374-X374-Y374-Z374-AA374-AB374-AC374-AD374-AE374-AF374-AG374-AH374-AI374-AJ374-AK374-AL374</f>
        <v>851</v>
      </c>
      <c r="AN374" s="327">
        <f t="shared" si="14"/>
        <v>0.50576631999999999</v>
      </c>
      <c r="AO374" s="323"/>
      <c r="AP374" s="323"/>
      <c r="AQ374" s="328"/>
    </row>
    <row r="375" spans="1:43">
      <c r="A375" s="351" t="s">
        <v>209</v>
      </c>
      <c r="B375" s="323">
        <v>17</v>
      </c>
      <c r="C375" s="323">
        <v>181</v>
      </c>
      <c r="D375" s="323">
        <v>833</v>
      </c>
      <c r="E375" s="323">
        <v>79</v>
      </c>
      <c r="F375" s="323"/>
      <c r="G375" s="354">
        <v>45785</v>
      </c>
      <c r="H375" s="323"/>
      <c r="I375" s="323"/>
      <c r="J375" s="323"/>
      <c r="K375" s="323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  <c r="AA375" s="323"/>
      <c r="AB375" s="323"/>
      <c r="AC375" s="323"/>
      <c r="AD375" s="323"/>
      <c r="AE375" s="323"/>
      <c r="AF375" s="323"/>
      <c r="AG375" s="323"/>
      <c r="AH375" s="323"/>
      <c r="AI375" s="323"/>
      <c r="AJ375" s="323"/>
      <c r="AK375" s="323"/>
      <c r="AL375" s="323"/>
      <c r="AM375" s="326">
        <f t="shared" si="15"/>
        <v>79</v>
      </c>
      <c r="AN375" s="327">
        <f t="shared" si="14"/>
        <v>0.20248813900000001</v>
      </c>
      <c r="AO375" s="323"/>
      <c r="AP375" s="323"/>
      <c r="AQ375" s="328"/>
    </row>
    <row r="376" spans="1:43">
      <c r="A376" s="351" t="s">
        <v>209</v>
      </c>
      <c r="B376" s="323">
        <v>17</v>
      </c>
      <c r="C376" s="323">
        <v>90</v>
      </c>
      <c r="D376" s="323">
        <v>542</v>
      </c>
      <c r="E376" s="323">
        <v>206</v>
      </c>
      <c r="F376" s="323"/>
      <c r="G376" s="354">
        <v>45785</v>
      </c>
      <c r="H376" s="323"/>
      <c r="I376" s="323"/>
      <c r="J376" s="323"/>
      <c r="K376" s="323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  <c r="AA376" s="323"/>
      <c r="AB376" s="323"/>
      <c r="AC376" s="323"/>
      <c r="AD376" s="323"/>
      <c r="AE376" s="323"/>
      <c r="AF376" s="323"/>
      <c r="AG376" s="323"/>
      <c r="AH376" s="323"/>
      <c r="AI376" s="323"/>
      <c r="AJ376" s="323"/>
      <c r="AK376" s="323"/>
      <c r="AL376" s="323"/>
      <c r="AM376" s="326">
        <f t="shared" si="15"/>
        <v>206</v>
      </c>
      <c r="AN376" s="327">
        <f t="shared" si="14"/>
        <v>0.17082755999999999</v>
      </c>
      <c r="AO376" s="323"/>
      <c r="AP376" s="323"/>
      <c r="AQ376" s="328"/>
    </row>
    <row r="377" spans="1:43">
      <c r="A377" s="351" t="s">
        <v>209</v>
      </c>
      <c r="B377" s="323">
        <v>17</v>
      </c>
      <c r="C377" s="323">
        <v>90</v>
      </c>
      <c r="D377" s="323">
        <v>760</v>
      </c>
      <c r="E377" s="323">
        <v>15</v>
      </c>
      <c r="F377" s="323"/>
      <c r="G377" s="354">
        <v>45785</v>
      </c>
      <c r="H377" s="323"/>
      <c r="I377" s="323"/>
      <c r="J377" s="323"/>
      <c r="K377" s="323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  <c r="AA377" s="323"/>
      <c r="AB377" s="323"/>
      <c r="AC377" s="323"/>
      <c r="AD377" s="323"/>
      <c r="AE377" s="323"/>
      <c r="AF377" s="323"/>
      <c r="AG377" s="323"/>
      <c r="AH377" s="323"/>
      <c r="AI377" s="323"/>
      <c r="AJ377" s="323"/>
      <c r="AK377" s="323"/>
      <c r="AL377" s="323"/>
      <c r="AM377" s="326">
        <f t="shared" si="15"/>
        <v>15</v>
      </c>
      <c r="AN377" s="327">
        <f t="shared" si="14"/>
        <v>1.7441999999999999E-2</v>
      </c>
      <c r="AO377" s="323"/>
      <c r="AP377" s="323"/>
      <c r="AQ377" s="328"/>
    </row>
    <row r="378" spans="1:43">
      <c r="A378" s="355" t="s">
        <v>209</v>
      </c>
      <c r="B378" s="323">
        <v>19.05</v>
      </c>
      <c r="C378" s="323">
        <v>32.340000000000003</v>
      </c>
      <c r="D378" s="323">
        <v>458</v>
      </c>
      <c r="E378" s="323">
        <v>1600</v>
      </c>
      <c r="F378" s="323"/>
      <c r="G378" s="354">
        <v>45785</v>
      </c>
      <c r="H378" s="323"/>
      <c r="I378" s="323"/>
      <c r="J378" s="323"/>
      <c r="K378" s="323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  <c r="AA378" s="323"/>
      <c r="AB378" s="323"/>
      <c r="AC378" s="323"/>
      <c r="AD378" s="323"/>
      <c r="AE378" s="323"/>
      <c r="AF378" s="323"/>
      <c r="AG378" s="323"/>
      <c r="AH378" s="323"/>
      <c r="AI378" s="323"/>
      <c r="AJ378" s="323"/>
      <c r="AK378" s="323"/>
      <c r="AL378" s="323"/>
      <c r="AM378" s="326">
        <f t="shared" si="15"/>
        <v>1600</v>
      </c>
      <c r="AN378" s="327">
        <f t="shared" si="14"/>
        <v>0.45146122560000007</v>
      </c>
      <c r="AO378" s="323"/>
      <c r="AP378" s="323"/>
      <c r="AQ378" s="328"/>
    </row>
    <row r="379" spans="1:43">
      <c r="A379" s="351" t="s">
        <v>209</v>
      </c>
      <c r="B379" s="323">
        <v>15.9</v>
      </c>
      <c r="C379" s="323">
        <v>161.9</v>
      </c>
      <c r="D379" s="323">
        <v>371.5</v>
      </c>
      <c r="E379" s="323">
        <v>540</v>
      </c>
      <c r="F379" s="323"/>
      <c r="G379" s="354">
        <v>45785</v>
      </c>
      <c r="H379" s="323"/>
      <c r="I379" s="323"/>
      <c r="J379" s="323"/>
      <c r="K379" s="323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  <c r="AA379" s="323"/>
      <c r="AB379" s="323"/>
      <c r="AC379" s="323"/>
      <c r="AD379" s="323"/>
      <c r="AE379" s="323"/>
      <c r="AF379" s="323"/>
      <c r="AG379" s="323"/>
      <c r="AH379" s="323"/>
      <c r="AI379" s="323"/>
      <c r="AJ379" s="323"/>
      <c r="AK379" s="323"/>
      <c r="AL379" s="323"/>
      <c r="AM379" s="326">
        <f t="shared" si="15"/>
        <v>540</v>
      </c>
      <c r="AN379" s="327">
        <f t="shared" si="14"/>
        <v>0.51641226810000007</v>
      </c>
      <c r="AO379" s="323"/>
      <c r="AP379" s="323"/>
      <c r="AQ379" s="328"/>
    </row>
    <row r="380" spans="1:43">
      <c r="A380" s="351" t="s">
        <v>209</v>
      </c>
      <c r="B380" s="323">
        <v>19.05</v>
      </c>
      <c r="C380" s="323">
        <v>42.86</v>
      </c>
      <c r="D380" s="323">
        <v>458</v>
      </c>
      <c r="E380" s="323">
        <v>1620</v>
      </c>
      <c r="F380" s="323"/>
      <c r="G380" s="354">
        <v>45785</v>
      </c>
      <c r="H380" s="323"/>
      <c r="I380" s="323"/>
      <c r="J380" s="323"/>
      <c r="K380" s="323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>
        <v>445</v>
      </c>
      <c r="AA380" s="323"/>
      <c r="AB380" s="323"/>
      <c r="AC380" s="323"/>
      <c r="AD380" s="323"/>
      <c r="AE380" s="323"/>
      <c r="AF380" s="323"/>
      <c r="AG380" s="323">
        <v>684</v>
      </c>
      <c r="AH380" s="323"/>
      <c r="AI380" s="323"/>
      <c r="AJ380" s="323"/>
      <c r="AK380" s="323"/>
      <c r="AL380" s="323"/>
      <c r="AM380" s="326">
        <f t="shared" si="15"/>
        <v>491</v>
      </c>
      <c r="AN380" s="327">
        <f t="shared" si="14"/>
        <v>0.18360906407400004</v>
      </c>
      <c r="AO380" s="323"/>
      <c r="AP380" s="323"/>
      <c r="AQ380" s="328"/>
    </row>
    <row r="381" spans="1:43">
      <c r="A381" s="351" t="s">
        <v>209</v>
      </c>
      <c r="B381" s="323">
        <v>20</v>
      </c>
      <c r="C381" s="323">
        <v>100</v>
      </c>
      <c r="D381" s="323">
        <v>393</v>
      </c>
      <c r="E381" s="323">
        <v>74</v>
      </c>
      <c r="F381" s="323"/>
      <c r="G381" s="354">
        <v>45785</v>
      </c>
      <c r="H381" s="323"/>
      <c r="I381" s="323"/>
      <c r="J381" s="323"/>
      <c r="K381" s="323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  <c r="AA381" s="323"/>
      <c r="AB381" s="323"/>
      <c r="AC381" s="323"/>
      <c r="AD381" s="323"/>
      <c r="AE381" s="323"/>
      <c r="AF381" s="323"/>
      <c r="AG381" s="323"/>
      <c r="AH381" s="323"/>
      <c r="AI381" s="323"/>
      <c r="AJ381" s="323"/>
      <c r="AK381" s="323"/>
      <c r="AL381" s="323"/>
      <c r="AM381" s="326">
        <f t="shared" si="15"/>
        <v>74</v>
      </c>
      <c r="AN381" s="327">
        <f t="shared" si="14"/>
        <v>5.8164E-2</v>
      </c>
      <c r="AO381" s="323"/>
      <c r="AP381" s="323"/>
      <c r="AQ381" s="328"/>
    </row>
    <row r="382" spans="1:43">
      <c r="A382" s="351" t="s">
        <v>209</v>
      </c>
      <c r="B382" s="323">
        <v>16</v>
      </c>
      <c r="C382" s="323">
        <v>100</v>
      </c>
      <c r="D382" s="323">
        <v>535</v>
      </c>
      <c r="E382" s="323">
        <v>502</v>
      </c>
      <c r="F382" s="323"/>
      <c r="G382" s="354">
        <v>45785</v>
      </c>
      <c r="H382" s="323"/>
      <c r="I382" s="323"/>
      <c r="J382" s="323"/>
      <c r="K382" s="323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  <c r="AA382" s="323"/>
      <c r="AB382" s="323"/>
      <c r="AC382" s="323"/>
      <c r="AD382" s="323"/>
      <c r="AE382" s="323"/>
      <c r="AF382" s="323"/>
      <c r="AG382" s="323"/>
      <c r="AH382" s="323"/>
      <c r="AI382" s="323"/>
      <c r="AJ382" s="323"/>
      <c r="AK382" s="323"/>
      <c r="AL382" s="323"/>
      <c r="AM382" s="326">
        <f t="shared" si="15"/>
        <v>502</v>
      </c>
      <c r="AN382" s="327">
        <f t="shared" si="14"/>
        <v>0.42971199999999998</v>
      </c>
      <c r="AO382" s="323"/>
      <c r="AP382" s="323"/>
      <c r="AQ382" s="328"/>
    </row>
    <row r="383" spans="1:43">
      <c r="A383" s="351" t="s">
        <v>209</v>
      </c>
      <c r="B383" s="323">
        <v>16</v>
      </c>
      <c r="C383" s="323">
        <v>100</v>
      </c>
      <c r="D383" s="323">
        <v>770</v>
      </c>
      <c r="E383" s="323">
        <v>21</v>
      </c>
      <c r="F383" s="323"/>
      <c r="G383" s="354">
        <v>45785</v>
      </c>
      <c r="H383" s="323"/>
      <c r="I383" s="323"/>
      <c r="J383" s="323"/>
      <c r="K383" s="323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  <c r="AA383" s="323"/>
      <c r="AB383" s="323"/>
      <c r="AC383" s="323"/>
      <c r="AD383" s="323"/>
      <c r="AE383" s="323"/>
      <c r="AF383" s="323"/>
      <c r="AG383" s="323"/>
      <c r="AH383" s="323"/>
      <c r="AI383" s="323"/>
      <c r="AJ383" s="323"/>
      <c r="AK383" s="323"/>
      <c r="AL383" s="323"/>
      <c r="AM383" s="326">
        <f t="shared" si="15"/>
        <v>21</v>
      </c>
      <c r="AN383" s="327">
        <f t="shared" si="14"/>
        <v>2.5871999999999999E-2</v>
      </c>
      <c r="AO383" s="323"/>
      <c r="AP383" s="323"/>
      <c r="AQ383" s="328"/>
    </row>
    <row r="384" spans="1:43">
      <c r="A384" s="351" t="s">
        <v>209</v>
      </c>
      <c r="B384" s="323">
        <v>16.399999999999999</v>
      </c>
      <c r="C384" s="323">
        <v>96</v>
      </c>
      <c r="D384" s="323">
        <v>1360</v>
      </c>
      <c r="E384" s="323">
        <v>265</v>
      </c>
      <c r="F384" s="323"/>
      <c r="G384" s="354">
        <v>45785</v>
      </c>
      <c r="H384" s="323"/>
      <c r="I384" s="323"/>
      <c r="J384" s="323"/>
      <c r="K384" s="323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  <c r="AA384" s="323"/>
      <c r="AB384" s="323"/>
      <c r="AC384" s="323"/>
      <c r="AD384" s="323"/>
      <c r="AE384" s="323"/>
      <c r="AF384" s="323"/>
      <c r="AG384" s="323"/>
      <c r="AH384" s="323"/>
      <c r="AI384" s="323"/>
      <c r="AJ384" s="323"/>
      <c r="AK384" s="323"/>
      <c r="AL384" s="323"/>
      <c r="AM384" s="326">
        <f t="shared" si="15"/>
        <v>265</v>
      </c>
      <c r="AN384" s="327">
        <f t="shared" si="14"/>
        <v>0.56741375999999999</v>
      </c>
      <c r="AO384" s="323"/>
      <c r="AP384" s="323"/>
      <c r="AQ384" s="328"/>
    </row>
    <row r="385" spans="1:43">
      <c r="A385" s="351" t="s">
        <v>209</v>
      </c>
      <c r="B385" s="323">
        <v>16.399999999999999</v>
      </c>
      <c r="C385" s="323">
        <v>282</v>
      </c>
      <c r="D385" s="323">
        <v>1235</v>
      </c>
      <c r="E385" s="323">
        <v>111</v>
      </c>
      <c r="F385" s="323"/>
      <c r="G385" s="354">
        <v>45785</v>
      </c>
      <c r="H385" s="323"/>
      <c r="I385" s="323"/>
      <c r="J385" s="323"/>
      <c r="K385" s="323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  <c r="AA385" s="323"/>
      <c r="AB385" s="323"/>
      <c r="AC385" s="323"/>
      <c r="AD385" s="323"/>
      <c r="AE385" s="323"/>
      <c r="AF385" s="323"/>
      <c r="AG385" s="323"/>
      <c r="AH385" s="323"/>
      <c r="AI385" s="323"/>
      <c r="AJ385" s="323"/>
      <c r="AK385" s="323"/>
      <c r="AL385" s="323"/>
      <c r="AM385" s="326">
        <f t="shared" si="15"/>
        <v>111</v>
      </c>
      <c r="AN385" s="327">
        <f t="shared" si="14"/>
        <v>0.6339907079999999</v>
      </c>
      <c r="AO385" s="323"/>
      <c r="AP385" s="323"/>
      <c r="AQ385" s="328"/>
    </row>
    <row r="386" spans="1:43">
      <c r="A386" s="351" t="s">
        <v>209</v>
      </c>
      <c r="B386" s="323">
        <v>15.5</v>
      </c>
      <c r="C386" s="323">
        <v>103.6</v>
      </c>
      <c r="D386" s="323">
        <v>606.9</v>
      </c>
      <c r="E386" s="323">
        <v>550</v>
      </c>
      <c r="F386" s="323"/>
      <c r="G386" s="354">
        <v>45785</v>
      </c>
      <c r="H386" s="323"/>
      <c r="I386" s="323"/>
      <c r="J386" s="323"/>
      <c r="K386" s="323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  <c r="AA386" s="323"/>
      <c r="AB386" s="323"/>
      <c r="AC386" s="323"/>
      <c r="AD386" s="323"/>
      <c r="AE386" s="323"/>
      <c r="AF386" s="323"/>
      <c r="AG386" s="323"/>
      <c r="AH386" s="323"/>
      <c r="AI386" s="323"/>
      <c r="AJ386" s="323"/>
      <c r="AK386" s="323"/>
      <c r="AL386" s="323"/>
      <c r="AM386" s="326">
        <f t="shared" si="15"/>
        <v>550</v>
      </c>
      <c r="AN386" s="327">
        <f t="shared" si="14"/>
        <v>0.53600801099999995</v>
      </c>
      <c r="AO386" s="323"/>
      <c r="AP386" s="323"/>
      <c r="AQ386" s="328"/>
    </row>
    <row r="387" spans="1:43">
      <c r="A387" s="351" t="s">
        <v>209</v>
      </c>
      <c r="B387" s="323">
        <v>15.9</v>
      </c>
      <c r="C387" s="323">
        <v>57</v>
      </c>
      <c r="D387" s="323">
        <v>1155</v>
      </c>
      <c r="E387" s="323">
        <v>612</v>
      </c>
      <c r="F387" s="323"/>
      <c r="G387" s="354">
        <v>45785</v>
      </c>
      <c r="H387" s="323"/>
      <c r="I387" s="323"/>
      <c r="J387" s="323"/>
      <c r="K387" s="323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  <c r="AA387" s="323"/>
      <c r="AB387" s="323"/>
      <c r="AC387" s="323"/>
      <c r="AD387" s="323"/>
      <c r="AE387" s="323"/>
      <c r="AF387" s="323"/>
      <c r="AG387" s="323"/>
      <c r="AH387" s="323"/>
      <c r="AI387" s="323">
        <v>598</v>
      </c>
      <c r="AJ387" s="323"/>
      <c r="AK387" s="323"/>
      <c r="AL387" s="323"/>
      <c r="AM387" s="326">
        <f t="shared" si="15"/>
        <v>14</v>
      </c>
      <c r="AN387" s="327">
        <f t="shared" ref="AN387:AN445" si="16">B387*C387*D387*AM387/1000000000</f>
        <v>1.4654871000000002E-2</v>
      </c>
      <c r="AO387" s="323"/>
      <c r="AP387" s="323"/>
      <c r="AQ387" s="328"/>
    </row>
    <row r="388" spans="1:43">
      <c r="A388" s="351" t="s">
        <v>209</v>
      </c>
      <c r="B388" s="323">
        <v>16.5</v>
      </c>
      <c r="C388" s="323">
        <v>610</v>
      </c>
      <c r="D388" s="323">
        <v>810</v>
      </c>
      <c r="E388" s="323">
        <v>31</v>
      </c>
      <c r="F388" s="323"/>
      <c r="G388" s="354">
        <v>45785</v>
      </c>
      <c r="H388" s="323"/>
      <c r="I388" s="323"/>
      <c r="J388" s="323"/>
      <c r="K388" s="323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  <c r="AA388" s="323"/>
      <c r="AB388" s="323"/>
      <c r="AC388" s="323"/>
      <c r="AD388" s="323"/>
      <c r="AE388" s="323"/>
      <c r="AF388" s="323"/>
      <c r="AG388" s="323"/>
      <c r="AH388" s="323"/>
      <c r="AI388" s="323"/>
      <c r="AJ388" s="323"/>
      <c r="AK388" s="323"/>
      <c r="AL388" s="323"/>
      <c r="AM388" s="326">
        <f t="shared" si="15"/>
        <v>31</v>
      </c>
      <c r="AN388" s="327">
        <f t="shared" si="16"/>
        <v>0.25273214999999999</v>
      </c>
      <c r="AO388" s="323"/>
      <c r="AP388" s="323"/>
      <c r="AQ388" s="328"/>
    </row>
    <row r="389" spans="1:43">
      <c r="A389" s="351" t="s">
        <v>209</v>
      </c>
      <c r="B389" s="323">
        <v>16.5</v>
      </c>
      <c r="C389" s="323">
        <v>610</v>
      </c>
      <c r="D389" s="323">
        <v>550</v>
      </c>
      <c r="E389" s="323">
        <v>33</v>
      </c>
      <c r="F389" s="323"/>
      <c r="G389" s="354">
        <v>45785</v>
      </c>
      <c r="H389" s="323"/>
      <c r="I389" s="323"/>
      <c r="J389" s="323"/>
      <c r="K389" s="323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  <c r="AA389" s="323"/>
      <c r="AB389" s="323"/>
      <c r="AC389" s="323"/>
      <c r="AD389" s="323"/>
      <c r="AE389" s="323"/>
      <c r="AF389" s="323"/>
      <c r="AG389" s="323"/>
      <c r="AH389" s="323"/>
      <c r="AI389" s="323"/>
      <c r="AJ389" s="323"/>
      <c r="AK389" s="323"/>
      <c r="AL389" s="323"/>
      <c r="AM389" s="326">
        <f t="shared" si="15"/>
        <v>33</v>
      </c>
      <c r="AN389" s="327">
        <f t="shared" si="16"/>
        <v>0.18267975</v>
      </c>
      <c r="AO389" s="323"/>
      <c r="AP389" s="323"/>
      <c r="AQ389" s="328"/>
    </row>
    <row r="390" spans="1:43">
      <c r="A390" s="351" t="s">
        <v>209</v>
      </c>
      <c r="B390" s="323">
        <v>15.9</v>
      </c>
      <c r="C390" s="323">
        <v>710</v>
      </c>
      <c r="D390" s="323">
        <v>1650</v>
      </c>
      <c r="E390" s="323">
        <v>30</v>
      </c>
      <c r="F390" s="323"/>
      <c r="G390" s="354">
        <v>45785</v>
      </c>
      <c r="H390" s="323"/>
      <c r="I390" s="323"/>
      <c r="J390" s="323"/>
      <c r="K390" s="323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  <c r="AA390" s="323"/>
      <c r="AB390" s="323"/>
      <c r="AC390" s="323"/>
      <c r="AD390" s="323"/>
      <c r="AE390" s="323"/>
      <c r="AF390" s="323"/>
      <c r="AG390" s="323"/>
      <c r="AH390" s="323"/>
      <c r="AI390" s="323"/>
      <c r="AJ390" s="323"/>
      <c r="AK390" s="323"/>
      <c r="AL390" s="323"/>
      <c r="AM390" s="326">
        <f t="shared" si="15"/>
        <v>30</v>
      </c>
      <c r="AN390" s="327">
        <f t="shared" si="16"/>
        <v>0.55880549999999996</v>
      </c>
      <c r="AO390" s="323"/>
      <c r="AP390" s="323"/>
      <c r="AQ390" s="328"/>
    </row>
    <row r="391" spans="1:43">
      <c r="A391" s="351" t="s">
        <v>209</v>
      </c>
      <c r="B391" s="323">
        <v>15.9</v>
      </c>
      <c r="C391" s="323">
        <v>240</v>
      </c>
      <c r="D391" s="323">
        <v>1370</v>
      </c>
      <c r="E391" s="323">
        <v>14</v>
      </c>
      <c r="F391" s="323"/>
      <c r="G391" s="354">
        <v>45785</v>
      </c>
      <c r="H391" s="323"/>
      <c r="I391" s="323"/>
      <c r="J391" s="323"/>
      <c r="K391" s="323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  <c r="AA391" s="323"/>
      <c r="AB391" s="323"/>
      <c r="AC391" s="323"/>
      <c r="AD391" s="323"/>
      <c r="AE391" s="323"/>
      <c r="AF391" s="323"/>
      <c r="AG391" s="323"/>
      <c r="AH391" s="323"/>
      <c r="AI391" s="323"/>
      <c r="AJ391" s="323"/>
      <c r="AK391" s="323"/>
      <c r="AL391" s="323"/>
      <c r="AM391" s="326">
        <f t="shared" si="15"/>
        <v>14</v>
      </c>
      <c r="AN391" s="327">
        <f t="shared" si="16"/>
        <v>7.319088E-2</v>
      </c>
      <c r="AO391" s="323"/>
      <c r="AP391" s="323"/>
      <c r="AQ391" s="328"/>
    </row>
    <row r="392" spans="1:43">
      <c r="A392" s="351" t="s">
        <v>209</v>
      </c>
      <c r="B392" s="323">
        <v>15.9</v>
      </c>
      <c r="C392" s="323">
        <v>161.9</v>
      </c>
      <c r="D392" s="323">
        <v>295.3</v>
      </c>
      <c r="E392" s="323">
        <v>630</v>
      </c>
      <c r="F392" s="323"/>
      <c r="G392" s="354">
        <v>45785</v>
      </c>
      <c r="H392" s="323"/>
      <c r="I392" s="323"/>
      <c r="J392" s="323"/>
      <c r="K392" s="323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  <c r="AA392" s="323"/>
      <c r="AB392" s="323"/>
      <c r="AC392" s="323"/>
      <c r="AD392" s="323"/>
      <c r="AE392" s="323"/>
      <c r="AF392" s="323"/>
      <c r="AG392" s="323"/>
      <c r="AH392" s="323"/>
      <c r="AI392" s="323"/>
      <c r="AJ392" s="323"/>
      <c r="AK392" s="323"/>
      <c r="AL392" s="323"/>
      <c r="AM392" s="326">
        <f t="shared" si="15"/>
        <v>630</v>
      </c>
      <c r="AN392" s="327">
        <f t="shared" si="16"/>
        <v>0.47890345419000002</v>
      </c>
      <c r="AO392" s="323"/>
      <c r="AP392" s="323"/>
      <c r="AQ392" s="328"/>
    </row>
    <row r="393" spans="1:43">
      <c r="A393" s="351" t="s">
        <v>209</v>
      </c>
      <c r="B393" s="323">
        <v>15.9</v>
      </c>
      <c r="C393" s="323">
        <v>85.7</v>
      </c>
      <c r="D393" s="323">
        <v>645.1</v>
      </c>
      <c r="E393" s="323">
        <v>480</v>
      </c>
      <c r="F393" s="323"/>
      <c r="G393" s="354">
        <v>45785</v>
      </c>
      <c r="H393" s="323"/>
      <c r="I393" s="323"/>
      <c r="J393" s="323"/>
      <c r="K393" s="323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  <c r="AA393" s="323"/>
      <c r="AB393" s="323"/>
      <c r="AC393" s="323"/>
      <c r="AD393" s="323"/>
      <c r="AE393" s="323"/>
      <c r="AF393" s="323"/>
      <c r="AG393" s="323"/>
      <c r="AH393" s="323"/>
      <c r="AI393" s="323"/>
      <c r="AJ393" s="323"/>
      <c r="AK393" s="323"/>
      <c r="AL393" s="323"/>
      <c r="AM393" s="326">
        <f t="shared" si="15"/>
        <v>480</v>
      </c>
      <c r="AN393" s="327">
        <f t="shared" si="16"/>
        <v>0.42193565424000007</v>
      </c>
      <c r="AO393" s="323"/>
      <c r="AP393" s="323"/>
      <c r="AQ393" s="328"/>
    </row>
    <row r="394" spans="1:43">
      <c r="A394" s="351" t="s">
        <v>209</v>
      </c>
      <c r="B394" s="323">
        <v>16.5</v>
      </c>
      <c r="C394" s="323">
        <v>976</v>
      </c>
      <c r="D394" s="323">
        <v>1170</v>
      </c>
      <c r="E394" s="323">
        <v>12</v>
      </c>
      <c r="F394" s="323"/>
      <c r="G394" s="354">
        <v>45785</v>
      </c>
      <c r="H394" s="323"/>
      <c r="I394" s="323"/>
      <c r="J394" s="323"/>
      <c r="K394" s="323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  <c r="AA394" s="323"/>
      <c r="AB394" s="323"/>
      <c r="AC394" s="323"/>
      <c r="AD394" s="323"/>
      <c r="AE394" s="323"/>
      <c r="AF394" s="323"/>
      <c r="AG394" s="323"/>
      <c r="AH394" s="323"/>
      <c r="AI394" s="323"/>
      <c r="AJ394" s="323"/>
      <c r="AK394" s="323"/>
      <c r="AL394" s="323"/>
      <c r="AM394" s="326">
        <f t="shared" si="15"/>
        <v>12</v>
      </c>
      <c r="AN394" s="327">
        <f t="shared" si="16"/>
        <v>0.22610015999999999</v>
      </c>
      <c r="AO394" s="323"/>
      <c r="AP394" s="323"/>
      <c r="AQ394" s="328"/>
    </row>
    <row r="395" spans="1:43">
      <c r="A395" s="351" t="s">
        <v>209</v>
      </c>
      <c r="B395" s="323">
        <v>16.5</v>
      </c>
      <c r="C395" s="323">
        <v>100</v>
      </c>
      <c r="D395" s="323">
        <v>560</v>
      </c>
      <c r="E395" s="323">
        <v>490</v>
      </c>
      <c r="F395" s="323"/>
      <c r="G395" s="354">
        <v>45785</v>
      </c>
      <c r="H395" s="323"/>
      <c r="I395" s="323"/>
      <c r="J395" s="323"/>
      <c r="K395" s="323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  <c r="AA395" s="323"/>
      <c r="AB395" s="323"/>
      <c r="AC395" s="323"/>
      <c r="AD395" s="323"/>
      <c r="AE395" s="323"/>
      <c r="AF395" s="323"/>
      <c r="AG395" s="323"/>
      <c r="AH395" s="323"/>
      <c r="AI395" s="323"/>
      <c r="AJ395" s="323"/>
      <c r="AK395" s="323"/>
      <c r="AL395" s="323"/>
      <c r="AM395" s="326">
        <f t="shared" si="15"/>
        <v>490</v>
      </c>
      <c r="AN395" s="327">
        <f t="shared" si="16"/>
        <v>0.45276</v>
      </c>
      <c r="AO395" s="323"/>
      <c r="AP395" s="323"/>
      <c r="AQ395" s="328"/>
    </row>
    <row r="396" spans="1:43">
      <c r="A396" s="351" t="s">
        <v>209</v>
      </c>
      <c r="B396" s="323">
        <v>16</v>
      </c>
      <c r="C396" s="323">
        <v>161.9</v>
      </c>
      <c r="D396" s="323">
        <v>600.1</v>
      </c>
      <c r="E396" s="323">
        <v>320</v>
      </c>
      <c r="F396" s="323"/>
      <c r="G396" s="354">
        <v>45785</v>
      </c>
      <c r="H396" s="323"/>
      <c r="I396" s="323"/>
      <c r="J396" s="323"/>
      <c r="K396" s="323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  <c r="AA396" s="323"/>
      <c r="AB396" s="323"/>
      <c r="AC396" s="323"/>
      <c r="AD396" s="323"/>
      <c r="AE396" s="323"/>
      <c r="AF396" s="323"/>
      <c r="AG396" s="323"/>
      <c r="AH396" s="323"/>
      <c r="AI396" s="323"/>
      <c r="AJ396" s="323"/>
      <c r="AK396" s="323"/>
      <c r="AL396" s="323"/>
      <c r="AM396" s="326">
        <f t="shared" si="15"/>
        <v>320</v>
      </c>
      <c r="AN396" s="327">
        <f t="shared" si="16"/>
        <v>0.4974396928</v>
      </c>
      <c r="AO396" s="323"/>
      <c r="AP396" s="323"/>
      <c r="AQ396" s="328"/>
    </row>
    <row r="397" spans="1:43">
      <c r="A397" s="351" t="s">
        <v>209</v>
      </c>
      <c r="B397" s="323">
        <v>16</v>
      </c>
      <c r="C397" s="323">
        <v>161.9</v>
      </c>
      <c r="D397" s="323">
        <v>520.70000000000005</v>
      </c>
      <c r="E397" s="323">
        <v>120</v>
      </c>
      <c r="F397" s="323"/>
      <c r="G397" s="354">
        <v>45785</v>
      </c>
      <c r="H397" s="323"/>
      <c r="I397" s="323"/>
      <c r="J397" s="323"/>
      <c r="K397" s="323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  <c r="AA397" s="323"/>
      <c r="AB397" s="323"/>
      <c r="AC397" s="323"/>
      <c r="AD397" s="323"/>
      <c r="AE397" s="323"/>
      <c r="AF397" s="323"/>
      <c r="AG397" s="323"/>
      <c r="AH397" s="323"/>
      <c r="AI397" s="323"/>
      <c r="AJ397" s="323"/>
      <c r="AK397" s="323"/>
      <c r="AL397" s="323"/>
      <c r="AM397" s="326">
        <f t="shared" si="15"/>
        <v>120</v>
      </c>
      <c r="AN397" s="327">
        <f t="shared" si="16"/>
        <v>0.16185855360000001</v>
      </c>
      <c r="AO397" s="323"/>
      <c r="AP397" s="323"/>
      <c r="AQ397" s="328"/>
    </row>
    <row r="398" spans="1:43">
      <c r="A398" s="351" t="s">
        <v>209</v>
      </c>
      <c r="B398" s="323">
        <v>15</v>
      </c>
      <c r="C398" s="323">
        <v>55</v>
      </c>
      <c r="D398" s="323">
        <v>914.4</v>
      </c>
      <c r="E398" s="323">
        <v>748</v>
      </c>
      <c r="F398" s="323"/>
      <c r="G398" s="354">
        <v>45785</v>
      </c>
      <c r="H398" s="323"/>
      <c r="I398" s="323"/>
      <c r="J398" s="323"/>
      <c r="K398" s="323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  <c r="AA398" s="323"/>
      <c r="AB398" s="323"/>
      <c r="AC398" s="323"/>
      <c r="AD398" s="323"/>
      <c r="AE398" s="323"/>
      <c r="AF398" s="323"/>
      <c r="AG398" s="323"/>
      <c r="AH398" s="323"/>
      <c r="AI398" s="323"/>
      <c r="AJ398" s="323"/>
      <c r="AK398" s="323"/>
      <c r="AL398" s="323"/>
      <c r="AM398" s="326">
        <f t="shared" si="15"/>
        <v>748</v>
      </c>
      <c r="AN398" s="327">
        <f t="shared" si="16"/>
        <v>0.56427623999999998</v>
      </c>
      <c r="AO398" s="323"/>
      <c r="AP398" s="323"/>
      <c r="AQ398" s="328"/>
    </row>
    <row r="399" spans="1:43">
      <c r="A399" s="351" t="s">
        <v>209</v>
      </c>
      <c r="B399" s="323">
        <v>16</v>
      </c>
      <c r="C399" s="323">
        <v>161.9</v>
      </c>
      <c r="D399" s="323">
        <v>533.4</v>
      </c>
      <c r="E399" s="323">
        <v>180</v>
      </c>
      <c r="F399" s="323"/>
      <c r="G399" s="354">
        <v>45785</v>
      </c>
      <c r="H399" s="323"/>
      <c r="I399" s="323"/>
      <c r="J399" s="323"/>
      <c r="K399" s="323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  <c r="AA399" s="323"/>
      <c r="AB399" s="323"/>
      <c r="AC399" s="323"/>
      <c r="AD399" s="323"/>
      <c r="AE399" s="323"/>
      <c r="AF399" s="323"/>
      <c r="AG399" s="323"/>
      <c r="AH399" s="323"/>
      <c r="AI399" s="323"/>
      <c r="AJ399" s="323"/>
      <c r="AK399" s="323"/>
      <c r="AL399" s="323"/>
      <c r="AM399" s="326">
        <f t="shared" si="15"/>
        <v>180</v>
      </c>
      <c r="AN399" s="327">
        <f t="shared" si="16"/>
        <v>0.24870948480000002</v>
      </c>
      <c r="AO399" s="323"/>
      <c r="AP399" s="323"/>
      <c r="AQ399" s="328"/>
    </row>
    <row r="400" spans="1:43">
      <c r="A400" s="351" t="s">
        <v>209</v>
      </c>
      <c r="B400" s="323">
        <v>16</v>
      </c>
      <c r="C400" s="323">
        <v>161.9</v>
      </c>
      <c r="D400" s="323">
        <v>447.7</v>
      </c>
      <c r="E400" s="323">
        <v>176</v>
      </c>
      <c r="F400" s="323"/>
      <c r="G400" s="354">
        <v>45785</v>
      </c>
      <c r="H400" s="323"/>
      <c r="I400" s="323"/>
      <c r="J400" s="323"/>
      <c r="K400" s="323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  <c r="AA400" s="323"/>
      <c r="AB400" s="323"/>
      <c r="AC400" s="323"/>
      <c r="AD400" s="323"/>
      <c r="AE400" s="323"/>
      <c r="AF400" s="323"/>
      <c r="AG400" s="323"/>
      <c r="AH400" s="323"/>
      <c r="AI400" s="323"/>
      <c r="AJ400" s="323"/>
      <c r="AK400" s="323"/>
      <c r="AL400" s="323"/>
      <c r="AM400" s="326">
        <f t="shared" si="15"/>
        <v>176</v>
      </c>
      <c r="AN400" s="327">
        <f t="shared" si="16"/>
        <v>0.20411108608</v>
      </c>
      <c r="AO400" s="323"/>
      <c r="AP400" s="323"/>
      <c r="AQ400" s="328"/>
    </row>
    <row r="401" spans="1:43">
      <c r="A401" s="351" t="s">
        <v>209</v>
      </c>
      <c r="B401" s="323">
        <v>16</v>
      </c>
      <c r="C401" s="323">
        <v>254</v>
      </c>
      <c r="D401" s="323">
        <v>371.5</v>
      </c>
      <c r="E401" s="323">
        <v>140</v>
      </c>
      <c r="F401" s="323"/>
      <c r="G401" s="354">
        <v>45785</v>
      </c>
      <c r="H401" s="323"/>
      <c r="I401" s="323"/>
      <c r="J401" s="323"/>
      <c r="K401" s="323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  <c r="AA401" s="323"/>
      <c r="AB401" s="323"/>
      <c r="AC401" s="323"/>
      <c r="AD401" s="323"/>
      <c r="AE401" s="323"/>
      <c r="AF401" s="323"/>
      <c r="AG401" s="323"/>
      <c r="AH401" s="323"/>
      <c r="AI401" s="323"/>
      <c r="AJ401" s="323"/>
      <c r="AK401" s="323"/>
      <c r="AL401" s="323"/>
      <c r="AM401" s="326">
        <f t="shared" si="15"/>
        <v>140</v>
      </c>
      <c r="AN401" s="327">
        <f t="shared" si="16"/>
        <v>0.21136864</v>
      </c>
      <c r="AO401" s="323"/>
      <c r="AP401" s="323"/>
      <c r="AQ401" s="328"/>
    </row>
    <row r="402" spans="1:43">
      <c r="A402" s="351" t="s">
        <v>209</v>
      </c>
      <c r="B402" s="323">
        <v>15.9</v>
      </c>
      <c r="C402" s="323">
        <v>254</v>
      </c>
      <c r="D402" s="323">
        <v>444.7</v>
      </c>
      <c r="E402" s="323">
        <v>270</v>
      </c>
      <c r="F402" s="323"/>
      <c r="G402" s="354">
        <v>45785</v>
      </c>
      <c r="H402" s="323"/>
      <c r="I402" s="323"/>
      <c r="J402" s="323"/>
      <c r="K402" s="323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  <c r="AA402" s="323"/>
      <c r="AB402" s="323"/>
      <c r="AC402" s="323"/>
      <c r="AD402" s="323"/>
      <c r="AE402" s="323"/>
      <c r="AF402" s="323"/>
      <c r="AG402" s="323"/>
      <c r="AH402" s="323"/>
      <c r="AI402" s="323"/>
      <c r="AJ402" s="323"/>
      <c r="AK402" s="323"/>
      <c r="AL402" s="323"/>
      <c r="AM402" s="326">
        <f t="shared" si="15"/>
        <v>270</v>
      </c>
      <c r="AN402" s="327">
        <f t="shared" si="16"/>
        <v>0.4849106634</v>
      </c>
      <c r="AO402" s="323"/>
      <c r="AP402" s="323"/>
      <c r="AQ402" s="328"/>
    </row>
    <row r="403" spans="1:43">
      <c r="A403" s="351" t="s">
        <v>209</v>
      </c>
      <c r="B403" s="323">
        <v>15.9</v>
      </c>
      <c r="C403" s="323">
        <v>85.7</v>
      </c>
      <c r="D403" s="323">
        <v>676.3</v>
      </c>
      <c r="E403" s="323">
        <v>540</v>
      </c>
      <c r="F403" s="323"/>
      <c r="G403" s="354">
        <v>45785</v>
      </c>
      <c r="H403" s="323"/>
      <c r="I403" s="323"/>
      <c r="J403" s="323"/>
      <c r="K403" s="323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  <c r="AA403" s="323"/>
      <c r="AB403" s="323"/>
      <c r="AC403" s="323"/>
      <c r="AD403" s="323"/>
      <c r="AE403" s="323"/>
      <c r="AF403" s="323"/>
      <c r="AG403" s="323"/>
      <c r="AH403" s="323"/>
      <c r="AI403" s="323"/>
      <c r="AJ403" s="323"/>
      <c r="AK403" s="323"/>
      <c r="AL403" s="323"/>
      <c r="AM403" s="326">
        <f t="shared" si="15"/>
        <v>540</v>
      </c>
      <c r="AN403" s="327">
        <f t="shared" si="16"/>
        <v>0.49763520125999999</v>
      </c>
      <c r="AO403" s="323"/>
      <c r="AP403" s="323"/>
      <c r="AQ403" s="328"/>
    </row>
    <row r="404" spans="1:43">
      <c r="A404" s="351" t="s">
        <v>209</v>
      </c>
      <c r="B404" s="323">
        <v>15.9</v>
      </c>
      <c r="C404" s="323">
        <v>85.7</v>
      </c>
      <c r="D404" s="323">
        <v>618</v>
      </c>
      <c r="E404" s="323">
        <v>156</v>
      </c>
      <c r="F404" s="323"/>
      <c r="G404" s="354">
        <v>45785</v>
      </c>
      <c r="H404" s="323"/>
      <c r="I404" s="323"/>
      <c r="J404" s="323"/>
      <c r="K404" s="323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  <c r="AA404" s="323"/>
      <c r="AB404" s="323"/>
      <c r="AC404" s="323"/>
      <c r="AD404" s="323"/>
      <c r="AE404" s="323"/>
      <c r="AF404" s="323"/>
      <c r="AG404" s="323"/>
      <c r="AH404" s="323"/>
      <c r="AI404" s="323"/>
      <c r="AJ404" s="323"/>
      <c r="AK404" s="323"/>
      <c r="AL404" s="323"/>
      <c r="AM404" s="326">
        <f t="shared" si="15"/>
        <v>156</v>
      </c>
      <c r="AN404" s="327">
        <f t="shared" si="16"/>
        <v>0.13136843304000001</v>
      </c>
      <c r="AO404" s="323"/>
      <c r="AP404" s="323"/>
      <c r="AQ404" s="328"/>
    </row>
    <row r="405" spans="1:43">
      <c r="A405" s="351" t="s">
        <v>209</v>
      </c>
      <c r="B405" s="323">
        <v>15.9</v>
      </c>
      <c r="C405" s="323">
        <v>85.7</v>
      </c>
      <c r="D405" s="323">
        <v>533.4</v>
      </c>
      <c r="E405" s="323">
        <v>104</v>
      </c>
      <c r="F405" s="323"/>
      <c r="G405" s="354">
        <v>45785</v>
      </c>
      <c r="H405" s="323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>
        <v>27</v>
      </c>
      <c r="V405" s="323"/>
      <c r="W405" s="323"/>
      <c r="X405" s="323"/>
      <c r="Y405" s="323"/>
      <c r="Z405" s="323"/>
      <c r="AA405" s="323"/>
      <c r="AB405" s="323"/>
      <c r="AC405" s="323"/>
      <c r="AD405" s="323"/>
      <c r="AE405" s="323"/>
      <c r="AF405" s="323"/>
      <c r="AG405" s="323"/>
      <c r="AH405" s="323"/>
      <c r="AI405" s="323"/>
      <c r="AJ405" s="323"/>
      <c r="AK405" s="323"/>
      <c r="AL405" s="323"/>
      <c r="AM405" s="326">
        <f t="shared" si="15"/>
        <v>77</v>
      </c>
      <c r="AN405" s="327">
        <f t="shared" si="16"/>
        <v>5.5965666834000005E-2</v>
      </c>
      <c r="AO405" s="323"/>
      <c r="AP405" s="323"/>
      <c r="AQ405" s="328"/>
    </row>
    <row r="406" spans="1:43">
      <c r="A406" s="351" t="s">
        <v>209</v>
      </c>
      <c r="B406" s="323">
        <v>15.9</v>
      </c>
      <c r="C406" s="323">
        <v>85.7</v>
      </c>
      <c r="D406" s="323">
        <v>475</v>
      </c>
      <c r="E406" s="323">
        <v>1340</v>
      </c>
      <c r="F406" s="323"/>
      <c r="G406" s="354">
        <v>45785</v>
      </c>
      <c r="H406" s="323"/>
      <c r="I406" s="323"/>
      <c r="J406" s="323"/>
      <c r="K406" s="323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  <c r="AA406" s="323"/>
      <c r="AB406" s="323"/>
      <c r="AC406" s="323"/>
      <c r="AD406" s="323"/>
      <c r="AE406" s="323"/>
      <c r="AF406" s="323"/>
      <c r="AG406" s="323"/>
      <c r="AH406" s="323"/>
      <c r="AI406" s="323"/>
      <c r="AJ406" s="323"/>
      <c r="AK406" s="323"/>
      <c r="AL406" s="323"/>
      <c r="AM406" s="326">
        <f t="shared" si="15"/>
        <v>1340</v>
      </c>
      <c r="AN406" s="327">
        <f t="shared" si="16"/>
        <v>0.86731399499999995</v>
      </c>
      <c r="AO406" s="323"/>
      <c r="AP406" s="323"/>
      <c r="AQ406" s="328"/>
    </row>
    <row r="407" spans="1:43">
      <c r="A407" s="351" t="s">
        <v>209</v>
      </c>
      <c r="B407" s="323">
        <v>15.9</v>
      </c>
      <c r="C407" s="323">
        <v>85.7</v>
      </c>
      <c r="D407" s="323">
        <v>457.2</v>
      </c>
      <c r="E407" s="323">
        <v>156</v>
      </c>
      <c r="F407" s="323"/>
      <c r="G407" s="354">
        <v>45785</v>
      </c>
      <c r="H407" s="323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  <c r="AA407" s="323"/>
      <c r="AB407" s="323"/>
      <c r="AC407" s="323"/>
      <c r="AD407" s="323"/>
      <c r="AE407" s="323"/>
      <c r="AF407" s="323"/>
      <c r="AG407" s="323"/>
      <c r="AH407" s="323"/>
      <c r="AI407" s="323"/>
      <c r="AJ407" s="323"/>
      <c r="AK407" s="323"/>
      <c r="AL407" s="323"/>
      <c r="AM407" s="326">
        <f t="shared" si="15"/>
        <v>156</v>
      </c>
      <c r="AN407" s="327">
        <f t="shared" si="16"/>
        <v>9.7187132016000002E-2</v>
      </c>
      <c r="AO407" s="323"/>
      <c r="AP407" s="323"/>
      <c r="AQ407" s="328"/>
    </row>
    <row r="408" spans="1:43">
      <c r="A408" s="351" t="s">
        <v>209</v>
      </c>
      <c r="B408" s="323">
        <v>15.9</v>
      </c>
      <c r="C408" s="323">
        <v>85.7</v>
      </c>
      <c r="D408" s="323">
        <v>371.5</v>
      </c>
      <c r="E408" s="323">
        <v>312</v>
      </c>
      <c r="F408" s="323"/>
      <c r="G408" s="354">
        <v>45785</v>
      </c>
      <c r="H408" s="323"/>
      <c r="I408" s="323"/>
      <c r="J408" s="323"/>
      <c r="K408" s="323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  <c r="AA408" s="323"/>
      <c r="AB408" s="323"/>
      <c r="AC408" s="323"/>
      <c r="AD408" s="323"/>
      <c r="AE408" s="323"/>
      <c r="AF408" s="323"/>
      <c r="AG408" s="323"/>
      <c r="AH408" s="323"/>
      <c r="AI408" s="323"/>
      <c r="AJ408" s="323"/>
      <c r="AK408" s="323"/>
      <c r="AL408" s="323"/>
      <c r="AM408" s="326">
        <f t="shared" si="15"/>
        <v>312</v>
      </c>
      <c r="AN408" s="327">
        <f t="shared" si="16"/>
        <v>0.15793971804000001</v>
      </c>
      <c r="AO408" s="323"/>
      <c r="AP408" s="323"/>
      <c r="AQ408" s="328"/>
    </row>
    <row r="409" spans="1:43">
      <c r="A409" s="351" t="s">
        <v>209</v>
      </c>
      <c r="B409" s="323">
        <v>15.9</v>
      </c>
      <c r="C409" s="323">
        <v>85.7</v>
      </c>
      <c r="D409" s="323">
        <v>371.5</v>
      </c>
      <c r="E409" s="323">
        <v>156</v>
      </c>
      <c r="F409" s="323"/>
      <c r="G409" s="354">
        <v>45785</v>
      </c>
      <c r="H409" s="323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  <c r="AA409" s="323"/>
      <c r="AB409" s="323"/>
      <c r="AC409" s="323"/>
      <c r="AD409" s="323"/>
      <c r="AE409" s="323"/>
      <c r="AF409" s="323"/>
      <c r="AG409" s="323"/>
      <c r="AH409" s="323"/>
      <c r="AI409" s="323"/>
      <c r="AJ409" s="323"/>
      <c r="AK409" s="323"/>
      <c r="AL409" s="323"/>
      <c r="AM409" s="326">
        <f t="shared" si="15"/>
        <v>156</v>
      </c>
      <c r="AN409" s="327">
        <f t="shared" si="16"/>
        <v>7.8969859020000005E-2</v>
      </c>
      <c r="AO409" s="323"/>
      <c r="AP409" s="323"/>
      <c r="AQ409" s="328"/>
    </row>
    <row r="410" spans="1:43">
      <c r="A410" s="351" t="s">
        <v>209</v>
      </c>
      <c r="B410" s="323">
        <v>15.9</v>
      </c>
      <c r="C410" s="323">
        <v>85.7</v>
      </c>
      <c r="D410" s="323">
        <v>457.2</v>
      </c>
      <c r="E410" s="323">
        <v>156</v>
      </c>
      <c r="F410" s="323"/>
      <c r="G410" s="354">
        <v>45785</v>
      </c>
      <c r="H410" s="323"/>
      <c r="I410" s="323"/>
      <c r="J410" s="323"/>
      <c r="K410" s="323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  <c r="AA410" s="323"/>
      <c r="AB410" s="323"/>
      <c r="AC410" s="323"/>
      <c r="AD410" s="323"/>
      <c r="AE410" s="323"/>
      <c r="AF410" s="323"/>
      <c r="AG410" s="323"/>
      <c r="AH410" s="323"/>
      <c r="AI410" s="323"/>
      <c r="AJ410" s="323"/>
      <c r="AK410" s="323"/>
      <c r="AL410" s="323"/>
      <c r="AM410" s="326">
        <f t="shared" si="15"/>
        <v>156</v>
      </c>
      <c r="AN410" s="327">
        <f t="shared" si="16"/>
        <v>9.7187132016000002E-2</v>
      </c>
      <c r="AO410" s="323"/>
      <c r="AP410" s="323"/>
      <c r="AQ410" s="328"/>
    </row>
    <row r="411" spans="1:43">
      <c r="A411" s="351" t="s">
        <v>209</v>
      </c>
      <c r="B411" s="323">
        <v>13.2</v>
      </c>
      <c r="C411" s="323">
        <v>207</v>
      </c>
      <c r="D411" s="323">
        <v>543.6</v>
      </c>
      <c r="E411" s="323">
        <v>88</v>
      </c>
      <c r="F411" s="323"/>
      <c r="G411" s="354">
        <v>45785</v>
      </c>
      <c r="H411" s="323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  <c r="AA411" s="323"/>
      <c r="AB411" s="323"/>
      <c r="AC411" s="323"/>
      <c r="AD411" s="323"/>
      <c r="AE411" s="323"/>
      <c r="AF411" s="323"/>
      <c r="AG411" s="323"/>
      <c r="AH411" s="323"/>
      <c r="AI411" s="323"/>
      <c r="AJ411" s="323"/>
      <c r="AK411" s="323"/>
      <c r="AL411" s="323"/>
      <c r="AM411" s="326">
        <f t="shared" si="15"/>
        <v>88</v>
      </c>
      <c r="AN411" s="327">
        <f t="shared" si="16"/>
        <v>0.13070927231999999</v>
      </c>
      <c r="AO411" s="323"/>
      <c r="AP411" s="323"/>
      <c r="AQ411" s="328"/>
    </row>
    <row r="412" spans="1:43">
      <c r="A412" s="351" t="s">
        <v>209</v>
      </c>
      <c r="B412" s="323">
        <v>13.2</v>
      </c>
      <c r="C412" s="323">
        <v>207</v>
      </c>
      <c r="D412" s="323">
        <v>467.6</v>
      </c>
      <c r="E412" s="323">
        <v>44</v>
      </c>
      <c r="F412" s="323"/>
      <c r="G412" s="354">
        <v>45785</v>
      </c>
      <c r="H412" s="323"/>
      <c r="I412" s="323"/>
      <c r="J412" s="323"/>
      <c r="K412" s="323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  <c r="AA412" s="323"/>
      <c r="AB412" s="323"/>
      <c r="AC412" s="323"/>
      <c r="AD412" s="323"/>
      <c r="AE412" s="323"/>
      <c r="AF412" s="323"/>
      <c r="AG412" s="323"/>
      <c r="AH412" s="323"/>
      <c r="AI412" s="323"/>
      <c r="AJ412" s="323"/>
      <c r="AK412" s="323"/>
      <c r="AL412" s="323"/>
      <c r="AM412" s="326">
        <f t="shared" si="15"/>
        <v>44</v>
      </c>
      <c r="AN412" s="327">
        <f t="shared" si="16"/>
        <v>5.621749056E-2</v>
      </c>
      <c r="AO412" s="323"/>
      <c r="AP412" s="323"/>
      <c r="AQ412" s="328"/>
    </row>
    <row r="413" spans="1:43">
      <c r="A413" s="351" t="s">
        <v>209</v>
      </c>
      <c r="B413" s="323">
        <v>15.5</v>
      </c>
      <c r="C413" s="323">
        <v>281.89999999999998</v>
      </c>
      <c r="D413" s="323">
        <v>1229.2</v>
      </c>
      <c r="E413" s="323">
        <v>28</v>
      </c>
      <c r="F413" s="323"/>
      <c r="G413" s="354">
        <v>45785</v>
      </c>
      <c r="H413" s="323"/>
      <c r="I413" s="323"/>
      <c r="J413" s="323"/>
      <c r="K413" s="323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  <c r="AA413" s="323"/>
      <c r="AB413" s="323"/>
      <c r="AC413" s="323"/>
      <c r="AD413" s="323"/>
      <c r="AE413" s="323"/>
      <c r="AF413" s="323"/>
      <c r="AG413" s="323"/>
      <c r="AH413" s="323"/>
      <c r="AI413" s="323"/>
      <c r="AJ413" s="323"/>
      <c r="AK413" s="323"/>
      <c r="AL413" s="323"/>
      <c r="AM413" s="326">
        <f t="shared" si="15"/>
        <v>28</v>
      </c>
      <c r="AN413" s="327">
        <f t="shared" si="16"/>
        <v>0.15038598232000003</v>
      </c>
      <c r="AO413" s="323"/>
      <c r="AP413" s="323"/>
      <c r="AQ413" s="328"/>
    </row>
    <row r="414" spans="1:43">
      <c r="A414" s="351" t="s">
        <v>209</v>
      </c>
      <c r="B414" s="323">
        <v>15.5</v>
      </c>
      <c r="C414" s="323">
        <v>230.59</v>
      </c>
      <c r="D414" s="323">
        <v>1229.2</v>
      </c>
      <c r="E414" s="323">
        <v>6</v>
      </c>
      <c r="F414" s="323"/>
      <c r="G414" s="354">
        <v>45785</v>
      </c>
      <c r="H414" s="323"/>
      <c r="I414" s="323"/>
      <c r="J414" s="323"/>
      <c r="K414" s="323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  <c r="AA414" s="323"/>
      <c r="AB414" s="323"/>
      <c r="AC414" s="323"/>
      <c r="AD414" s="323"/>
      <c r="AE414" s="323"/>
      <c r="AF414" s="323"/>
      <c r="AG414" s="323"/>
      <c r="AH414" s="323"/>
      <c r="AI414" s="323"/>
      <c r="AJ414" s="323"/>
      <c r="AK414" s="323"/>
      <c r="AL414" s="323"/>
      <c r="AM414" s="326">
        <f t="shared" si="15"/>
        <v>6</v>
      </c>
      <c r="AN414" s="327">
        <f t="shared" si="16"/>
        <v>2.6360034203999998E-2</v>
      </c>
      <c r="AO414" s="323"/>
      <c r="AP414" s="323"/>
      <c r="AQ414" s="328"/>
    </row>
    <row r="415" spans="1:43">
      <c r="A415" s="351" t="s">
        <v>209</v>
      </c>
      <c r="B415" s="323">
        <v>15.9</v>
      </c>
      <c r="C415" s="323">
        <v>85.7</v>
      </c>
      <c r="D415" s="323">
        <v>501.7</v>
      </c>
      <c r="E415" s="323">
        <v>520</v>
      </c>
      <c r="F415" s="323"/>
      <c r="G415" s="354">
        <v>45785</v>
      </c>
      <c r="H415" s="323"/>
      <c r="I415" s="323"/>
      <c r="J415" s="323"/>
      <c r="K415" s="323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  <c r="AA415" s="323"/>
      <c r="AB415" s="323"/>
      <c r="AC415" s="323"/>
      <c r="AD415" s="323"/>
      <c r="AE415" s="323"/>
      <c r="AF415" s="323"/>
      <c r="AG415" s="323"/>
      <c r="AH415" s="323"/>
      <c r="AI415" s="323"/>
      <c r="AJ415" s="323"/>
      <c r="AK415" s="323"/>
      <c r="AL415" s="323"/>
      <c r="AM415" s="326">
        <f t="shared" si="15"/>
        <v>520</v>
      </c>
      <c r="AN415" s="327">
        <f t="shared" si="16"/>
        <v>0.35548836492000002</v>
      </c>
      <c r="AO415" s="323"/>
      <c r="AP415" s="323"/>
      <c r="AQ415" s="328"/>
    </row>
    <row r="416" spans="1:43">
      <c r="A416" s="351" t="s">
        <v>209</v>
      </c>
      <c r="B416" s="323">
        <v>19.05</v>
      </c>
      <c r="C416" s="323">
        <v>42.86</v>
      </c>
      <c r="D416" s="323">
        <v>1386</v>
      </c>
      <c r="E416" s="323">
        <v>100</v>
      </c>
      <c r="F416" s="323"/>
      <c r="G416" s="354">
        <v>45785</v>
      </c>
      <c r="H416" s="323"/>
      <c r="I416" s="323"/>
      <c r="J416" s="323"/>
      <c r="K416" s="323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  <c r="AA416" s="323"/>
      <c r="AB416" s="323"/>
      <c r="AC416" s="323"/>
      <c r="AD416" s="323"/>
      <c r="AE416" s="323"/>
      <c r="AF416" s="323"/>
      <c r="AG416" s="323"/>
      <c r="AH416" s="323"/>
      <c r="AI416" s="323"/>
      <c r="AJ416" s="323"/>
      <c r="AK416" s="323"/>
      <c r="AL416" s="323"/>
      <c r="AM416" s="326">
        <f t="shared" si="15"/>
        <v>100</v>
      </c>
      <c r="AN416" s="327">
        <f t="shared" si="16"/>
        <v>0.11316454380000002</v>
      </c>
      <c r="AO416" s="323"/>
      <c r="AP416" s="323"/>
      <c r="AQ416" s="328"/>
    </row>
    <row r="417" spans="1:43">
      <c r="A417" s="351" t="s">
        <v>209</v>
      </c>
      <c r="B417" s="323">
        <v>16.399999999999999</v>
      </c>
      <c r="C417" s="323">
        <v>96</v>
      </c>
      <c r="D417" s="323">
        <v>1360</v>
      </c>
      <c r="E417" s="323">
        <v>265</v>
      </c>
      <c r="F417" s="323"/>
      <c r="G417" s="354">
        <v>45785</v>
      </c>
      <c r="H417" s="323"/>
      <c r="I417" s="323"/>
      <c r="J417" s="323"/>
      <c r="K417" s="323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  <c r="AA417" s="323"/>
      <c r="AB417" s="323"/>
      <c r="AC417" s="323"/>
      <c r="AD417" s="323"/>
      <c r="AE417" s="323"/>
      <c r="AF417" s="323"/>
      <c r="AG417" s="323"/>
      <c r="AH417" s="323"/>
      <c r="AI417" s="323"/>
      <c r="AJ417" s="323"/>
      <c r="AK417" s="323"/>
      <c r="AL417" s="323"/>
      <c r="AM417" s="326">
        <f t="shared" si="15"/>
        <v>265</v>
      </c>
      <c r="AN417" s="327">
        <f t="shared" si="16"/>
        <v>0.56741375999999999</v>
      </c>
      <c r="AO417" s="323"/>
      <c r="AP417" s="323"/>
      <c r="AQ417" s="328"/>
    </row>
    <row r="418" spans="1:43">
      <c r="A418" s="351" t="s">
        <v>209</v>
      </c>
      <c r="B418" s="323">
        <v>16.05</v>
      </c>
      <c r="C418" s="323">
        <v>950</v>
      </c>
      <c r="D418" s="323">
        <v>460</v>
      </c>
      <c r="E418" s="323">
        <v>224</v>
      </c>
      <c r="F418" s="323"/>
      <c r="G418" s="354">
        <v>45785</v>
      </c>
      <c r="H418" s="323"/>
      <c r="I418" s="323"/>
      <c r="J418" s="323"/>
      <c r="K418" s="323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  <c r="AA418" s="323"/>
      <c r="AB418" s="323"/>
      <c r="AC418" s="323"/>
      <c r="AD418" s="323"/>
      <c r="AE418" s="323"/>
      <c r="AF418" s="323"/>
      <c r="AG418" s="323"/>
      <c r="AH418" s="323"/>
      <c r="AI418" s="323"/>
      <c r="AJ418" s="323"/>
      <c r="AK418" s="323"/>
      <c r="AL418" s="323"/>
      <c r="AM418" s="326">
        <f t="shared" si="15"/>
        <v>224</v>
      </c>
      <c r="AN418" s="327">
        <f t="shared" si="16"/>
        <v>1.5711024</v>
      </c>
      <c r="AO418" s="323"/>
      <c r="AP418" s="323"/>
      <c r="AQ418" s="328"/>
    </row>
    <row r="419" spans="1:43">
      <c r="A419" s="351" t="s">
        <v>209</v>
      </c>
      <c r="B419" s="323">
        <v>19.05</v>
      </c>
      <c r="C419" s="323">
        <v>33.340000000000003</v>
      </c>
      <c r="D419" s="323">
        <v>1386</v>
      </c>
      <c r="E419" s="323">
        <v>600</v>
      </c>
      <c r="F419" s="323"/>
      <c r="G419" s="354">
        <v>45785</v>
      </c>
      <c r="H419" s="323"/>
      <c r="I419" s="323"/>
      <c r="J419" s="323"/>
      <c r="K419" s="323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>
        <v>350</v>
      </c>
      <c r="X419" s="323"/>
      <c r="Y419" s="323"/>
      <c r="Z419" s="323"/>
      <c r="AA419" s="323"/>
      <c r="AB419" s="323"/>
      <c r="AC419" s="323"/>
      <c r="AD419" s="323"/>
      <c r="AE419" s="323"/>
      <c r="AF419" s="323"/>
      <c r="AG419" s="323"/>
      <c r="AH419" s="323"/>
      <c r="AI419" s="323"/>
      <c r="AJ419" s="323"/>
      <c r="AK419" s="323"/>
      <c r="AL419" s="323"/>
      <c r="AM419" s="326">
        <f t="shared" si="15"/>
        <v>250</v>
      </c>
      <c r="AN419" s="327">
        <f t="shared" si="16"/>
        <v>0.22007150550000004</v>
      </c>
      <c r="AO419" s="323"/>
      <c r="AP419" s="323"/>
      <c r="AQ419" s="328"/>
    </row>
    <row r="420" spans="1:43">
      <c r="A420" s="351" t="s">
        <v>209</v>
      </c>
      <c r="B420" s="323">
        <v>16.399999999999999</v>
      </c>
      <c r="C420" s="323">
        <v>282</v>
      </c>
      <c r="D420" s="323">
        <v>1235</v>
      </c>
      <c r="E420" s="323">
        <v>111</v>
      </c>
      <c r="F420" s="323"/>
      <c r="G420" s="354">
        <v>45785</v>
      </c>
      <c r="H420" s="323"/>
      <c r="I420" s="323"/>
      <c r="J420" s="323"/>
      <c r="K420" s="323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  <c r="AA420" s="323"/>
      <c r="AB420" s="323"/>
      <c r="AC420" s="323"/>
      <c r="AD420" s="323"/>
      <c r="AE420" s="323"/>
      <c r="AF420" s="323"/>
      <c r="AG420" s="323"/>
      <c r="AH420" s="323"/>
      <c r="AI420" s="323"/>
      <c r="AJ420" s="323"/>
      <c r="AK420" s="323"/>
      <c r="AL420" s="323"/>
      <c r="AM420" s="326">
        <f t="shared" si="15"/>
        <v>111</v>
      </c>
      <c r="AN420" s="327">
        <f t="shared" si="16"/>
        <v>0.6339907079999999</v>
      </c>
      <c r="AO420" s="323"/>
      <c r="AP420" s="323"/>
      <c r="AQ420" s="328"/>
    </row>
    <row r="421" spans="1:43">
      <c r="A421" s="351" t="s">
        <v>209</v>
      </c>
      <c r="B421" s="323">
        <v>16</v>
      </c>
      <c r="C421" s="323">
        <v>68</v>
      </c>
      <c r="D421" s="323">
        <v>1223</v>
      </c>
      <c r="E421" s="323">
        <v>219</v>
      </c>
      <c r="F421" s="323"/>
      <c r="G421" s="354">
        <v>45785</v>
      </c>
      <c r="H421" s="323"/>
      <c r="I421" s="323"/>
      <c r="J421" s="323"/>
      <c r="K421" s="323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  <c r="AA421" s="323"/>
      <c r="AB421" s="323"/>
      <c r="AC421" s="323"/>
      <c r="AD421" s="323"/>
      <c r="AE421" s="323"/>
      <c r="AF421" s="323"/>
      <c r="AG421" s="323"/>
      <c r="AH421" s="323"/>
      <c r="AI421" s="323"/>
      <c r="AJ421" s="323"/>
      <c r="AK421" s="323"/>
      <c r="AL421" s="323"/>
      <c r="AM421" s="326">
        <f t="shared" si="15"/>
        <v>219</v>
      </c>
      <c r="AN421" s="327">
        <f t="shared" si="16"/>
        <v>0.29140665599999999</v>
      </c>
      <c r="AO421" s="323"/>
      <c r="AP421" s="323"/>
      <c r="AQ421" s="328"/>
    </row>
    <row r="422" spans="1:43">
      <c r="A422" s="351" t="s">
        <v>209</v>
      </c>
      <c r="B422" s="323">
        <v>17</v>
      </c>
      <c r="C422" s="323">
        <v>283</v>
      </c>
      <c r="D422" s="323">
        <v>1224</v>
      </c>
      <c r="E422" s="323">
        <v>86</v>
      </c>
      <c r="F422" s="323"/>
      <c r="G422" s="354">
        <v>45785</v>
      </c>
      <c r="H422" s="323"/>
      <c r="I422" s="323"/>
      <c r="J422" s="323"/>
      <c r="K422" s="323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  <c r="AA422" s="323"/>
      <c r="AB422" s="323"/>
      <c r="AC422" s="323"/>
      <c r="AD422" s="323"/>
      <c r="AE422" s="323"/>
      <c r="AF422" s="323"/>
      <c r="AG422" s="323"/>
      <c r="AH422" s="323"/>
      <c r="AI422" s="323"/>
      <c r="AJ422" s="323"/>
      <c r="AK422" s="323"/>
      <c r="AL422" s="323"/>
      <c r="AM422" s="326">
        <f t="shared" si="15"/>
        <v>86</v>
      </c>
      <c r="AN422" s="327">
        <f t="shared" si="16"/>
        <v>0.50642510399999996</v>
      </c>
      <c r="AO422" s="323"/>
      <c r="AP422" s="323"/>
      <c r="AQ422" s="328"/>
    </row>
    <row r="423" spans="1:43">
      <c r="A423" s="351" t="s">
        <v>209</v>
      </c>
      <c r="B423" s="323">
        <v>15.9</v>
      </c>
      <c r="C423" s="323">
        <v>85.7</v>
      </c>
      <c r="D423" s="323">
        <v>457.2</v>
      </c>
      <c r="E423" s="323">
        <v>312</v>
      </c>
      <c r="F423" s="323"/>
      <c r="G423" s="354">
        <v>45785</v>
      </c>
      <c r="H423" s="323"/>
      <c r="I423" s="323"/>
      <c r="J423" s="323"/>
      <c r="K423" s="323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  <c r="AA423" s="323"/>
      <c r="AB423" s="323"/>
      <c r="AC423" s="323"/>
      <c r="AD423" s="323"/>
      <c r="AE423" s="323"/>
      <c r="AF423" s="323"/>
      <c r="AG423" s="323"/>
      <c r="AH423" s="323"/>
      <c r="AI423" s="323"/>
      <c r="AJ423" s="323"/>
      <c r="AK423" s="323"/>
      <c r="AL423" s="323"/>
      <c r="AM423" s="326">
        <f t="shared" si="15"/>
        <v>312</v>
      </c>
      <c r="AN423" s="327">
        <f t="shared" si="16"/>
        <v>0.194374264032</v>
      </c>
      <c r="AO423" s="323"/>
      <c r="AP423" s="323"/>
      <c r="AQ423" s="328"/>
    </row>
    <row r="424" spans="1:43">
      <c r="A424" s="351" t="s">
        <v>209</v>
      </c>
      <c r="B424" s="323">
        <v>12.7</v>
      </c>
      <c r="C424" s="323">
        <v>104</v>
      </c>
      <c r="D424" s="323">
        <v>1219.2</v>
      </c>
      <c r="E424" s="323">
        <v>179</v>
      </c>
      <c r="F424" s="323"/>
      <c r="G424" s="354">
        <v>45799</v>
      </c>
      <c r="H424" s="323"/>
      <c r="I424" s="323"/>
      <c r="J424" s="323"/>
      <c r="K424" s="323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  <c r="AA424" s="323"/>
      <c r="AB424" s="323"/>
      <c r="AC424" s="323"/>
      <c r="AD424" s="323"/>
      <c r="AE424" s="323"/>
      <c r="AF424" s="323"/>
      <c r="AG424" s="323"/>
      <c r="AH424" s="323"/>
      <c r="AI424" s="323"/>
      <c r="AJ424" s="323"/>
      <c r="AK424" s="323"/>
      <c r="AL424" s="323"/>
      <c r="AM424" s="326">
        <f t="shared" si="15"/>
        <v>179</v>
      </c>
      <c r="AN424" s="327">
        <f t="shared" si="16"/>
        <v>0.28824716544000001</v>
      </c>
      <c r="AO424" s="323"/>
      <c r="AP424" s="323"/>
      <c r="AQ424" s="328"/>
    </row>
    <row r="425" spans="1:43">
      <c r="A425" s="351" t="s">
        <v>209</v>
      </c>
      <c r="B425" s="323">
        <v>15.9</v>
      </c>
      <c r="C425" s="323">
        <v>161.9</v>
      </c>
      <c r="D425" s="323">
        <v>520.70000000000005</v>
      </c>
      <c r="E425" s="323">
        <v>180</v>
      </c>
      <c r="F425" s="323"/>
      <c r="G425" s="354">
        <v>45799</v>
      </c>
      <c r="H425" s="323"/>
      <c r="I425" s="323"/>
      <c r="J425" s="323"/>
      <c r="K425" s="323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  <c r="AA425" s="323"/>
      <c r="AB425" s="323"/>
      <c r="AC425" s="323"/>
      <c r="AD425" s="323"/>
      <c r="AE425" s="323"/>
      <c r="AF425" s="323"/>
      <c r="AG425" s="323"/>
      <c r="AH425" s="323"/>
      <c r="AI425" s="323"/>
      <c r="AJ425" s="323"/>
      <c r="AK425" s="323"/>
      <c r="AL425" s="323"/>
      <c r="AM425" s="326">
        <f t="shared" si="15"/>
        <v>180</v>
      </c>
      <c r="AN425" s="327">
        <f t="shared" si="16"/>
        <v>0.24127040646</v>
      </c>
      <c r="AO425" s="323"/>
      <c r="AP425" s="323"/>
      <c r="AQ425" s="328"/>
    </row>
    <row r="426" spans="1:43">
      <c r="A426" s="351" t="s">
        <v>209</v>
      </c>
      <c r="B426" s="323">
        <v>15.9</v>
      </c>
      <c r="C426" s="323">
        <v>161.9</v>
      </c>
      <c r="D426" s="323">
        <v>295.3</v>
      </c>
      <c r="E426" s="323">
        <v>50</v>
      </c>
      <c r="F426" s="323"/>
      <c r="G426" s="354">
        <v>45799</v>
      </c>
      <c r="H426" s="323"/>
      <c r="I426" s="323"/>
      <c r="J426" s="323"/>
      <c r="K426" s="323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  <c r="AA426" s="323"/>
      <c r="AB426" s="323"/>
      <c r="AC426" s="323"/>
      <c r="AD426" s="323"/>
      <c r="AE426" s="323"/>
      <c r="AF426" s="323"/>
      <c r="AG426" s="323"/>
      <c r="AH426" s="323"/>
      <c r="AI426" s="323"/>
      <c r="AJ426" s="323"/>
      <c r="AK426" s="323"/>
      <c r="AL426" s="323"/>
      <c r="AM426" s="326">
        <f t="shared" si="15"/>
        <v>50</v>
      </c>
      <c r="AN426" s="327">
        <f t="shared" si="16"/>
        <v>3.8008210649999999E-2</v>
      </c>
      <c r="AO426" s="323"/>
      <c r="AP426" s="323"/>
      <c r="AQ426" s="328"/>
    </row>
    <row r="427" spans="1:43">
      <c r="A427" s="351" t="s">
        <v>209</v>
      </c>
      <c r="B427" s="323">
        <v>15.9</v>
      </c>
      <c r="C427" s="323">
        <v>161.9</v>
      </c>
      <c r="D427" s="323">
        <v>271.5</v>
      </c>
      <c r="E427" s="323">
        <v>150</v>
      </c>
      <c r="F427" s="323"/>
      <c r="G427" s="354">
        <v>45799</v>
      </c>
      <c r="H427" s="323"/>
      <c r="I427" s="323"/>
      <c r="J427" s="323"/>
      <c r="K427" s="323"/>
      <c r="L427" s="323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  <c r="W427" s="323"/>
      <c r="X427" s="323"/>
      <c r="Y427" s="323"/>
      <c r="Z427" s="323"/>
      <c r="AA427" s="323"/>
      <c r="AB427" s="323"/>
      <c r="AC427" s="323"/>
      <c r="AD427" s="323"/>
      <c r="AE427" s="323"/>
      <c r="AF427" s="323"/>
      <c r="AG427" s="323"/>
      <c r="AH427" s="323"/>
      <c r="AI427" s="323"/>
      <c r="AJ427" s="323"/>
      <c r="AK427" s="323"/>
      <c r="AL427" s="323"/>
      <c r="AM427" s="326">
        <f t="shared" si="15"/>
        <v>150</v>
      </c>
      <c r="AN427" s="327">
        <f t="shared" si="16"/>
        <v>0.10483470224999999</v>
      </c>
      <c r="AO427" s="323"/>
      <c r="AP427" s="323"/>
      <c r="AQ427" s="328"/>
    </row>
    <row r="428" spans="1:43">
      <c r="A428" s="351" t="s">
        <v>209</v>
      </c>
      <c r="B428" s="323">
        <v>15.9</v>
      </c>
      <c r="C428" s="323">
        <v>254</v>
      </c>
      <c r="D428" s="323">
        <v>523.9</v>
      </c>
      <c r="E428" s="323">
        <v>40</v>
      </c>
      <c r="F428" s="323"/>
      <c r="G428" s="354">
        <v>45799</v>
      </c>
      <c r="H428" s="323"/>
      <c r="I428" s="323"/>
      <c r="J428" s="323"/>
      <c r="K428" s="323"/>
      <c r="L428" s="323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  <c r="W428" s="323"/>
      <c r="X428" s="323"/>
      <c r="Y428" s="323"/>
      <c r="Z428" s="323"/>
      <c r="AA428" s="323"/>
      <c r="AB428" s="323"/>
      <c r="AC428" s="323"/>
      <c r="AD428" s="323"/>
      <c r="AE428" s="323"/>
      <c r="AF428" s="323"/>
      <c r="AG428" s="323"/>
      <c r="AH428" s="323"/>
      <c r="AI428" s="323"/>
      <c r="AJ428" s="323"/>
      <c r="AK428" s="323"/>
      <c r="AL428" s="323"/>
      <c r="AM428" s="326">
        <f t="shared" si="15"/>
        <v>40</v>
      </c>
      <c r="AN428" s="327">
        <f t="shared" si="16"/>
        <v>8.4632901599999991E-2</v>
      </c>
      <c r="AO428" s="323"/>
      <c r="AP428" s="323"/>
      <c r="AQ428" s="328"/>
    </row>
    <row r="429" spans="1:43">
      <c r="A429" s="351" t="s">
        <v>209</v>
      </c>
      <c r="B429" s="323">
        <v>15.9</v>
      </c>
      <c r="C429" s="323">
        <v>254</v>
      </c>
      <c r="D429" s="323">
        <v>444.5</v>
      </c>
      <c r="E429" s="323">
        <v>70</v>
      </c>
      <c r="F429" s="323"/>
      <c r="G429" s="354">
        <v>45799</v>
      </c>
      <c r="H429" s="323"/>
      <c r="I429" s="323"/>
      <c r="J429" s="323"/>
      <c r="K429" s="323"/>
      <c r="L429" s="323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  <c r="W429" s="323"/>
      <c r="X429" s="323"/>
      <c r="Y429" s="323"/>
      <c r="Z429" s="323"/>
      <c r="AA429" s="323"/>
      <c r="AB429" s="323"/>
      <c r="AC429" s="323"/>
      <c r="AD429" s="323"/>
      <c r="AE429" s="323"/>
      <c r="AF429" s="323"/>
      <c r="AG429" s="323"/>
      <c r="AH429" s="323"/>
      <c r="AI429" s="323"/>
      <c r="AJ429" s="323"/>
      <c r="AK429" s="323"/>
      <c r="AL429" s="323"/>
      <c r="AM429" s="326">
        <f t="shared" si="15"/>
        <v>70</v>
      </c>
      <c r="AN429" s="327">
        <f t="shared" si="16"/>
        <v>0.125661039</v>
      </c>
      <c r="AO429" s="323"/>
      <c r="AP429" s="323"/>
      <c r="AQ429" s="328"/>
    </row>
    <row r="430" spans="1:43">
      <c r="A430" s="351" t="s">
        <v>209</v>
      </c>
      <c r="B430" s="323">
        <v>15.9</v>
      </c>
      <c r="C430" s="323">
        <v>254</v>
      </c>
      <c r="D430" s="323">
        <v>447.7</v>
      </c>
      <c r="E430" s="323">
        <v>10</v>
      </c>
      <c r="F430" s="323"/>
      <c r="G430" s="354">
        <v>45799</v>
      </c>
      <c r="H430" s="323"/>
      <c r="I430" s="323"/>
      <c r="J430" s="323"/>
      <c r="K430" s="323"/>
      <c r="L430" s="323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  <c r="W430" s="323"/>
      <c r="X430" s="323"/>
      <c r="Y430" s="323"/>
      <c r="Z430" s="323"/>
      <c r="AA430" s="323"/>
      <c r="AB430" s="323"/>
      <c r="AC430" s="323"/>
      <c r="AD430" s="323"/>
      <c r="AE430" s="323"/>
      <c r="AF430" s="323"/>
      <c r="AG430" s="323"/>
      <c r="AH430" s="323"/>
      <c r="AI430" s="323"/>
      <c r="AJ430" s="323"/>
      <c r="AK430" s="323"/>
      <c r="AL430" s="323"/>
      <c r="AM430" s="326">
        <f t="shared" si="15"/>
        <v>10</v>
      </c>
      <c r="AN430" s="327">
        <f t="shared" si="16"/>
        <v>1.8080812200000001E-2</v>
      </c>
      <c r="AO430" s="323"/>
      <c r="AP430" s="323"/>
      <c r="AQ430" s="328"/>
    </row>
    <row r="431" spans="1:43">
      <c r="A431" s="351" t="s">
        <v>209</v>
      </c>
      <c r="B431" s="323">
        <v>15.9</v>
      </c>
      <c r="C431" s="323">
        <v>85.7</v>
      </c>
      <c r="D431" s="323">
        <v>752.5</v>
      </c>
      <c r="E431" s="323">
        <v>160</v>
      </c>
      <c r="F431" s="323"/>
      <c r="G431" s="354">
        <v>45799</v>
      </c>
      <c r="H431" s="323"/>
      <c r="I431" s="323"/>
      <c r="J431" s="323"/>
      <c r="K431" s="323"/>
      <c r="L431" s="323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  <c r="W431" s="323"/>
      <c r="X431" s="323"/>
      <c r="Y431" s="323"/>
      <c r="Z431" s="323"/>
      <c r="AA431" s="323"/>
      <c r="AB431" s="323"/>
      <c r="AC431" s="323"/>
      <c r="AD431" s="323"/>
      <c r="AE431" s="323"/>
      <c r="AF431" s="323"/>
      <c r="AG431" s="323"/>
      <c r="AH431" s="323"/>
      <c r="AI431" s="323"/>
      <c r="AJ431" s="323"/>
      <c r="AK431" s="323"/>
      <c r="AL431" s="323"/>
      <c r="AM431" s="326">
        <f t="shared" si="15"/>
        <v>160</v>
      </c>
      <c r="AN431" s="327">
        <f t="shared" si="16"/>
        <v>0.164060652</v>
      </c>
      <c r="AO431" s="323"/>
      <c r="AP431" s="323"/>
      <c r="AQ431" s="328"/>
    </row>
    <row r="432" spans="1:43">
      <c r="A432" s="351" t="s">
        <v>209</v>
      </c>
      <c r="B432" s="323">
        <v>15.9</v>
      </c>
      <c r="C432" s="323">
        <v>85.7</v>
      </c>
      <c r="D432" s="323">
        <v>654.1</v>
      </c>
      <c r="E432" s="323">
        <v>40</v>
      </c>
      <c r="F432" s="323"/>
      <c r="G432" s="354">
        <v>45799</v>
      </c>
      <c r="H432" s="323"/>
      <c r="I432" s="323"/>
      <c r="J432" s="323"/>
      <c r="K432" s="323"/>
      <c r="L432" s="323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  <c r="W432" s="323"/>
      <c r="X432" s="323"/>
      <c r="Y432" s="323"/>
      <c r="Z432" s="323"/>
      <c r="AA432" s="323"/>
      <c r="AB432" s="323"/>
      <c r="AC432" s="323"/>
      <c r="AD432" s="323"/>
      <c r="AE432" s="323"/>
      <c r="AF432" s="323"/>
      <c r="AG432" s="323"/>
      <c r="AH432" s="323"/>
      <c r="AI432" s="323"/>
      <c r="AJ432" s="323"/>
      <c r="AK432" s="323"/>
      <c r="AL432" s="323"/>
      <c r="AM432" s="326">
        <f t="shared" si="15"/>
        <v>40</v>
      </c>
      <c r="AN432" s="327">
        <f t="shared" si="16"/>
        <v>3.5651851319999997E-2</v>
      </c>
      <c r="AO432" s="323"/>
      <c r="AP432" s="323"/>
      <c r="AQ432" s="328"/>
    </row>
    <row r="433" spans="1:43">
      <c r="A433" s="351" t="s">
        <v>209</v>
      </c>
      <c r="B433" s="323">
        <v>15.9</v>
      </c>
      <c r="C433" s="323">
        <v>161.9</v>
      </c>
      <c r="D433" s="323">
        <v>295.3</v>
      </c>
      <c r="E433" s="323">
        <v>10</v>
      </c>
      <c r="F433" s="323"/>
      <c r="G433" s="354">
        <v>45799</v>
      </c>
      <c r="H433" s="323"/>
      <c r="I433" s="323"/>
      <c r="J433" s="323"/>
      <c r="K433" s="323"/>
      <c r="L433" s="323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  <c r="W433" s="323"/>
      <c r="X433" s="323"/>
      <c r="Y433" s="323"/>
      <c r="Z433" s="323"/>
      <c r="AA433" s="323"/>
      <c r="AB433" s="323"/>
      <c r="AC433" s="323"/>
      <c r="AD433" s="323"/>
      <c r="AE433" s="323"/>
      <c r="AF433" s="323"/>
      <c r="AG433" s="323"/>
      <c r="AH433" s="323"/>
      <c r="AI433" s="323"/>
      <c r="AJ433" s="323"/>
      <c r="AK433" s="323"/>
      <c r="AL433" s="323"/>
      <c r="AM433" s="326">
        <f t="shared" si="15"/>
        <v>10</v>
      </c>
      <c r="AN433" s="327">
        <f t="shared" si="16"/>
        <v>7.6016421299999999E-3</v>
      </c>
      <c r="AO433" s="323"/>
      <c r="AP433" s="323"/>
      <c r="AQ433" s="328"/>
    </row>
    <row r="434" spans="1:43">
      <c r="A434" s="351" t="s">
        <v>209</v>
      </c>
      <c r="B434" s="323">
        <v>15.9</v>
      </c>
      <c r="C434" s="323">
        <v>161.9</v>
      </c>
      <c r="D434" s="323">
        <v>444.5</v>
      </c>
      <c r="E434" s="323">
        <v>150</v>
      </c>
      <c r="F434" s="323"/>
      <c r="G434" s="354">
        <v>45799</v>
      </c>
      <c r="H434" s="323"/>
      <c r="I434" s="323"/>
      <c r="J434" s="323"/>
      <c r="K434" s="323"/>
      <c r="L434" s="323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  <c r="W434" s="323"/>
      <c r="X434" s="323"/>
      <c r="Y434" s="323"/>
      <c r="Z434" s="323"/>
      <c r="AA434" s="323"/>
      <c r="AB434" s="323"/>
      <c r="AC434" s="323"/>
      <c r="AD434" s="323"/>
      <c r="AE434" s="323"/>
      <c r="AF434" s="323"/>
      <c r="AG434" s="323"/>
      <c r="AH434" s="323"/>
      <c r="AI434" s="323"/>
      <c r="AJ434" s="323"/>
      <c r="AK434" s="323"/>
      <c r="AL434" s="323"/>
      <c r="AM434" s="326">
        <f t="shared" si="15"/>
        <v>150</v>
      </c>
      <c r="AN434" s="327">
        <f t="shared" si="16"/>
        <v>0.17163545175</v>
      </c>
      <c r="AO434" s="323"/>
      <c r="AP434" s="323"/>
      <c r="AQ434" s="328"/>
    </row>
    <row r="435" spans="1:43">
      <c r="A435" s="351" t="s">
        <v>209</v>
      </c>
      <c r="B435" s="323">
        <v>15.9</v>
      </c>
      <c r="C435" s="323">
        <v>161.9</v>
      </c>
      <c r="D435" s="323">
        <v>676.3</v>
      </c>
      <c r="E435" s="323">
        <v>40</v>
      </c>
      <c r="F435" s="323"/>
      <c r="G435" s="354">
        <v>45799</v>
      </c>
      <c r="H435" s="323"/>
      <c r="I435" s="323"/>
      <c r="J435" s="323"/>
      <c r="K435" s="323"/>
      <c r="L435" s="323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  <c r="W435" s="323"/>
      <c r="X435" s="323"/>
      <c r="Y435" s="323"/>
      <c r="Z435" s="323"/>
      <c r="AA435" s="323"/>
      <c r="AB435" s="323"/>
      <c r="AC435" s="323"/>
      <c r="AD435" s="323"/>
      <c r="AE435" s="323"/>
      <c r="AF435" s="323"/>
      <c r="AG435" s="323"/>
      <c r="AH435" s="323"/>
      <c r="AI435" s="323"/>
      <c r="AJ435" s="323"/>
      <c r="AK435" s="323"/>
      <c r="AL435" s="323"/>
      <c r="AM435" s="326">
        <f t="shared" si="15"/>
        <v>40</v>
      </c>
      <c r="AN435" s="327">
        <f t="shared" si="16"/>
        <v>6.9637528919999997E-2</v>
      </c>
      <c r="AO435" s="323"/>
      <c r="AP435" s="323"/>
      <c r="AQ435" s="328"/>
    </row>
    <row r="436" spans="1:43">
      <c r="A436" s="351" t="s">
        <v>209</v>
      </c>
      <c r="B436" s="323">
        <v>15.9</v>
      </c>
      <c r="C436" s="323">
        <v>161.9</v>
      </c>
      <c r="D436" s="323">
        <v>447.7</v>
      </c>
      <c r="E436" s="323">
        <v>70</v>
      </c>
      <c r="F436" s="323"/>
      <c r="G436" s="354">
        <v>45799</v>
      </c>
      <c r="H436" s="323"/>
      <c r="I436" s="323"/>
      <c r="J436" s="323"/>
      <c r="K436" s="323"/>
      <c r="L436" s="323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  <c r="W436" s="323"/>
      <c r="X436" s="323"/>
      <c r="Y436" s="323"/>
      <c r="Z436" s="323"/>
      <c r="AA436" s="323"/>
      <c r="AB436" s="323"/>
      <c r="AC436" s="323"/>
      <c r="AD436" s="323"/>
      <c r="AE436" s="323"/>
      <c r="AF436" s="323"/>
      <c r="AG436" s="323"/>
      <c r="AH436" s="323"/>
      <c r="AI436" s="323"/>
      <c r="AJ436" s="323"/>
      <c r="AK436" s="323"/>
      <c r="AL436" s="323"/>
      <c r="AM436" s="326">
        <f t="shared" si="15"/>
        <v>70</v>
      </c>
      <c r="AN436" s="327">
        <f t="shared" si="16"/>
        <v>8.0673167189999992E-2</v>
      </c>
      <c r="AO436" s="323"/>
      <c r="AP436" s="323"/>
      <c r="AQ436" s="328"/>
    </row>
    <row r="437" spans="1:43">
      <c r="A437" s="351" t="s">
        <v>209</v>
      </c>
      <c r="B437" s="323">
        <v>15.9</v>
      </c>
      <c r="C437" s="323">
        <v>254</v>
      </c>
      <c r="D437" s="323">
        <v>1133.5</v>
      </c>
      <c r="E437" s="323">
        <v>46</v>
      </c>
      <c r="F437" s="323"/>
      <c r="G437" s="354">
        <v>45799</v>
      </c>
      <c r="H437" s="323"/>
      <c r="I437" s="323"/>
      <c r="J437" s="323"/>
      <c r="K437" s="323"/>
      <c r="L437" s="323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  <c r="W437" s="323"/>
      <c r="X437" s="323"/>
      <c r="Y437" s="323"/>
      <c r="Z437" s="323"/>
      <c r="AA437" s="323"/>
      <c r="AB437" s="323"/>
      <c r="AC437" s="323"/>
      <c r="AD437" s="323"/>
      <c r="AE437" s="323"/>
      <c r="AF437" s="323"/>
      <c r="AG437" s="323"/>
      <c r="AH437" s="323"/>
      <c r="AI437" s="323"/>
      <c r="AJ437" s="323"/>
      <c r="AK437" s="323"/>
      <c r="AL437" s="323"/>
      <c r="AM437" s="326">
        <f t="shared" si="15"/>
        <v>46</v>
      </c>
      <c r="AN437" s="327">
        <f t="shared" si="16"/>
        <v>0.2105766426</v>
      </c>
      <c r="AO437" s="323"/>
      <c r="AP437" s="323"/>
      <c r="AQ437" s="328"/>
    </row>
    <row r="438" spans="1:43">
      <c r="A438" s="351" t="s">
        <v>209</v>
      </c>
      <c r="B438" s="323">
        <v>15.9</v>
      </c>
      <c r="C438" s="323">
        <v>161.9</v>
      </c>
      <c r="D438" s="323">
        <v>1133.5</v>
      </c>
      <c r="E438" s="323">
        <v>26</v>
      </c>
      <c r="F438" s="323"/>
      <c r="G438" s="354">
        <v>45799</v>
      </c>
      <c r="H438" s="323"/>
      <c r="I438" s="323"/>
      <c r="J438" s="323"/>
      <c r="K438" s="323"/>
      <c r="L438" s="323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  <c r="W438" s="323"/>
      <c r="X438" s="323"/>
      <c r="Y438" s="323"/>
      <c r="Z438" s="323"/>
      <c r="AA438" s="323"/>
      <c r="AB438" s="323"/>
      <c r="AC438" s="323"/>
      <c r="AD438" s="323"/>
      <c r="AE438" s="323"/>
      <c r="AF438" s="323"/>
      <c r="AG438" s="323"/>
      <c r="AH438" s="323"/>
      <c r="AI438" s="323"/>
      <c r="AJ438" s="323"/>
      <c r="AK438" s="323"/>
      <c r="AL438" s="323"/>
      <c r="AM438" s="326">
        <f t="shared" ref="AM438:AM445" si="17">E438-H438-I438-J438-K438-L438-M438-N438-O438-P438-Q438-R438-S438-T438-U438-V438-W438-X438-Y438-Z438-AA438-AB438-AC438-AD438-AE438-AF438-AG438-AH438-AI438-AJ438-AK438-AL438</f>
        <v>26</v>
      </c>
      <c r="AN438" s="327">
        <f t="shared" si="16"/>
        <v>7.5864542909999999E-2</v>
      </c>
      <c r="AO438" s="323"/>
      <c r="AP438" s="323"/>
      <c r="AQ438" s="328"/>
    </row>
    <row r="439" spans="1:43">
      <c r="A439" s="351" t="s">
        <v>209</v>
      </c>
      <c r="B439" s="323">
        <v>15.9</v>
      </c>
      <c r="C439" s="323">
        <v>85.7</v>
      </c>
      <c r="D439" s="323">
        <v>600.1</v>
      </c>
      <c r="E439" s="323">
        <v>260</v>
      </c>
      <c r="F439" s="323"/>
      <c r="G439" s="354">
        <v>45799</v>
      </c>
      <c r="H439" s="323"/>
      <c r="I439" s="323"/>
      <c r="J439" s="323"/>
      <c r="K439" s="323"/>
      <c r="L439" s="323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  <c r="W439" s="323"/>
      <c r="X439" s="323"/>
      <c r="Y439" s="323"/>
      <c r="Z439" s="323"/>
      <c r="AA439" s="323"/>
      <c r="AB439" s="323"/>
      <c r="AC439" s="323"/>
      <c r="AD439" s="323"/>
      <c r="AE439" s="323"/>
      <c r="AF439" s="323"/>
      <c r="AG439" s="323"/>
      <c r="AH439" s="323"/>
      <c r="AI439" s="323"/>
      <c r="AJ439" s="323"/>
      <c r="AK439" s="323"/>
      <c r="AL439" s="323"/>
      <c r="AM439" s="326">
        <f t="shared" si="17"/>
        <v>260</v>
      </c>
      <c r="AN439" s="327">
        <f t="shared" si="16"/>
        <v>0.21260570838000004</v>
      </c>
      <c r="AO439" s="323"/>
      <c r="AP439" s="323"/>
      <c r="AQ439" s="328"/>
    </row>
    <row r="440" spans="1:43">
      <c r="A440" s="351" t="s">
        <v>209</v>
      </c>
      <c r="B440" s="323">
        <v>15.9</v>
      </c>
      <c r="C440" s="323">
        <v>161.9</v>
      </c>
      <c r="D440" s="323">
        <v>295.3</v>
      </c>
      <c r="E440" s="323">
        <v>440</v>
      </c>
      <c r="F440" s="323"/>
      <c r="G440" s="354">
        <v>45799</v>
      </c>
      <c r="H440" s="323"/>
      <c r="I440" s="323"/>
      <c r="J440" s="323"/>
      <c r="K440" s="323"/>
      <c r="L440" s="323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  <c r="W440" s="323"/>
      <c r="X440" s="323"/>
      <c r="Y440" s="323"/>
      <c r="Z440" s="323"/>
      <c r="AA440" s="323"/>
      <c r="AB440" s="323"/>
      <c r="AC440" s="323"/>
      <c r="AD440" s="323"/>
      <c r="AE440" s="323"/>
      <c r="AF440" s="323"/>
      <c r="AG440" s="323"/>
      <c r="AH440" s="323"/>
      <c r="AI440" s="323"/>
      <c r="AJ440" s="323"/>
      <c r="AK440" s="323"/>
      <c r="AL440" s="323"/>
      <c r="AM440" s="326">
        <f t="shared" si="17"/>
        <v>440</v>
      </c>
      <c r="AN440" s="327">
        <f t="shared" si="16"/>
        <v>0.33447225371999995</v>
      </c>
      <c r="AO440" s="323"/>
      <c r="AP440" s="323"/>
      <c r="AQ440" s="328"/>
    </row>
    <row r="441" spans="1:43">
      <c r="A441" s="351" t="s">
        <v>209</v>
      </c>
      <c r="B441" s="323">
        <v>15.9</v>
      </c>
      <c r="C441" s="323">
        <v>161.9</v>
      </c>
      <c r="D441" s="323">
        <v>295.3</v>
      </c>
      <c r="E441" s="323">
        <v>576</v>
      </c>
      <c r="F441" s="323"/>
      <c r="G441" s="354">
        <v>45799</v>
      </c>
      <c r="H441" s="323"/>
      <c r="I441" s="323"/>
      <c r="J441" s="323"/>
      <c r="K441" s="323"/>
      <c r="L441" s="323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  <c r="W441" s="323"/>
      <c r="X441" s="323"/>
      <c r="Y441" s="323"/>
      <c r="Z441" s="323"/>
      <c r="AA441" s="323"/>
      <c r="AB441" s="323"/>
      <c r="AC441" s="323"/>
      <c r="AD441" s="323"/>
      <c r="AE441" s="323"/>
      <c r="AF441" s="323"/>
      <c r="AG441" s="323"/>
      <c r="AH441" s="323"/>
      <c r="AI441" s="323"/>
      <c r="AJ441" s="323"/>
      <c r="AK441" s="323"/>
      <c r="AL441" s="323"/>
      <c r="AM441" s="326">
        <f t="shared" si="17"/>
        <v>576</v>
      </c>
      <c r="AN441" s="327">
        <f t="shared" si="16"/>
        <v>0.43785458668799998</v>
      </c>
      <c r="AO441" s="323"/>
      <c r="AP441" s="323"/>
      <c r="AQ441" s="328"/>
    </row>
    <row r="442" spans="1:43">
      <c r="A442" s="351" t="s">
        <v>209</v>
      </c>
      <c r="B442" s="323">
        <v>15.9</v>
      </c>
      <c r="C442" s="323">
        <v>161.9</v>
      </c>
      <c r="D442" s="323">
        <v>295.3</v>
      </c>
      <c r="E442" s="323">
        <v>696</v>
      </c>
      <c r="F442" s="323"/>
      <c r="G442" s="354">
        <v>45799</v>
      </c>
      <c r="H442" s="323"/>
      <c r="I442" s="323"/>
      <c r="J442" s="323"/>
      <c r="K442" s="323"/>
      <c r="L442" s="323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  <c r="W442" s="323"/>
      <c r="X442" s="323"/>
      <c r="Y442" s="323"/>
      <c r="Z442" s="323"/>
      <c r="AA442" s="323"/>
      <c r="AB442" s="323"/>
      <c r="AC442" s="323"/>
      <c r="AD442" s="323"/>
      <c r="AE442" s="323"/>
      <c r="AF442" s="323"/>
      <c r="AG442" s="323"/>
      <c r="AH442" s="323"/>
      <c r="AI442" s="323"/>
      <c r="AJ442" s="323"/>
      <c r="AK442" s="323"/>
      <c r="AL442" s="323"/>
      <c r="AM442" s="326">
        <f t="shared" si="17"/>
        <v>696</v>
      </c>
      <c r="AN442" s="327">
        <f t="shared" si="16"/>
        <v>0.52907429224799996</v>
      </c>
      <c r="AO442" s="323"/>
      <c r="AP442" s="323"/>
      <c r="AQ442" s="328"/>
    </row>
    <row r="443" spans="1:43">
      <c r="A443" s="351" t="s">
        <v>209</v>
      </c>
      <c r="B443" s="323">
        <v>15.9</v>
      </c>
      <c r="C443" s="323">
        <v>161.9</v>
      </c>
      <c r="D443" s="323">
        <v>523.9</v>
      </c>
      <c r="E443" s="323">
        <v>130</v>
      </c>
      <c r="F443" s="323"/>
      <c r="G443" s="354">
        <v>45799</v>
      </c>
      <c r="H443" s="323"/>
      <c r="I443" s="323"/>
      <c r="J443" s="323"/>
      <c r="K443" s="323"/>
      <c r="L443" s="323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  <c r="W443" s="323"/>
      <c r="X443" s="323"/>
      <c r="Y443" s="323"/>
      <c r="Z443" s="323"/>
      <c r="AA443" s="323"/>
      <c r="AB443" s="323"/>
      <c r="AC443" s="323"/>
      <c r="AD443" s="323"/>
      <c r="AE443" s="323"/>
      <c r="AF443" s="323"/>
      <c r="AG443" s="323"/>
      <c r="AH443" s="323"/>
      <c r="AI443" s="323"/>
      <c r="AJ443" s="323"/>
      <c r="AK443" s="323"/>
      <c r="AL443" s="323"/>
      <c r="AM443" s="326">
        <f t="shared" si="17"/>
        <v>130</v>
      </c>
      <c r="AN443" s="327">
        <f t="shared" si="16"/>
        <v>0.17532172047</v>
      </c>
      <c r="AO443" s="323"/>
      <c r="AP443" s="323"/>
      <c r="AQ443" s="328"/>
    </row>
    <row r="444" spans="1:43">
      <c r="A444" s="351" t="s">
        <v>209</v>
      </c>
      <c r="B444" s="323">
        <v>15.9</v>
      </c>
      <c r="C444" s="323">
        <v>85.7</v>
      </c>
      <c r="D444" s="323">
        <v>349.3</v>
      </c>
      <c r="E444" s="323">
        <v>80</v>
      </c>
      <c r="F444" s="323"/>
      <c r="G444" s="354">
        <v>45799</v>
      </c>
      <c r="H444" s="323"/>
      <c r="I444" s="323"/>
      <c r="J444" s="323"/>
      <c r="K444" s="323"/>
      <c r="L444" s="323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  <c r="W444" s="323"/>
      <c r="X444" s="323"/>
      <c r="Y444" s="323"/>
      <c r="Z444" s="323"/>
      <c r="AA444" s="323"/>
      <c r="AB444" s="323"/>
      <c r="AC444" s="323"/>
      <c r="AD444" s="323"/>
      <c r="AE444" s="323"/>
      <c r="AF444" s="323"/>
      <c r="AG444" s="323"/>
      <c r="AH444" s="323"/>
      <c r="AI444" s="323"/>
      <c r="AJ444" s="323"/>
      <c r="AK444" s="323"/>
      <c r="AL444" s="323"/>
      <c r="AM444" s="326">
        <f t="shared" si="17"/>
        <v>80</v>
      </c>
      <c r="AN444" s="327">
        <f t="shared" si="16"/>
        <v>3.8077332720000009E-2</v>
      </c>
      <c r="AO444" s="323"/>
      <c r="AP444" s="323"/>
      <c r="AQ444" s="328"/>
    </row>
    <row r="445" spans="1:43">
      <c r="A445" s="351" t="s">
        <v>209</v>
      </c>
      <c r="B445" s="323">
        <v>15.9</v>
      </c>
      <c r="C445" s="323">
        <v>85.7</v>
      </c>
      <c r="D445" s="323">
        <v>295.3</v>
      </c>
      <c r="E445" s="323">
        <v>312</v>
      </c>
      <c r="F445" s="323"/>
      <c r="G445" s="354">
        <v>45799</v>
      </c>
      <c r="H445" s="323"/>
      <c r="I445" s="323"/>
      <c r="J445" s="323"/>
      <c r="K445" s="323"/>
      <c r="L445" s="323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  <c r="W445" s="323"/>
      <c r="X445" s="323"/>
      <c r="Y445" s="323"/>
      <c r="Z445" s="323"/>
      <c r="AA445" s="323"/>
      <c r="AB445" s="323"/>
      <c r="AC445" s="323"/>
      <c r="AD445" s="323"/>
      <c r="AE445" s="323"/>
      <c r="AF445" s="323"/>
      <c r="AG445" s="323"/>
      <c r="AH445" s="323"/>
      <c r="AI445" s="323"/>
      <c r="AJ445" s="323"/>
      <c r="AK445" s="323"/>
      <c r="AL445" s="323"/>
      <c r="AM445" s="326">
        <f t="shared" si="17"/>
        <v>312</v>
      </c>
      <c r="AN445" s="327">
        <f t="shared" si="16"/>
        <v>0.125544007368</v>
      </c>
      <c r="AO445" s="323"/>
      <c r="AP445" s="323"/>
      <c r="AQ445" s="328"/>
    </row>
    <row r="446" spans="1:43">
      <c r="A446" s="357" t="s">
        <v>209</v>
      </c>
      <c r="B446" s="358">
        <v>15.5</v>
      </c>
      <c r="C446" s="358">
        <v>101</v>
      </c>
      <c r="D446" s="358">
        <v>1219</v>
      </c>
      <c r="E446" s="358">
        <v>350</v>
      </c>
      <c r="F446" s="358"/>
      <c r="G446" s="359">
        <v>43800</v>
      </c>
      <c r="H446" s="358"/>
      <c r="I446" s="358"/>
      <c r="J446" s="358"/>
      <c r="K446" s="358"/>
      <c r="L446" s="358"/>
      <c r="M446" s="358">
        <v>350</v>
      </c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  <c r="AA446" s="358"/>
      <c r="AB446" s="358"/>
      <c r="AC446" s="358"/>
      <c r="AD446" s="358"/>
      <c r="AE446" s="358"/>
      <c r="AF446" s="358"/>
      <c r="AG446" s="358"/>
      <c r="AH446" s="358"/>
      <c r="AI446" s="358"/>
      <c r="AJ446" s="358"/>
      <c r="AK446" s="358"/>
      <c r="AL446" s="358"/>
      <c r="AM446" s="326"/>
      <c r="AN446" s="327"/>
      <c r="AO446" s="323"/>
      <c r="AP446" s="323"/>
      <c r="AQ446" s="328"/>
    </row>
    <row r="447" spans="1:43">
      <c r="A447" s="357" t="s">
        <v>209</v>
      </c>
      <c r="B447" s="358">
        <v>15.5</v>
      </c>
      <c r="C447" s="358">
        <v>281.39999999999998</v>
      </c>
      <c r="D447" s="358">
        <v>1229.2</v>
      </c>
      <c r="E447" s="358">
        <v>300</v>
      </c>
      <c r="F447" s="358"/>
      <c r="G447" s="359">
        <v>43800</v>
      </c>
      <c r="H447" s="358"/>
      <c r="I447" s="358"/>
      <c r="J447" s="358"/>
      <c r="K447" s="358"/>
      <c r="L447" s="358"/>
      <c r="M447" s="358"/>
      <c r="N447" s="358">
        <v>82</v>
      </c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  <c r="AA447" s="358"/>
      <c r="AB447" s="358"/>
      <c r="AC447" s="358"/>
      <c r="AD447" s="358"/>
      <c r="AE447" s="358"/>
      <c r="AF447" s="358"/>
      <c r="AG447" s="358"/>
      <c r="AH447" s="358"/>
      <c r="AI447" s="358"/>
      <c r="AJ447" s="358"/>
      <c r="AK447" s="358"/>
      <c r="AL447" s="358"/>
      <c r="AM447" s="326">
        <f>E447-H447-I447-J447-K447-L447-M447-N447-O447-P447-Q447-R447-S447-T447-U447-V447-W447-X447-Y447-Z447-AA447-AB447-AC447-AD447-AE447-AF447-AG447-AH447-AI447-AJ447-AK447-AL447</f>
        <v>218</v>
      </c>
      <c r="AN447" s="360">
        <f t="shared" ref="AN447:AN464" si="18">B447*C447*D447*AM447/1000000000</f>
        <v>1.1687855575199999</v>
      </c>
      <c r="AO447" s="323"/>
      <c r="AP447" s="323"/>
      <c r="AQ447" s="328"/>
    </row>
    <row r="448" spans="1:43">
      <c r="A448" s="351" t="s">
        <v>210</v>
      </c>
      <c r="B448" s="323">
        <v>2300</v>
      </c>
      <c r="C448" s="323">
        <v>800</v>
      </c>
      <c r="D448" s="323">
        <v>1400</v>
      </c>
      <c r="E448" s="323">
        <v>1</v>
      </c>
      <c r="F448" s="323"/>
      <c r="G448" s="354">
        <v>45785</v>
      </c>
      <c r="H448" s="323"/>
      <c r="I448" s="323"/>
      <c r="J448" s="323"/>
      <c r="K448" s="323"/>
      <c r="L448" s="323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  <c r="W448" s="323"/>
      <c r="X448" s="323"/>
      <c r="Y448" s="323"/>
      <c r="Z448" s="323"/>
      <c r="AA448" s="323"/>
      <c r="AB448" s="323"/>
      <c r="AC448" s="323"/>
      <c r="AD448" s="323"/>
      <c r="AE448" s="323"/>
      <c r="AF448" s="323"/>
      <c r="AG448" s="323"/>
      <c r="AH448" s="323"/>
      <c r="AI448" s="323"/>
      <c r="AJ448" s="323"/>
      <c r="AK448" s="323"/>
      <c r="AL448" s="323"/>
      <c r="AM448" s="326"/>
      <c r="AN448" s="327">
        <f t="shared" si="18"/>
        <v>0</v>
      </c>
      <c r="AO448" s="323"/>
      <c r="AP448" s="323"/>
      <c r="AQ448" s="328"/>
    </row>
    <row r="449" spans="1:44">
      <c r="A449" s="351" t="s">
        <v>210</v>
      </c>
      <c r="B449" s="323">
        <v>2300</v>
      </c>
      <c r="C449" s="323">
        <v>800</v>
      </c>
      <c r="D449" s="323">
        <v>1400</v>
      </c>
      <c r="E449" s="323">
        <v>1</v>
      </c>
      <c r="F449" s="323"/>
      <c r="G449" s="354">
        <v>45785</v>
      </c>
      <c r="H449" s="323"/>
      <c r="I449" s="323"/>
      <c r="J449" s="323"/>
      <c r="K449" s="323"/>
      <c r="L449" s="323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  <c r="W449" s="323"/>
      <c r="X449" s="323"/>
      <c r="Y449" s="323"/>
      <c r="Z449" s="323"/>
      <c r="AA449" s="323"/>
      <c r="AB449" s="323"/>
      <c r="AC449" s="323"/>
      <c r="AD449" s="323"/>
      <c r="AE449" s="323"/>
      <c r="AF449" s="323"/>
      <c r="AG449" s="323"/>
      <c r="AH449" s="323"/>
      <c r="AI449" s="323"/>
      <c r="AJ449" s="323"/>
      <c r="AK449" s="323"/>
      <c r="AL449" s="323"/>
      <c r="AM449" s="326">
        <f>E449-H449-I449-J449-K449-L449-M449-N449-O449-P449-Q449-R449-S449-T449-U449-V449-W449-X449-Y449-Z449-AA449-AB449-AC449-AD449-AE449-AF449-AG449-AH449-AI449-AJ449-AK449-AL449</f>
        <v>1</v>
      </c>
      <c r="AN449" s="327">
        <f t="shared" si="18"/>
        <v>2.5760000000000001</v>
      </c>
      <c r="AO449" s="323"/>
      <c r="AP449" s="323"/>
      <c r="AQ449" s="328"/>
    </row>
    <row r="450" spans="1:44">
      <c r="A450" s="351" t="s">
        <v>210</v>
      </c>
      <c r="B450" s="323">
        <v>2300</v>
      </c>
      <c r="C450" s="323">
        <v>800</v>
      </c>
      <c r="D450" s="323">
        <v>1400</v>
      </c>
      <c r="E450" s="323">
        <v>1</v>
      </c>
      <c r="F450" s="323"/>
      <c r="G450" s="354">
        <v>45785</v>
      </c>
      <c r="H450" s="323"/>
      <c r="I450" s="323"/>
      <c r="J450" s="323"/>
      <c r="K450" s="323"/>
      <c r="L450" s="323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  <c r="W450" s="323"/>
      <c r="X450" s="323"/>
      <c r="Y450" s="323"/>
      <c r="Z450" s="323"/>
      <c r="AA450" s="323"/>
      <c r="AB450" s="323"/>
      <c r="AC450" s="323"/>
      <c r="AD450" s="323"/>
      <c r="AE450" s="323"/>
      <c r="AF450" s="323"/>
      <c r="AG450" s="323"/>
      <c r="AH450" s="323"/>
      <c r="AI450" s="323"/>
      <c r="AJ450" s="323"/>
      <c r="AK450" s="323"/>
      <c r="AL450" s="323"/>
      <c r="AM450" s="326"/>
      <c r="AN450" s="327">
        <f t="shared" si="18"/>
        <v>0</v>
      </c>
      <c r="AO450" s="323"/>
      <c r="AP450" s="323"/>
      <c r="AQ450" s="328"/>
    </row>
    <row r="451" spans="1:44">
      <c r="A451" s="351" t="s">
        <v>210</v>
      </c>
      <c r="B451" s="323">
        <v>2300</v>
      </c>
      <c r="C451" s="323">
        <v>800</v>
      </c>
      <c r="D451" s="323">
        <v>1400</v>
      </c>
      <c r="E451" s="323">
        <v>1</v>
      </c>
      <c r="F451" s="323"/>
      <c r="G451" s="354">
        <v>45785</v>
      </c>
      <c r="H451" s="323"/>
      <c r="I451" s="323"/>
      <c r="J451" s="323"/>
      <c r="K451" s="323"/>
      <c r="L451" s="323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  <c r="W451" s="323"/>
      <c r="X451" s="323"/>
      <c r="Y451" s="323"/>
      <c r="Z451" s="323"/>
      <c r="AA451" s="323"/>
      <c r="AB451" s="323"/>
      <c r="AC451" s="323"/>
      <c r="AD451" s="323"/>
      <c r="AE451" s="323"/>
      <c r="AF451" s="323"/>
      <c r="AG451" s="323"/>
      <c r="AH451" s="323"/>
      <c r="AI451" s="323"/>
      <c r="AJ451" s="323"/>
      <c r="AK451" s="323"/>
      <c r="AL451" s="323"/>
      <c r="AM451" s="326"/>
      <c r="AN451" s="327">
        <f t="shared" si="18"/>
        <v>0</v>
      </c>
      <c r="AO451" s="323"/>
      <c r="AP451" s="323"/>
      <c r="AQ451" s="328"/>
    </row>
    <row r="452" spans="1:44">
      <c r="A452" s="351" t="s">
        <v>210</v>
      </c>
      <c r="B452" s="323">
        <v>2300</v>
      </c>
      <c r="C452" s="323">
        <v>800</v>
      </c>
      <c r="D452" s="323">
        <v>1400</v>
      </c>
      <c r="E452" s="323">
        <v>1</v>
      </c>
      <c r="F452" s="323"/>
      <c r="G452" s="354">
        <v>45785</v>
      </c>
      <c r="H452" s="323"/>
      <c r="I452" s="323"/>
      <c r="J452" s="323"/>
      <c r="K452" s="323"/>
      <c r="L452" s="323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  <c r="W452" s="323"/>
      <c r="X452" s="323"/>
      <c r="Y452" s="323"/>
      <c r="Z452" s="323"/>
      <c r="AA452" s="323"/>
      <c r="AB452" s="323"/>
      <c r="AC452" s="323"/>
      <c r="AD452" s="323"/>
      <c r="AE452" s="323"/>
      <c r="AF452" s="323"/>
      <c r="AG452" s="323"/>
      <c r="AH452" s="323"/>
      <c r="AI452" s="323"/>
      <c r="AJ452" s="323"/>
      <c r="AK452" s="323"/>
      <c r="AL452" s="323"/>
      <c r="AM452" s="326">
        <f>E452-H452-I452-J452-K452-L452-M452-N452-O452-P452-Q452-R452-S452-T452-U452-V452-W452-X452-Y452-Z452-AA452-AB452-AC452-AD452-AE452-AF452-AG452-AH452-AI452-AJ452-AK452-AL452</f>
        <v>1</v>
      </c>
      <c r="AN452" s="327">
        <f t="shared" si="18"/>
        <v>2.5760000000000001</v>
      </c>
      <c r="AO452" s="323"/>
      <c r="AP452" s="323"/>
      <c r="AQ452" s="328"/>
    </row>
    <row r="453" spans="1:44">
      <c r="A453" s="351" t="s">
        <v>210</v>
      </c>
      <c r="B453" s="323">
        <v>2300</v>
      </c>
      <c r="C453" s="323">
        <v>800</v>
      </c>
      <c r="D453" s="323">
        <v>1400</v>
      </c>
      <c r="E453" s="323">
        <v>1</v>
      </c>
      <c r="F453" s="323"/>
      <c r="G453" s="354">
        <v>45785</v>
      </c>
      <c r="H453" s="323"/>
      <c r="I453" s="323"/>
      <c r="J453" s="323"/>
      <c r="K453" s="323"/>
      <c r="L453" s="323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323"/>
      <c r="AB453" s="323"/>
      <c r="AC453" s="323"/>
      <c r="AD453" s="323"/>
      <c r="AE453" s="323"/>
      <c r="AF453" s="323"/>
      <c r="AG453" s="323"/>
      <c r="AH453" s="323"/>
      <c r="AI453" s="323"/>
      <c r="AJ453" s="323"/>
      <c r="AK453" s="323"/>
      <c r="AL453" s="323"/>
      <c r="AM453" s="326">
        <f>E453-H453-I453-J453-K453-L453-M453-N453-O453-P453-Q453-R453-S453-T453-U453-V453-W453-X453-Y453-Z453-AA453-AB453-AC453-AD453-AE453-AF453-AG453-AH453-AI453-AJ453-AK453-AL453</f>
        <v>1</v>
      </c>
      <c r="AN453" s="327">
        <f t="shared" si="18"/>
        <v>2.5760000000000001</v>
      </c>
      <c r="AO453" s="323"/>
      <c r="AP453" s="323"/>
      <c r="AQ453" s="328"/>
    </row>
    <row r="454" spans="1:44">
      <c r="A454" s="351" t="s">
        <v>210</v>
      </c>
      <c r="B454" s="323">
        <v>2300</v>
      </c>
      <c r="C454" s="323">
        <v>800</v>
      </c>
      <c r="D454" s="323">
        <v>1400</v>
      </c>
      <c r="E454" s="323">
        <v>1</v>
      </c>
      <c r="F454" s="323"/>
      <c r="G454" s="354">
        <v>45785</v>
      </c>
      <c r="H454" s="323"/>
      <c r="I454" s="323"/>
      <c r="J454" s="323"/>
      <c r="K454" s="323"/>
      <c r="L454" s="323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  <c r="W454" s="323"/>
      <c r="X454" s="323"/>
      <c r="Y454" s="323"/>
      <c r="Z454" s="323"/>
      <c r="AA454" s="323"/>
      <c r="AB454" s="323"/>
      <c r="AC454" s="323"/>
      <c r="AD454" s="323"/>
      <c r="AE454" s="323"/>
      <c r="AF454" s="323"/>
      <c r="AG454" s="323"/>
      <c r="AH454" s="323"/>
      <c r="AI454" s="323"/>
      <c r="AJ454" s="323"/>
      <c r="AK454" s="323"/>
      <c r="AL454" s="323"/>
      <c r="AM454" s="326">
        <f>E454-H454-I454-J454-K454-L454-M454-N454-O454-P454-Q454-R454-S454-T454-U454-V454-W454-X454-Y454-Z454-AA454-AB454-AC454-AD454-AE454-AF454-AG454-AH454-AI454-AJ454-AK454-AL454</f>
        <v>1</v>
      </c>
      <c r="AN454" s="327">
        <f t="shared" si="18"/>
        <v>2.5760000000000001</v>
      </c>
      <c r="AO454" s="323"/>
      <c r="AP454" s="323"/>
      <c r="AQ454" s="328"/>
    </row>
    <row r="455" spans="1:44">
      <c r="A455" s="351" t="s">
        <v>210</v>
      </c>
      <c r="B455" s="323">
        <v>2300</v>
      </c>
      <c r="C455" s="323">
        <v>800</v>
      </c>
      <c r="D455" s="323">
        <v>1400</v>
      </c>
      <c r="E455" s="323">
        <v>1</v>
      </c>
      <c r="F455" s="323"/>
      <c r="G455" s="354">
        <v>45785</v>
      </c>
      <c r="H455" s="323"/>
      <c r="I455" s="323"/>
      <c r="J455" s="323"/>
      <c r="K455" s="323"/>
      <c r="L455" s="323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  <c r="W455" s="323"/>
      <c r="X455" s="323"/>
      <c r="Y455" s="323"/>
      <c r="Z455" s="323"/>
      <c r="AA455" s="323"/>
      <c r="AB455" s="323"/>
      <c r="AC455" s="323"/>
      <c r="AD455" s="323"/>
      <c r="AE455" s="323"/>
      <c r="AF455" s="323"/>
      <c r="AG455" s="323"/>
      <c r="AH455" s="323"/>
      <c r="AI455" s="323"/>
      <c r="AJ455" s="323"/>
      <c r="AK455" s="323"/>
      <c r="AL455" s="323"/>
      <c r="AM455" s="326">
        <f>E455-H455-I455-J455-K455-L455-M455-N455-O455-P455-Q455-R455-S455-T455-U455-V455-W455-X455-Y455-Z455-AA455-AB455-AC455-AD455-AE455-AF455-AG455-AH455-AI455-AJ455-AK455-AL455</f>
        <v>1</v>
      </c>
      <c r="AN455" s="327">
        <f t="shared" si="18"/>
        <v>2.5760000000000001</v>
      </c>
      <c r="AO455" s="323"/>
      <c r="AP455" s="323"/>
      <c r="AQ455" s="328"/>
    </row>
    <row r="456" spans="1:44">
      <c r="A456" s="351" t="s">
        <v>210</v>
      </c>
      <c r="B456" s="323">
        <v>2300</v>
      </c>
      <c r="C456" s="323">
        <v>800</v>
      </c>
      <c r="D456" s="323">
        <v>1400</v>
      </c>
      <c r="E456" s="323">
        <v>1</v>
      </c>
      <c r="F456" s="323"/>
      <c r="G456" s="354">
        <v>45785</v>
      </c>
      <c r="H456" s="323"/>
      <c r="I456" s="323"/>
      <c r="J456" s="323"/>
      <c r="K456" s="323"/>
      <c r="L456" s="323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  <c r="W456" s="323"/>
      <c r="X456" s="323"/>
      <c r="Y456" s="323"/>
      <c r="Z456" s="323"/>
      <c r="AA456" s="323"/>
      <c r="AB456" s="323"/>
      <c r="AC456" s="323"/>
      <c r="AD456" s="323"/>
      <c r="AE456" s="323"/>
      <c r="AF456" s="323"/>
      <c r="AG456" s="323"/>
      <c r="AH456" s="323"/>
      <c r="AI456" s="323"/>
      <c r="AJ456" s="323"/>
      <c r="AK456" s="323"/>
      <c r="AL456" s="323"/>
      <c r="AM456" s="326"/>
      <c r="AN456" s="327">
        <f t="shared" si="18"/>
        <v>0</v>
      </c>
      <c r="AO456" s="323"/>
      <c r="AP456" s="323"/>
      <c r="AQ456" s="328"/>
    </row>
    <row r="457" spans="1:44">
      <c r="A457" s="351" t="s">
        <v>210</v>
      </c>
      <c r="B457" s="323">
        <v>2300</v>
      </c>
      <c r="C457" s="323">
        <v>800</v>
      </c>
      <c r="D457" s="323">
        <v>1400</v>
      </c>
      <c r="E457" s="323">
        <v>1</v>
      </c>
      <c r="F457" s="323"/>
      <c r="G457" s="354">
        <v>45785</v>
      </c>
      <c r="H457" s="323"/>
      <c r="I457" s="323"/>
      <c r="J457" s="323"/>
      <c r="K457" s="323"/>
      <c r="L457" s="323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  <c r="W457" s="323"/>
      <c r="X457" s="323"/>
      <c r="Y457" s="323"/>
      <c r="Z457" s="323"/>
      <c r="AA457" s="323"/>
      <c r="AB457" s="323"/>
      <c r="AC457" s="323"/>
      <c r="AD457" s="323"/>
      <c r="AE457" s="323"/>
      <c r="AF457" s="323"/>
      <c r="AG457" s="323"/>
      <c r="AH457" s="323"/>
      <c r="AI457" s="323"/>
      <c r="AJ457" s="323"/>
      <c r="AK457" s="323"/>
      <c r="AL457" s="323"/>
      <c r="AM457" s="326">
        <f>E457-H457-I457-J457-K457-L457-M457-N457-O457-P457-Q457-R457-S457-T457-U457-V457-W457-X457-Y457-Z457-AA457-AB457-AC457-AD457-AE457-AF457-AG457-AH457-AI457-AJ457-AK457-AL457</f>
        <v>1</v>
      </c>
      <c r="AN457" s="327">
        <f t="shared" si="18"/>
        <v>2.5760000000000001</v>
      </c>
      <c r="AO457" s="323"/>
      <c r="AP457" s="323"/>
      <c r="AQ457" s="328"/>
    </row>
    <row r="458" spans="1:44">
      <c r="A458" s="351" t="s">
        <v>210</v>
      </c>
      <c r="B458" s="323">
        <v>2300</v>
      </c>
      <c r="C458" s="323">
        <v>800</v>
      </c>
      <c r="D458" s="323">
        <v>1400</v>
      </c>
      <c r="E458" s="323">
        <v>1</v>
      </c>
      <c r="F458" s="323"/>
      <c r="G458" s="354">
        <v>45785</v>
      </c>
      <c r="H458" s="323"/>
      <c r="I458" s="323"/>
      <c r="J458" s="323"/>
      <c r="K458" s="323"/>
      <c r="L458" s="323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  <c r="W458" s="323"/>
      <c r="X458" s="323"/>
      <c r="Y458" s="323"/>
      <c r="Z458" s="323"/>
      <c r="AA458" s="323"/>
      <c r="AB458" s="323"/>
      <c r="AC458" s="323"/>
      <c r="AD458" s="323"/>
      <c r="AE458" s="323"/>
      <c r="AF458" s="323"/>
      <c r="AG458" s="323"/>
      <c r="AH458" s="323"/>
      <c r="AI458" s="323"/>
      <c r="AJ458" s="323"/>
      <c r="AK458" s="323"/>
      <c r="AL458" s="323"/>
      <c r="AM458" s="326"/>
      <c r="AN458" s="327">
        <f t="shared" si="18"/>
        <v>0</v>
      </c>
      <c r="AO458" s="323"/>
      <c r="AP458" s="323"/>
      <c r="AQ458" s="328"/>
    </row>
    <row r="459" spans="1:44">
      <c r="A459" s="351" t="s">
        <v>210</v>
      </c>
      <c r="B459" s="323">
        <v>2300</v>
      </c>
      <c r="C459" s="323">
        <v>800</v>
      </c>
      <c r="D459" s="323">
        <v>1400</v>
      </c>
      <c r="E459" s="323">
        <v>1</v>
      </c>
      <c r="F459" s="323"/>
      <c r="G459" s="354">
        <v>45785</v>
      </c>
      <c r="H459" s="323"/>
      <c r="I459" s="323"/>
      <c r="J459" s="323"/>
      <c r="K459" s="323"/>
      <c r="L459" s="323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  <c r="W459" s="323"/>
      <c r="X459" s="323"/>
      <c r="Y459" s="323"/>
      <c r="Z459" s="323"/>
      <c r="AA459" s="323"/>
      <c r="AB459" s="323"/>
      <c r="AC459" s="323"/>
      <c r="AD459" s="323"/>
      <c r="AE459" s="323"/>
      <c r="AF459" s="323"/>
      <c r="AG459" s="323"/>
      <c r="AH459" s="323"/>
      <c r="AI459" s="323"/>
      <c r="AJ459" s="323"/>
      <c r="AK459" s="323"/>
      <c r="AL459" s="323"/>
      <c r="AM459" s="326">
        <f>E459-H459-I459-J459-K459-L459-M459-N459-O459-P459-Q459-R459-S459-T459-U459-V459-W459-X459-Y459-Z459-AA459-AB459-AC459-AD459-AE459-AF459-AG459-AH459-AI459-AJ459-AK459-AL459</f>
        <v>1</v>
      </c>
      <c r="AN459" s="327">
        <f t="shared" si="18"/>
        <v>2.5760000000000001</v>
      </c>
      <c r="AO459" s="323"/>
      <c r="AP459" s="323"/>
      <c r="AQ459" s="328"/>
    </row>
    <row r="460" spans="1:44">
      <c r="A460" s="351" t="s">
        <v>210</v>
      </c>
      <c r="B460" s="323">
        <v>2300</v>
      </c>
      <c r="C460" s="323">
        <v>800</v>
      </c>
      <c r="D460" s="323">
        <v>1400</v>
      </c>
      <c r="E460" s="323">
        <v>1</v>
      </c>
      <c r="F460" s="323"/>
      <c r="G460" s="354">
        <v>45785</v>
      </c>
      <c r="H460" s="323"/>
      <c r="I460" s="323"/>
      <c r="J460" s="323"/>
      <c r="K460" s="323"/>
      <c r="L460" s="323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  <c r="W460" s="323"/>
      <c r="X460" s="323"/>
      <c r="Y460" s="323"/>
      <c r="Z460" s="323"/>
      <c r="AA460" s="323"/>
      <c r="AB460" s="323"/>
      <c r="AC460" s="323"/>
      <c r="AD460" s="323"/>
      <c r="AE460" s="323"/>
      <c r="AF460" s="323"/>
      <c r="AG460" s="323"/>
      <c r="AH460" s="323"/>
      <c r="AI460" s="323"/>
      <c r="AJ460" s="323"/>
      <c r="AK460" s="323"/>
      <c r="AL460" s="323"/>
      <c r="AM460" s="326"/>
      <c r="AN460" s="327">
        <f t="shared" si="18"/>
        <v>0</v>
      </c>
      <c r="AO460" s="323"/>
      <c r="AP460" s="323"/>
      <c r="AQ460" s="328"/>
    </row>
    <row r="461" spans="1:44">
      <c r="A461" s="351" t="s">
        <v>210</v>
      </c>
      <c r="B461" s="323">
        <v>2300</v>
      </c>
      <c r="C461" s="323">
        <v>800</v>
      </c>
      <c r="D461" s="323">
        <v>1400</v>
      </c>
      <c r="E461" s="323">
        <v>1</v>
      </c>
      <c r="F461" s="323"/>
      <c r="G461" s="354">
        <v>45785</v>
      </c>
      <c r="H461" s="323"/>
      <c r="I461" s="323"/>
      <c r="J461" s="323"/>
      <c r="K461" s="323"/>
      <c r="L461" s="323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  <c r="W461" s="323"/>
      <c r="X461" s="323"/>
      <c r="Y461" s="323"/>
      <c r="Z461" s="323"/>
      <c r="AA461" s="323"/>
      <c r="AB461" s="323"/>
      <c r="AC461" s="323"/>
      <c r="AD461" s="323"/>
      <c r="AE461" s="323"/>
      <c r="AF461" s="323"/>
      <c r="AG461" s="323"/>
      <c r="AH461" s="323"/>
      <c r="AI461" s="323"/>
      <c r="AJ461" s="323"/>
      <c r="AK461" s="323"/>
      <c r="AL461" s="323"/>
      <c r="AM461" s="326">
        <f>E461-H461-I461-J461-K461-L461-M461-N461-O461-P461-Q461-R461-S461-T461-U461-V461-W461-X461-Y461-Z461-AA461-AB461-AC461-AD461-AE461-AF461-AG461-AH461-AI461-AJ461-AK461-AL461</f>
        <v>1</v>
      </c>
      <c r="AN461" s="327">
        <f t="shared" si="18"/>
        <v>2.5760000000000001</v>
      </c>
      <c r="AO461" s="323"/>
      <c r="AP461" s="323"/>
      <c r="AQ461" s="328"/>
    </row>
    <row r="462" spans="1:44">
      <c r="A462" s="351" t="s">
        <v>210</v>
      </c>
      <c r="B462" s="323">
        <v>2300</v>
      </c>
      <c r="C462" s="323">
        <v>800</v>
      </c>
      <c r="D462" s="323">
        <v>1400</v>
      </c>
      <c r="E462" s="323">
        <v>1</v>
      </c>
      <c r="F462" s="323"/>
      <c r="G462" s="354">
        <v>45785</v>
      </c>
      <c r="H462" s="323"/>
      <c r="I462" s="323"/>
      <c r="J462" s="323"/>
      <c r="K462" s="323"/>
      <c r="L462" s="323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  <c r="W462" s="323"/>
      <c r="X462" s="323"/>
      <c r="Y462" s="323"/>
      <c r="Z462" s="323"/>
      <c r="AA462" s="323"/>
      <c r="AB462" s="323"/>
      <c r="AC462" s="323"/>
      <c r="AD462" s="323"/>
      <c r="AE462" s="323"/>
      <c r="AF462" s="323"/>
      <c r="AG462" s="323"/>
      <c r="AH462" s="323"/>
      <c r="AI462" s="323"/>
      <c r="AJ462" s="323"/>
      <c r="AK462" s="323"/>
      <c r="AL462" s="323"/>
      <c r="AM462" s="326">
        <f>E462-H462-I462-J462-K462-L462-M462-N462-O462-P462-Q462-R462-S462-T462-U462-V462-W462-X462-Y462-Z462-AA462-AB462-AC462-AD462-AE462-AF462-AG462-AH462-AI462-AJ462-AK462-AL462</f>
        <v>1</v>
      </c>
      <c r="AN462" s="327">
        <f t="shared" si="18"/>
        <v>2.5760000000000001</v>
      </c>
      <c r="AO462" s="323"/>
      <c r="AP462" s="323"/>
      <c r="AQ462" s="328"/>
    </row>
    <row r="463" spans="1:44">
      <c r="A463" s="361" t="s">
        <v>210</v>
      </c>
      <c r="B463" s="362">
        <v>2300</v>
      </c>
      <c r="C463" s="362">
        <v>800</v>
      </c>
      <c r="D463" s="362">
        <v>1400</v>
      </c>
      <c r="E463" s="362">
        <v>1</v>
      </c>
      <c r="F463" s="362"/>
      <c r="G463" s="363">
        <v>45785</v>
      </c>
      <c r="H463" s="362"/>
      <c r="I463" s="362"/>
      <c r="J463" s="362"/>
      <c r="K463" s="362"/>
      <c r="L463" s="362"/>
      <c r="M463" s="362"/>
      <c r="N463" s="362"/>
      <c r="O463" s="362"/>
      <c r="P463" s="362"/>
      <c r="Q463" s="362"/>
      <c r="R463" s="362"/>
      <c r="S463" s="362"/>
      <c r="T463" s="362"/>
      <c r="U463" s="362"/>
      <c r="V463" s="362"/>
      <c r="W463" s="362"/>
      <c r="X463" s="362"/>
      <c r="Y463" s="362"/>
      <c r="Z463" s="362"/>
      <c r="AA463" s="362"/>
      <c r="AB463" s="362"/>
      <c r="AC463" s="362"/>
      <c r="AD463" s="362"/>
      <c r="AE463" s="362"/>
      <c r="AF463" s="362"/>
      <c r="AG463" s="362"/>
      <c r="AH463" s="362"/>
      <c r="AI463" s="362"/>
      <c r="AJ463" s="362"/>
      <c r="AK463" s="362"/>
      <c r="AL463" s="362"/>
      <c r="AM463" s="364">
        <f>E463-H463-I463-J463-K463-L463-M463-N463-O463-P463-Q463-R463-S463-T463-U463-V463-W463-X463-Y463-Z463-AA463-AB463-AC463-AD463-AE463-AF463-AG463-AH463-AI463-AJ463-AK463-AL463</f>
        <v>1</v>
      </c>
      <c r="AN463" s="365">
        <f t="shared" si="18"/>
        <v>2.5760000000000001</v>
      </c>
      <c r="AQ463" s="366"/>
      <c r="AR463" s="367"/>
    </row>
    <row r="464" spans="1:44">
      <c r="A464" s="351" t="s">
        <v>210</v>
      </c>
      <c r="B464" s="323">
        <v>2300</v>
      </c>
      <c r="C464" s="323">
        <v>800</v>
      </c>
      <c r="D464" s="323">
        <v>1400</v>
      </c>
      <c r="E464" s="323">
        <v>1</v>
      </c>
      <c r="F464" s="323"/>
      <c r="G464" s="354">
        <v>45785</v>
      </c>
      <c r="H464" s="323"/>
      <c r="I464" s="323"/>
      <c r="J464" s="323"/>
      <c r="K464" s="323"/>
      <c r="L464" s="323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  <c r="W464" s="323"/>
      <c r="X464" s="323"/>
      <c r="Y464" s="323"/>
      <c r="Z464" s="323"/>
      <c r="AA464" s="323"/>
      <c r="AB464" s="323"/>
      <c r="AC464" s="323"/>
      <c r="AD464" s="323"/>
      <c r="AE464" s="323"/>
      <c r="AF464" s="323"/>
      <c r="AG464" s="323"/>
      <c r="AH464" s="323"/>
      <c r="AI464" s="323"/>
      <c r="AJ464" s="323"/>
      <c r="AK464" s="323"/>
      <c r="AL464" s="323"/>
      <c r="AM464" s="326"/>
      <c r="AN464" s="327">
        <f t="shared" si="18"/>
        <v>0</v>
      </c>
      <c r="AQ464" s="366"/>
      <c r="AR464" s="367">
        <f t="shared" ref="AR464" si="19">B464*C464*D464*E464/1000000000</f>
        <v>2.5760000000000001</v>
      </c>
    </row>
  </sheetData>
  <autoFilter ref="A1:AQ464" xr:uid="{4C521CB8-5257-421F-B9DC-E09AB0B96EE6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sortState xmlns:xlrd2="http://schemas.microsoft.com/office/spreadsheetml/2017/richdata2" ref="A4:AQ464">
      <sortCondition ref="A1:A464"/>
    </sortState>
  </autoFilter>
  <mergeCells count="13">
    <mergeCell ref="F1:F2"/>
    <mergeCell ref="A1:A2"/>
    <mergeCell ref="B1:B2"/>
    <mergeCell ref="C1:C2"/>
    <mergeCell ref="D1:D2"/>
    <mergeCell ref="E1:E2"/>
    <mergeCell ref="AQ1:AQ2"/>
    <mergeCell ref="G1:G2"/>
    <mergeCell ref="H1:AL1"/>
    <mergeCell ref="AM1:AM2"/>
    <mergeCell ref="AN1:AN2"/>
    <mergeCell ref="AO1:AO2"/>
    <mergeCell ref="AP1:AP2"/>
  </mergeCells>
  <pageMargins left="0.23622047244094491" right="0.23622047244094491" top="0.74803149606299213" bottom="0.74803149606299213" header="0.31496062992125984" footer="0.31496062992125984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FB49-A425-4125-A262-83150706B282}">
  <dimension ref="A1:AP224"/>
  <sheetViews>
    <sheetView zoomScale="70" zoomScaleNormal="70" workbookViewId="0">
      <pane xSplit="6" ySplit="1" topLeftCell="S199" activePane="bottomRight" state="frozen"/>
      <selection activeCell="AV254" sqref="AV254"/>
      <selection pane="topRight" activeCell="AV254" sqref="AV254"/>
      <selection pane="bottomLeft" activeCell="AV254" sqref="AV254"/>
      <selection pane="bottomRight" activeCell="AS220" sqref="AS220"/>
    </sheetView>
  </sheetViews>
  <sheetFormatPr defaultColWidth="8.90625" defaultRowHeight="14.5"/>
  <cols>
    <col min="1" max="1" width="24.6328125" style="321" bestFit="1" customWidth="1"/>
    <col min="2" max="4" width="8.90625" style="321"/>
    <col min="5" max="5" width="9.81640625" style="321" customWidth="1"/>
    <col min="6" max="6" width="15" style="321" customWidth="1"/>
    <col min="7" max="7" width="8" style="321" hidden="1" customWidth="1"/>
    <col min="8" max="8" width="8.81640625" style="321" hidden="1" customWidth="1"/>
    <col min="9" max="9" width="7.90625" style="321" hidden="1" customWidth="1"/>
    <col min="10" max="34" width="9.81640625" style="321" hidden="1" customWidth="1"/>
    <col min="35" max="36" width="9.90625" style="321" hidden="1" customWidth="1"/>
    <col min="37" max="37" width="10" style="321" hidden="1" customWidth="1"/>
    <col min="38" max="38" width="15.6328125" style="321" bestFit="1" customWidth="1"/>
    <col min="39" max="39" width="10.1796875" style="321" customWidth="1"/>
    <col min="40" max="40" width="15.6328125" style="321" hidden="1" customWidth="1"/>
    <col min="41" max="41" width="14.90625" style="321" hidden="1" customWidth="1"/>
    <col min="42" max="42" width="19.453125" style="348" hidden="1" customWidth="1"/>
    <col min="43" max="43" width="25.453125" style="321" customWidth="1"/>
    <col min="44" max="16384" width="8.90625" style="321"/>
  </cols>
  <sheetData>
    <row r="1" spans="1:42" ht="25.25" customHeight="1">
      <c r="A1" s="464" t="s">
        <v>204</v>
      </c>
      <c r="B1" s="439" t="s">
        <v>147</v>
      </c>
      <c r="C1" s="439" t="s">
        <v>1</v>
      </c>
      <c r="D1" s="439" t="s">
        <v>2</v>
      </c>
      <c r="E1" s="439" t="s">
        <v>148</v>
      </c>
      <c r="F1" s="439" t="s">
        <v>150</v>
      </c>
      <c r="G1" s="441" t="s">
        <v>151</v>
      </c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2" t="s">
        <v>152</v>
      </c>
      <c r="AM1" s="443" t="s">
        <v>153</v>
      </c>
      <c r="AN1" s="444" t="s">
        <v>154</v>
      </c>
      <c r="AO1" s="443" t="s">
        <v>155</v>
      </c>
      <c r="AP1" s="438" t="s">
        <v>156</v>
      </c>
    </row>
    <row r="2" spans="1:42">
      <c r="A2" s="464"/>
      <c r="B2" s="440"/>
      <c r="C2" s="440"/>
      <c r="D2" s="440"/>
      <c r="E2" s="440"/>
      <c r="F2" s="440"/>
      <c r="G2" s="320">
        <v>1</v>
      </c>
      <c r="H2" s="320">
        <v>2</v>
      </c>
      <c r="I2" s="320">
        <v>3</v>
      </c>
      <c r="J2" s="320">
        <v>4</v>
      </c>
      <c r="K2" s="320">
        <v>5</v>
      </c>
      <c r="L2" s="320">
        <v>6</v>
      </c>
      <c r="M2" s="320">
        <v>7</v>
      </c>
      <c r="N2" s="320">
        <v>8</v>
      </c>
      <c r="O2" s="320">
        <v>9</v>
      </c>
      <c r="P2" s="320">
        <v>10</v>
      </c>
      <c r="Q2" s="320">
        <v>11</v>
      </c>
      <c r="R2" s="320">
        <v>12</v>
      </c>
      <c r="S2" s="320">
        <v>13</v>
      </c>
      <c r="T2" s="320">
        <v>14</v>
      </c>
      <c r="U2" s="320">
        <v>15</v>
      </c>
      <c r="V2" s="320">
        <v>16</v>
      </c>
      <c r="W2" s="320">
        <v>17</v>
      </c>
      <c r="X2" s="320">
        <v>18</v>
      </c>
      <c r="Y2" s="320">
        <v>19</v>
      </c>
      <c r="Z2" s="320">
        <v>20</v>
      </c>
      <c r="AA2" s="320">
        <v>21</v>
      </c>
      <c r="AB2" s="320">
        <v>22</v>
      </c>
      <c r="AC2" s="320">
        <v>23</v>
      </c>
      <c r="AD2" s="320">
        <v>24</v>
      </c>
      <c r="AE2" s="320">
        <v>25</v>
      </c>
      <c r="AF2" s="320">
        <v>26</v>
      </c>
      <c r="AG2" s="320">
        <v>27</v>
      </c>
      <c r="AH2" s="320">
        <v>28</v>
      </c>
      <c r="AI2" s="320">
        <v>29</v>
      </c>
      <c r="AJ2" s="320">
        <v>30</v>
      </c>
      <c r="AK2" s="320">
        <v>31</v>
      </c>
      <c r="AL2" s="442"/>
      <c r="AM2" s="443"/>
      <c r="AN2" s="445"/>
      <c r="AO2" s="443"/>
      <c r="AP2" s="438"/>
    </row>
    <row r="3" spans="1:42">
      <c r="A3" s="351" t="s">
        <v>211</v>
      </c>
      <c r="B3" s="323">
        <v>20</v>
      </c>
      <c r="C3" s="323">
        <v>46</v>
      </c>
      <c r="D3" s="323">
        <v>609</v>
      </c>
      <c r="E3" s="323">
        <v>554</v>
      </c>
      <c r="F3" s="354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6">
        <f t="shared" ref="AL3:AL66" si="0">E3-G3-H3-I3-J3-K3-L3-M3-N3-O3-P3-Q3-R3-S3-T3-U3-V3-W3-X3-Y3-Z3-AA3-AB3-AC3-AD3-AE3-AF3-AG3-AH3-AI3-AJ3-AK3</f>
        <v>554</v>
      </c>
      <c r="AM3" s="327">
        <f t="shared" ref="AM3:AM66" si="1">B3*C3*D3*AL3/1000000000</f>
        <v>0.31039512000000002</v>
      </c>
      <c r="AN3" s="327"/>
      <c r="AO3" s="327"/>
      <c r="AP3" s="328"/>
    </row>
    <row r="4" spans="1:42">
      <c r="A4" s="351" t="s">
        <v>212</v>
      </c>
      <c r="B4" s="323">
        <v>13</v>
      </c>
      <c r="C4" s="323">
        <v>80</v>
      </c>
      <c r="D4" s="323">
        <v>830</v>
      </c>
      <c r="E4" s="323">
        <v>173</v>
      </c>
      <c r="F4" s="354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6">
        <f t="shared" si="0"/>
        <v>173</v>
      </c>
      <c r="AM4" s="327">
        <f t="shared" si="1"/>
        <v>0.14933360000000001</v>
      </c>
      <c r="AN4" s="327"/>
      <c r="AO4" s="327"/>
      <c r="AP4" s="328"/>
    </row>
    <row r="5" spans="1:42">
      <c r="A5" s="351" t="s">
        <v>212</v>
      </c>
      <c r="B5" s="323">
        <v>13</v>
      </c>
      <c r="C5" s="323">
        <v>80</v>
      </c>
      <c r="D5" s="323">
        <v>640</v>
      </c>
      <c r="E5" s="323">
        <v>220</v>
      </c>
      <c r="F5" s="354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6">
        <f t="shared" si="0"/>
        <v>220</v>
      </c>
      <c r="AM5" s="327">
        <f t="shared" si="1"/>
        <v>0.14643200000000001</v>
      </c>
      <c r="AN5" s="327"/>
      <c r="AO5" s="327"/>
      <c r="AP5" s="328"/>
    </row>
    <row r="6" spans="1:42">
      <c r="A6" s="351" t="s">
        <v>212</v>
      </c>
      <c r="B6" s="323">
        <v>13.7</v>
      </c>
      <c r="C6" s="323">
        <v>1080</v>
      </c>
      <c r="D6" s="323">
        <v>950</v>
      </c>
      <c r="E6" s="323">
        <v>17</v>
      </c>
      <c r="F6" s="354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6">
        <f t="shared" si="0"/>
        <v>17</v>
      </c>
      <c r="AM6" s="327">
        <f t="shared" si="1"/>
        <v>0.23895540000000001</v>
      </c>
      <c r="AN6" s="327"/>
      <c r="AO6" s="327"/>
      <c r="AP6" s="328"/>
    </row>
    <row r="7" spans="1:42">
      <c r="A7" s="351" t="s">
        <v>212</v>
      </c>
      <c r="B7" s="323">
        <v>13.7</v>
      </c>
      <c r="C7" s="323">
        <v>162</v>
      </c>
      <c r="D7" s="323">
        <v>460</v>
      </c>
      <c r="E7" s="323">
        <v>210</v>
      </c>
      <c r="F7" s="354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6">
        <f t="shared" si="0"/>
        <v>210</v>
      </c>
      <c r="AM7" s="327">
        <f t="shared" si="1"/>
        <v>0.21439404000000001</v>
      </c>
      <c r="AN7" s="327"/>
      <c r="AO7" s="327"/>
      <c r="AP7" s="328"/>
    </row>
    <row r="8" spans="1:42">
      <c r="A8" s="351" t="s">
        <v>213</v>
      </c>
      <c r="B8" s="323">
        <v>15.9</v>
      </c>
      <c r="C8" s="323">
        <v>161.9</v>
      </c>
      <c r="D8" s="323">
        <v>480</v>
      </c>
      <c r="E8" s="323">
        <v>120</v>
      </c>
      <c r="F8" s="354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6">
        <f t="shared" si="0"/>
        <v>120</v>
      </c>
      <c r="AM8" s="327">
        <f t="shared" si="1"/>
        <v>0.14827449600000001</v>
      </c>
      <c r="AN8" s="327"/>
      <c r="AO8" s="327"/>
      <c r="AP8" s="328"/>
    </row>
    <row r="9" spans="1:42">
      <c r="A9" s="351" t="s">
        <v>213</v>
      </c>
      <c r="B9" s="323">
        <v>15.9</v>
      </c>
      <c r="C9" s="323">
        <v>161.9</v>
      </c>
      <c r="D9" s="323">
        <v>700</v>
      </c>
      <c r="E9" s="323">
        <v>78</v>
      </c>
      <c r="F9" s="354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6">
        <f t="shared" si="0"/>
        <v>78</v>
      </c>
      <c r="AM9" s="327">
        <f t="shared" si="1"/>
        <v>0.140551866</v>
      </c>
      <c r="AN9" s="327"/>
      <c r="AO9" s="327"/>
      <c r="AP9" s="328"/>
    </row>
    <row r="10" spans="1:42">
      <c r="A10" s="351" t="s">
        <v>213</v>
      </c>
      <c r="B10" s="323">
        <v>15.9</v>
      </c>
      <c r="C10" s="323">
        <v>161.9</v>
      </c>
      <c r="D10" s="323">
        <v>540</v>
      </c>
      <c r="E10" s="323">
        <v>120</v>
      </c>
      <c r="F10" s="354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6">
        <f t="shared" si="0"/>
        <v>120</v>
      </c>
      <c r="AM10" s="327">
        <f t="shared" si="1"/>
        <v>0.166808808</v>
      </c>
      <c r="AN10" s="327"/>
      <c r="AO10" s="327"/>
      <c r="AP10" s="328"/>
    </row>
    <row r="11" spans="1:42">
      <c r="A11" s="351" t="s">
        <v>212</v>
      </c>
      <c r="B11" s="323">
        <v>12.7</v>
      </c>
      <c r="C11" s="323">
        <v>203.2</v>
      </c>
      <c r="D11" s="323">
        <v>523.6</v>
      </c>
      <c r="E11" s="323">
        <v>376</v>
      </c>
      <c r="F11" s="354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6">
        <f t="shared" si="0"/>
        <v>376</v>
      </c>
      <c r="AM11" s="327">
        <f t="shared" si="1"/>
        <v>0.50805988710400007</v>
      </c>
      <c r="AN11" s="327"/>
      <c r="AO11" s="327"/>
      <c r="AP11" s="328"/>
    </row>
    <row r="12" spans="1:42">
      <c r="A12" s="351" t="s">
        <v>213</v>
      </c>
      <c r="B12" s="323">
        <v>15.9</v>
      </c>
      <c r="C12" s="323">
        <v>161.9</v>
      </c>
      <c r="D12" s="323">
        <v>444.5</v>
      </c>
      <c r="E12" s="323">
        <v>150</v>
      </c>
      <c r="F12" s="354"/>
      <c r="G12" s="323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6">
        <f t="shared" si="0"/>
        <v>150</v>
      </c>
      <c r="AM12" s="327">
        <f t="shared" si="1"/>
        <v>0.17163545175</v>
      </c>
      <c r="AN12" s="327"/>
      <c r="AO12" s="327"/>
      <c r="AP12" s="328"/>
    </row>
    <row r="13" spans="1:42">
      <c r="A13" s="351" t="s">
        <v>213</v>
      </c>
      <c r="B13" s="323">
        <v>15.9</v>
      </c>
      <c r="C13" s="323">
        <v>161.9</v>
      </c>
      <c r="D13" s="323">
        <v>676.3</v>
      </c>
      <c r="E13" s="323">
        <v>40</v>
      </c>
      <c r="F13" s="354"/>
      <c r="G13" s="323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  <c r="AK13" s="323"/>
      <c r="AL13" s="326">
        <f t="shared" si="0"/>
        <v>40</v>
      </c>
      <c r="AM13" s="327">
        <f t="shared" si="1"/>
        <v>6.9637528919999997E-2</v>
      </c>
      <c r="AN13" s="327"/>
      <c r="AO13" s="327"/>
      <c r="AP13" s="328"/>
    </row>
    <row r="14" spans="1:42">
      <c r="A14" s="351" t="s">
        <v>213</v>
      </c>
      <c r="B14" s="323">
        <v>15.9</v>
      </c>
      <c r="C14" s="323">
        <v>161.9</v>
      </c>
      <c r="D14" s="323">
        <v>447.7</v>
      </c>
      <c r="E14" s="323">
        <v>70</v>
      </c>
      <c r="F14" s="354"/>
      <c r="G14" s="323"/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6">
        <f t="shared" si="0"/>
        <v>70</v>
      </c>
      <c r="AM14" s="327">
        <f t="shared" si="1"/>
        <v>8.0673167189999992E-2</v>
      </c>
      <c r="AN14" s="327"/>
      <c r="AO14" s="327"/>
      <c r="AP14" s="328"/>
    </row>
    <row r="15" spans="1:42">
      <c r="A15" s="351" t="s">
        <v>213</v>
      </c>
      <c r="B15" s="323">
        <v>15.9</v>
      </c>
      <c r="C15" s="323">
        <v>161.9</v>
      </c>
      <c r="D15" s="323">
        <v>371</v>
      </c>
      <c r="E15" s="323">
        <v>150</v>
      </c>
      <c r="F15" s="354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6">
        <f t="shared" si="0"/>
        <v>150</v>
      </c>
      <c r="AM15" s="327">
        <f t="shared" si="1"/>
        <v>0.14325478650000001</v>
      </c>
      <c r="AN15" s="327"/>
      <c r="AO15" s="327"/>
      <c r="AP15" s="328"/>
    </row>
    <row r="16" spans="1:42">
      <c r="A16" s="351" t="s">
        <v>213</v>
      </c>
      <c r="B16" s="323">
        <v>15.9</v>
      </c>
      <c r="C16" s="323">
        <v>161.9</v>
      </c>
      <c r="D16" s="323">
        <v>752.4</v>
      </c>
      <c r="E16" s="323">
        <v>80</v>
      </c>
      <c r="F16" s="354"/>
      <c r="G16" s="323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6">
        <f t="shared" si="0"/>
        <v>80</v>
      </c>
      <c r="AM16" s="327">
        <f t="shared" si="1"/>
        <v>0.15494684832</v>
      </c>
      <c r="AN16" s="327"/>
      <c r="AO16" s="327"/>
      <c r="AP16" s="328"/>
    </row>
    <row r="17" spans="1:42">
      <c r="A17" s="351" t="s">
        <v>213</v>
      </c>
      <c r="B17" s="323">
        <v>15.9</v>
      </c>
      <c r="C17" s="323">
        <v>161.9</v>
      </c>
      <c r="D17" s="323">
        <v>520.70000000000005</v>
      </c>
      <c r="E17" s="323">
        <v>40</v>
      </c>
      <c r="F17" s="354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6">
        <f t="shared" si="0"/>
        <v>40</v>
      </c>
      <c r="AM17" s="327">
        <f t="shared" si="1"/>
        <v>5.361564588E-2</v>
      </c>
      <c r="AN17" s="327"/>
      <c r="AO17" s="327"/>
      <c r="AP17" s="328"/>
    </row>
    <row r="18" spans="1:42">
      <c r="A18" s="351" t="s">
        <v>212</v>
      </c>
      <c r="B18" s="323">
        <v>15.9</v>
      </c>
      <c r="C18" s="323">
        <v>920</v>
      </c>
      <c r="D18" s="323">
        <v>1120</v>
      </c>
      <c r="E18" s="323">
        <v>22</v>
      </c>
      <c r="F18" s="354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6">
        <f t="shared" si="0"/>
        <v>22</v>
      </c>
      <c r="AM18" s="327">
        <f t="shared" si="1"/>
        <v>0.36043392000000002</v>
      </c>
      <c r="AN18" s="327"/>
      <c r="AO18" s="327"/>
      <c r="AP18" s="328"/>
    </row>
    <row r="19" spans="1:42">
      <c r="A19" s="351" t="s">
        <v>212</v>
      </c>
      <c r="B19" s="323">
        <v>13.7</v>
      </c>
      <c r="C19" s="323">
        <v>212</v>
      </c>
      <c r="D19" s="323">
        <v>540</v>
      </c>
      <c r="E19" s="323">
        <v>480</v>
      </c>
      <c r="F19" s="354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6">
        <f t="shared" si="0"/>
        <v>480</v>
      </c>
      <c r="AM19" s="327">
        <f t="shared" si="1"/>
        <v>0.7528204799999999</v>
      </c>
      <c r="AN19" s="327"/>
      <c r="AO19" s="327"/>
      <c r="AP19" s="328"/>
    </row>
    <row r="20" spans="1:42">
      <c r="A20" s="351" t="s">
        <v>211</v>
      </c>
      <c r="B20" s="323">
        <v>17.100000000000001</v>
      </c>
      <c r="C20" s="323">
        <v>848</v>
      </c>
      <c r="D20" s="323">
        <v>480</v>
      </c>
      <c r="E20" s="323">
        <v>116</v>
      </c>
      <c r="F20" s="354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6">
        <f t="shared" si="0"/>
        <v>116</v>
      </c>
      <c r="AM20" s="327">
        <f t="shared" si="1"/>
        <v>0.80740454400000017</v>
      </c>
      <c r="AN20" s="327"/>
      <c r="AO20" s="327"/>
      <c r="AP20" s="328"/>
    </row>
    <row r="21" spans="1:42">
      <c r="A21" s="351" t="s">
        <v>213</v>
      </c>
      <c r="B21" s="323">
        <v>15.9</v>
      </c>
      <c r="C21" s="323">
        <v>254</v>
      </c>
      <c r="D21" s="323">
        <v>676.3</v>
      </c>
      <c r="E21" s="323">
        <v>103</v>
      </c>
      <c r="F21" s="354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6">
        <f t="shared" si="0"/>
        <v>103</v>
      </c>
      <c r="AM21" s="327">
        <f t="shared" si="1"/>
        <v>0.28132443353999997</v>
      </c>
      <c r="AN21" s="327"/>
      <c r="AO21" s="327"/>
      <c r="AP21" s="328"/>
    </row>
    <row r="22" spans="1:42">
      <c r="A22" s="351" t="s">
        <v>213</v>
      </c>
      <c r="B22" s="323">
        <v>15.9</v>
      </c>
      <c r="C22" s="323">
        <v>161.9</v>
      </c>
      <c r="D22" s="323">
        <v>676.3</v>
      </c>
      <c r="E22" s="323">
        <v>10</v>
      </c>
      <c r="F22" s="354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  <c r="AK22" s="323"/>
      <c r="AL22" s="326">
        <f t="shared" si="0"/>
        <v>10</v>
      </c>
      <c r="AM22" s="327">
        <f t="shared" si="1"/>
        <v>1.7409382229999999E-2</v>
      </c>
      <c r="AN22" s="327"/>
      <c r="AO22" s="327"/>
      <c r="AP22" s="328"/>
    </row>
    <row r="23" spans="1:42">
      <c r="A23" s="351" t="s">
        <v>213</v>
      </c>
      <c r="B23" s="323">
        <v>15.9</v>
      </c>
      <c r="C23" s="323">
        <v>50.8</v>
      </c>
      <c r="D23" s="323">
        <v>1133.5</v>
      </c>
      <c r="E23" s="323">
        <v>320</v>
      </c>
      <c r="F23" s="354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6">
        <f t="shared" si="0"/>
        <v>320</v>
      </c>
      <c r="AM23" s="327">
        <f t="shared" si="1"/>
        <v>0.2929761984</v>
      </c>
      <c r="AN23" s="327"/>
      <c r="AO23" s="327"/>
      <c r="AP23" s="328"/>
    </row>
    <row r="24" spans="1:42">
      <c r="A24" s="351" t="s">
        <v>213</v>
      </c>
      <c r="B24" s="323">
        <v>15.9</v>
      </c>
      <c r="C24" s="323">
        <v>161.9</v>
      </c>
      <c r="D24" s="323">
        <v>825.7</v>
      </c>
      <c r="E24" s="323">
        <v>90</v>
      </c>
      <c r="F24" s="354"/>
      <c r="G24" s="323"/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323"/>
      <c r="AK24" s="323"/>
      <c r="AL24" s="326">
        <f t="shared" si="0"/>
        <v>90</v>
      </c>
      <c r="AM24" s="327">
        <f t="shared" si="1"/>
        <v>0.19129726773000003</v>
      </c>
      <c r="AN24" s="327"/>
      <c r="AO24" s="327"/>
      <c r="AP24" s="328"/>
    </row>
    <row r="25" spans="1:42">
      <c r="A25" s="351" t="s">
        <v>213</v>
      </c>
      <c r="B25" s="323">
        <v>15.9</v>
      </c>
      <c r="C25" s="323">
        <v>85.7</v>
      </c>
      <c r="D25" s="323">
        <v>654.1</v>
      </c>
      <c r="E25" s="323">
        <v>100</v>
      </c>
      <c r="F25" s="354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323"/>
      <c r="AJ25" s="323"/>
      <c r="AK25" s="323"/>
      <c r="AL25" s="326">
        <f t="shared" si="0"/>
        <v>100</v>
      </c>
      <c r="AM25" s="327">
        <f t="shared" si="1"/>
        <v>8.9129628300000013E-2</v>
      </c>
      <c r="AN25" s="327"/>
      <c r="AO25" s="327"/>
      <c r="AP25" s="328"/>
    </row>
    <row r="26" spans="1:42">
      <c r="A26" s="351" t="s">
        <v>213</v>
      </c>
      <c r="B26" s="323">
        <v>15.9</v>
      </c>
      <c r="C26" s="323">
        <v>161.9</v>
      </c>
      <c r="D26" s="323">
        <v>752.4</v>
      </c>
      <c r="E26" s="323">
        <v>80</v>
      </c>
      <c r="F26" s="354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  <c r="AK26" s="323"/>
      <c r="AL26" s="326">
        <f t="shared" si="0"/>
        <v>80</v>
      </c>
      <c r="AM26" s="327">
        <f t="shared" si="1"/>
        <v>0.15494684832</v>
      </c>
      <c r="AN26" s="327"/>
      <c r="AO26" s="327"/>
      <c r="AP26" s="328"/>
    </row>
    <row r="27" spans="1:42">
      <c r="A27" s="351" t="s">
        <v>213</v>
      </c>
      <c r="B27" s="323">
        <v>15.9</v>
      </c>
      <c r="C27" s="323">
        <v>254</v>
      </c>
      <c r="D27" s="323">
        <v>520.70000000000005</v>
      </c>
      <c r="E27" s="323">
        <v>110</v>
      </c>
      <c r="F27" s="354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L27" s="326">
        <f t="shared" si="0"/>
        <v>110</v>
      </c>
      <c r="AM27" s="327">
        <f t="shared" si="1"/>
        <v>0.23131889219999999</v>
      </c>
      <c r="AN27" s="327"/>
      <c r="AO27" s="327"/>
      <c r="AP27" s="328"/>
    </row>
    <row r="28" spans="1:42">
      <c r="A28" s="351" t="s">
        <v>212</v>
      </c>
      <c r="B28" s="323">
        <v>15.9</v>
      </c>
      <c r="C28" s="323">
        <v>76.2</v>
      </c>
      <c r="D28" s="323">
        <v>520.70000000000005</v>
      </c>
      <c r="E28" s="323">
        <v>100</v>
      </c>
      <c r="F28" s="354"/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6">
        <f t="shared" si="0"/>
        <v>100</v>
      </c>
      <c r="AM28" s="327">
        <f t="shared" si="1"/>
        <v>6.3086970600000014E-2</v>
      </c>
      <c r="AN28" s="327"/>
      <c r="AO28" s="327"/>
      <c r="AP28" s="328"/>
    </row>
    <row r="29" spans="1:42">
      <c r="A29" s="351" t="s">
        <v>212</v>
      </c>
      <c r="B29" s="323">
        <v>15.9</v>
      </c>
      <c r="C29" s="323">
        <v>101.6</v>
      </c>
      <c r="D29" s="323">
        <v>444.5</v>
      </c>
      <c r="E29" s="323">
        <v>740</v>
      </c>
      <c r="F29" s="354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6">
        <f t="shared" si="0"/>
        <v>740</v>
      </c>
      <c r="AM29" s="327">
        <f t="shared" si="1"/>
        <v>0.53136667920000002</v>
      </c>
      <c r="AN29" s="327"/>
      <c r="AO29" s="327"/>
      <c r="AP29" s="328"/>
    </row>
    <row r="30" spans="1:42">
      <c r="A30" s="351" t="s">
        <v>212</v>
      </c>
      <c r="B30" s="323">
        <v>15.9</v>
      </c>
      <c r="C30" s="323">
        <v>81.5</v>
      </c>
      <c r="D30" s="323">
        <v>1090</v>
      </c>
      <c r="E30" s="323">
        <v>87</v>
      </c>
      <c r="F30" s="354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6">
        <f t="shared" si="0"/>
        <v>87</v>
      </c>
      <c r="AM30" s="327">
        <f t="shared" si="1"/>
        <v>0.12288545550000002</v>
      </c>
      <c r="AN30" s="327"/>
      <c r="AO30" s="327"/>
      <c r="AP30" s="328"/>
    </row>
    <row r="31" spans="1:42">
      <c r="A31" s="351" t="s">
        <v>212</v>
      </c>
      <c r="B31" s="323">
        <v>15.9</v>
      </c>
      <c r="C31" s="323">
        <v>76.2</v>
      </c>
      <c r="D31" s="323">
        <v>444.5</v>
      </c>
      <c r="E31" s="323">
        <v>200</v>
      </c>
      <c r="F31" s="354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23"/>
      <c r="AJ31" s="323"/>
      <c r="AK31" s="323"/>
      <c r="AL31" s="326">
        <f t="shared" si="0"/>
        <v>200</v>
      </c>
      <c r="AM31" s="327">
        <f t="shared" si="1"/>
        <v>0.10770946200000002</v>
      </c>
      <c r="AN31" s="327"/>
      <c r="AO31" s="327"/>
      <c r="AP31" s="328"/>
    </row>
    <row r="32" spans="1:42">
      <c r="A32" s="351" t="s">
        <v>212</v>
      </c>
      <c r="B32" s="323">
        <v>15.9</v>
      </c>
      <c r="C32" s="345">
        <v>57.2</v>
      </c>
      <c r="D32" s="323">
        <v>509.6</v>
      </c>
      <c r="E32" s="323">
        <v>430</v>
      </c>
      <c r="F32" s="354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  <c r="AK32" s="323"/>
      <c r="AL32" s="326">
        <f t="shared" si="0"/>
        <v>430</v>
      </c>
      <c r="AM32" s="327">
        <f t="shared" si="1"/>
        <v>0.19929253344000003</v>
      </c>
      <c r="AN32" s="327"/>
      <c r="AO32" s="327"/>
      <c r="AP32" s="328"/>
    </row>
    <row r="33" spans="1:42">
      <c r="A33" s="351" t="s">
        <v>213</v>
      </c>
      <c r="B33" s="323">
        <v>15.9</v>
      </c>
      <c r="C33" s="323">
        <v>101.6</v>
      </c>
      <c r="D33" s="323">
        <v>762</v>
      </c>
      <c r="E33" s="323">
        <v>400</v>
      </c>
      <c r="F33" s="354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6">
        <f t="shared" si="0"/>
        <v>400</v>
      </c>
      <c r="AM33" s="327">
        <f t="shared" si="1"/>
        <v>0.49238611199999999</v>
      </c>
      <c r="AN33" s="327"/>
      <c r="AO33" s="327"/>
      <c r="AP33" s="328"/>
    </row>
    <row r="34" spans="1:42">
      <c r="A34" s="351" t="s">
        <v>213</v>
      </c>
      <c r="B34" s="323">
        <v>15.9</v>
      </c>
      <c r="C34" s="323">
        <v>85.7</v>
      </c>
      <c r="D34" s="323">
        <v>700</v>
      </c>
      <c r="E34" s="323">
        <v>100</v>
      </c>
      <c r="F34" s="354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6">
        <f t="shared" si="0"/>
        <v>100</v>
      </c>
      <c r="AM34" s="327">
        <f t="shared" si="1"/>
        <v>9.5384100000000013E-2</v>
      </c>
      <c r="AN34" s="327"/>
      <c r="AO34" s="327"/>
      <c r="AP34" s="328"/>
    </row>
    <row r="35" spans="1:42">
      <c r="A35" s="351" t="s">
        <v>213</v>
      </c>
      <c r="B35" s="323">
        <v>15.9</v>
      </c>
      <c r="C35" s="323">
        <v>85.7</v>
      </c>
      <c r="D35" s="323">
        <v>820</v>
      </c>
      <c r="E35" s="323">
        <v>205</v>
      </c>
      <c r="F35" s="354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6">
        <f t="shared" si="0"/>
        <v>205</v>
      </c>
      <c r="AM35" s="327">
        <f t="shared" si="1"/>
        <v>0.22905810300000004</v>
      </c>
      <c r="AN35" s="327"/>
      <c r="AO35" s="327"/>
      <c r="AP35" s="328"/>
    </row>
    <row r="36" spans="1:42">
      <c r="A36" s="351" t="s">
        <v>213</v>
      </c>
      <c r="B36" s="323">
        <v>15.9</v>
      </c>
      <c r="C36" s="323">
        <v>161.9</v>
      </c>
      <c r="D36" s="323">
        <v>855</v>
      </c>
      <c r="E36" s="323">
        <v>82</v>
      </c>
      <c r="F36" s="354"/>
      <c r="G36" s="323"/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  <c r="AK36" s="323"/>
      <c r="AL36" s="326">
        <f t="shared" si="0"/>
        <v>82</v>
      </c>
      <c r="AM36" s="327">
        <f t="shared" si="1"/>
        <v>0.1804778631</v>
      </c>
      <c r="AN36" s="327"/>
      <c r="AO36" s="327"/>
      <c r="AP36" s="328"/>
    </row>
    <row r="37" spans="1:42">
      <c r="A37" s="351" t="s">
        <v>213</v>
      </c>
      <c r="B37" s="323">
        <v>15.9</v>
      </c>
      <c r="C37" s="323">
        <v>254</v>
      </c>
      <c r="D37" s="323">
        <v>315</v>
      </c>
      <c r="E37" s="323">
        <v>208</v>
      </c>
      <c r="F37" s="354"/>
      <c r="G37" s="323"/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  <c r="AK37" s="323"/>
      <c r="AL37" s="326">
        <f t="shared" si="0"/>
        <v>208</v>
      </c>
      <c r="AM37" s="327">
        <f t="shared" si="1"/>
        <v>0.264609072</v>
      </c>
      <c r="AN37" s="327"/>
      <c r="AO37" s="327"/>
      <c r="AP37" s="328"/>
    </row>
    <row r="38" spans="1:42">
      <c r="A38" s="351" t="s">
        <v>213</v>
      </c>
      <c r="B38" s="323">
        <v>15.9</v>
      </c>
      <c r="C38" s="323">
        <v>161.9</v>
      </c>
      <c r="D38" s="323">
        <v>371.5</v>
      </c>
      <c r="E38" s="323">
        <v>660</v>
      </c>
      <c r="F38" s="354"/>
      <c r="G38" s="323"/>
      <c r="H38" s="323"/>
      <c r="I38" s="323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323"/>
      <c r="AK38" s="323"/>
      <c r="AL38" s="326">
        <f t="shared" si="0"/>
        <v>660</v>
      </c>
      <c r="AM38" s="327">
        <f t="shared" si="1"/>
        <v>0.63117054989999999</v>
      </c>
      <c r="AN38" s="327"/>
      <c r="AO38" s="327"/>
      <c r="AP38" s="328"/>
    </row>
    <row r="39" spans="1:42">
      <c r="A39" s="351" t="s">
        <v>213</v>
      </c>
      <c r="B39" s="323">
        <v>15.9</v>
      </c>
      <c r="C39" s="323">
        <v>161.9</v>
      </c>
      <c r="D39" s="323">
        <v>676.3</v>
      </c>
      <c r="E39" s="323">
        <v>240</v>
      </c>
      <c r="F39" s="354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6">
        <f t="shared" si="0"/>
        <v>240</v>
      </c>
      <c r="AM39" s="327">
        <f t="shared" si="1"/>
        <v>0.41782517351999998</v>
      </c>
      <c r="AN39" s="327"/>
      <c r="AO39" s="327"/>
      <c r="AP39" s="328"/>
    </row>
    <row r="40" spans="1:42">
      <c r="A40" s="351" t="s">
        <v>213</v>
      </c>
      <c r="B40" s="323">
        <v>15.9</v>
      </c>
      <c r="C40" s="323">
        <v>85.7</v>
      </c>
      <c r="D40" s="323">
        <v>676.3</v>
      </c>
      <c r="E40" s="323">
        <v>40</v>
      </c>
      <c r="F40" s="354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  <c r="AK40" s="323"/>
      <c r="AL40" s="326">
        <f t="shared" si="0"/>
        <v>40</v>
      </c>
      <c r="AM40" s="327">
        <f t="shared" si="1"/>
        <v>3.6861866760000001E-2</v>
      </c>
      <c r="AN40" s="327"/>
      <c r="AO40" s="327"/>
      <c r="AP40" s="328"/>
    </row>
    <row r="41" spans="1:42">
      <c r="A41" s="351" t="s">
        <v>213</v>
      </c>
      <c r="B41" s="323">
        <v>15.9</v>
      </c>
      <c r="C41" s="323">
        <v>85.7</v>
      </c>
      <c r="D41" s="323">
        <v>349.3</v>
      </c>
      <c r="E41" s="323">
        <v>40</v>
      </c>
      <c r="F41" s="354"/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  <c r="AK41" s="323"/>
      <c r="AL41" s="326">
        <f t="shared" si="0"/>
        <v>40</v>
      </c>
      <c r="AM41" s="327">
        <f t="shared" si="1"/>
        <v>1.9038666360000005E-2</v>
      </c>
      <c r="AN41" s="327"/>
      <c r="AO41" s="327"/>
      <c r="AP41" s="328"/>
    </row>
    <row r="42" spans="1:42">
      <c r="A42" s="351" t="s">
        <v>213</v>
      </c>
      <c r="B42" s="323">
        <v>15.9</v>
      </c>
      <c r="C42" s="323">
        <v>85.7</v>
      </c>
      <c r="D42" s="323">
        <v>752.5</v>
      </c>
      <c r="E42" s="323">
        <v>60</v>
      </c>
      <c r="F42" s="354"/>
      <c r="G42" s="323"/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  <c r="AE42" s="323"/>
      <c r="AF42" s="323"/>
      <c r="AG42" s="323"/>
      <c r="AH42" s="323"/>
      <c r="AI42" s="323"/>
      <c r="AJ42" s="323"/>
      <c r="AK42" s="323"/>
      <c r="AL42" s="326">
        <f t="shared" si="0"/>
        <v>60</v>
      </c>
      <c r="AM42" s="327">
        <f t="shared" si="1"/>
        <v>6.1522744500000011E-2</v>
      </c>
      <c r="AN42" s="327"/>
      <c r="AO42" s="327"/>
      <c r="AP42" s="328"/>
    </row>
    <row r="43" spans="1:42">
      <c r="A43" s="351" t="s">
        <v>213</v>
      </c>
      <c r="B43" s="323">
        <v>15.9</v>
      </c>
      <c r="C43" s="323">
        <v>85.7</v>
      </c>
      <c r="D43" s="323">
        <v>981</v>
      </c>
      <c r="E43" s="323">
        <v>60</v>
      </c>
      <c r="F43" s="354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6">
        <f t="shared" si="0"/>
        <v>60</v>
      </c>
      <c r="AM43" s="327">
        <f t="shared" si="1"/>
        <v>8.0204401799999991E-2</v>
      </c>
      <c r="AN43" s="327"/>
      <c r="AO43" s="327"/>
      <c r="AP43" s="328"/>
    </row>
    <row r="44" spans="1:42">
      <c r="A44" s="351" t="s">
        <v>212</v>
      </c>
      <c r="B44" s="323">
        <v>15.9</v>
      </c>
      <c r="C44" s="323">
        <v>100</v>
      </c>
      <c r="D44" s="323">
        <v>445</v>
      </c>
      <c r="E44" s="323">
        <v>1230</v>
      </c>
      <c r="F44" s="354"/>
      <c r="G44" s="323"/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  <c r="AK44" s="323"/>
      <c r="AL44" s="326">
        <f t="shared" si="0"/>
        <v>1230</v>
      </c>
      <c r="AM44" s="327">
        <f t="shared" si="1"/>
        <v>0.87028649999999996</v>
      </c>
      <c r="AN44" s="327"/>
      <c r="AO44" s="327"/>
      <c r="AP44" s="328"/>
    </row>
    <row r="45" spans="1:42">
      <c r="A45" s="351" t="s">
        <v>211</v>
      </c>
      <c r="B45" s="323">
        <v>25.8</v>
      </c>
      <c r="C45" s="323">
        <v>420</v>
      </c>
      <c r="D45" s="323">
        <v>500</v>
      </c>
      <c r="E45" s="323">
        <v>164</v>
      </c>
      <c r="F45" s="354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6">
        <f t="shared" si="0"/>
        <v>164</v>
      </c>
      <c r="AM45" s="327">
        <f t="shared" si="1"/>
        <v>0.88855200000000001</v>
      </c>
      <c r="AN45" s="327"/>
      <c r="AO45" s="327"/>
      <c r="AP45" s="328"/>
    </row>
    <row r="46" spans="1:42">
      <c r="A46" s="351" t="s">
        <v>211</v>
      </c>
      <c r="B46" s="323">
        <v>21</v>
      </c>
      <c r="C46" s="323">
        <v>62</v>
      </c>
      <c r="D46" s="323">
        <v>550</v>
      </c>
      <c r="E46" s="323">
        <v>800</v>
      </c>
      <c r="F46" s="354"/>
      <c r="G46" s="323"/>
      <c r="H46" s="323"/>
      <c r="I46" s="323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323"/>
      <c r="AK46" s="323"/>
      <c r="AL46" s="326">
        <f t="shared" si="0"/>
        <v>800</v>
      </c>
      <c r="AM46" s="327">
        <f t="shared" si="1"/>
        <v>0.57287999999999994</v>
      </c>
      <c r="AN46" s="327"/>
      <c r="AO46" s="327"/>
      <c r="AP46" s="328"/>
    </row>
    <row r="47" spans="1:42">
      <c r="A47" s="351" t="s">
        <v>211</v>
      </c>
      <c r="B47" s="323">
        <v>20</v>
      </c>
      <c r="C47" s="323">
        <v>97</v>
      </c>
      <c r="D47" s="323">
        <v>510</v>
      </c>
      <c r="E47" s="323">
        <v>300</v>
      </c>
      <c r="F47" s="354"/>
      <c r="G47" s="323"/>
      <c r="H47" s="323"/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323"/>
      <c r="AK47" s="323"/>
      <c r="AL47" s="326">
        <f t="shared" si="0"/>
        <v>300</v>
      </c>
      <c r="AM47" s="327">
        <f t="shared" si="1"/>
        <v>0.29681999999999997</v>
      </c>
      <c r="AN47" s="327"/>
      <c r="AO47" s="327"/>
      <c r="AP47" s="328"/>
    </row>
    <row r="48" spans="1:42">
      <c r="A48" s="351" t="s">
        <v>211</v>
      </c>
      <c r="B48" s="323">
        <v>22</v>
      </c>
      <c r="C48" s="323">
        <v>100</v>
      </c>
      <c r="D48" s="323">
        <v>900</v>
      </c>
      <c r="E48" s="323">
        <v>170</v>
      </c>
      <c r="F48" s="354"/>
      <c r="G48" s="323"/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  <c r="AG48" s="323"/>
      <c r="AH48" s="323"/>
      <c r="AI48" s="323"/>
      <c r="AJ48" s="323"/>
      <c r="AK48" s="323"/>
      <c r="AL48" s="326">
        <f t="shared" si="0"/>
        <v>170</v>
      </c>
      <c r="AM48" s="327">
        <f t="shared" si="1"/>
        <v>0.33660000000000001</v>
      </c>
      <c r="AN48" s="327"/>
      <c r="AO48" s="327"/>
      <c r="AP48" s="328"/>
    </row>
    <row r="49" spans="1:42">
      <c r="A49" s="351" t="s">
        <v>211</v>
      </c>
      <c r="B49" s="323">
        <v>21</v>
      </c>
      <c r="C49" s="323">
        <v>62</v>
      </c>
      <c r="D49" s="323">
        <v>660</v>
      </c>
      <c r="E49" s="323">
        <v>350</v>
      </c>
      <c r="F49" s="354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323"/>
      <c r="AK49" s="323"/>
      <c r="AL49" s="326">
        <f t="shared" si="0"/>
        <v>350</v>
      </c>
      <c r="AM49" s="327">
        <f t="shared" si="1"/>
        <v>0.30076199999999997</v>
      </c>
      <c r="AN49" s="327"/>
      <c r="AO49" s="327"/>
      <c r="AP49" s="328"/>
    </row>
    <row r="50" spans="1:42">
      <c r="A50" s="351" t="s">
        <v>213</v>
      </c>
      <c r="B50" s="323">
        <v>15.9</v>
      </c>
      <c r="C50" s="323">
        <v>79.38</v>
      </c>
      <c r="D50" s="323">
        <v>520.70000000000005</v>
      </c>
      <c r="E50" s="323">
        <v>100</v>
      </c>
      <c r="F50" s="354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6">
        <f t="shared" si="0"/>
        <v>100</v>
      </c>
      <c r="AM50" s="327">
        <f t="shared" si="1"/>
        <v>6.5719733940000011E-2</v>
      </c>
      <c r="AN50" s="327"/>
      <c r="AO50" s="327"/>
      <c r="AP50" s="328"/>
    </row>
    <row r="51" spans="1:42">
      <c r="A51" s="351" t="s">
        <v>213</v>
      </c>
      <c r="B51" s="323">
        <v>15.9</v>
      </c>
      <c r="C51" s="323">
        <v>206.4</v>
      </c>
      <c r="D51" s="323">
        <v>444.5</v>
      </c>
      <c r="E51" s="323">
        <v>38</v>
      </c>
      <c r="F51" s="354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  <c r="AK51" s="323"/>
      <c r="AL51" s="326">
        <f t="shared" si="0"/>
        <v>38</v>
      </c>
      <c r="AM51" s="327">
        <f t="shared" si="1"/>
        <v>5.5432208160000003E-2</v>
      </c>
      <c r="AN51" s="327"/>
      <c r="AO51" s="327"/>
      <c r="AP51" s="328"/>
    </row>
    <row r="52" spans="1:42">
      <c r="A52" s="351" t="s">
        <v>213</v>
      </c>
      <c r="B52" s="323">
        <v>15.9</v>
      </c>
      <c r="C52" s="323">
        <v>206.38</v>
      </c>
      <c r="D52" s="323">
        <v>520.70000000000005</v>
      </c>
      <c r="E52" s="323">
        <v>15</v>
      </c>
      <c r="F52" s="354"/>
      <c r="G52" s="323"/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3"/>
      <c r="AE52" s="323"/>
      <c r="AF52" s="323"/>
      <c r="AG52" s="323"/>
      <c r="AH52" s="323"/>
      <c r="AI52" s="323"/>
      <c r="AJ52" s="323"/>
      <c r="AK52" s="323"/>
      <c r="AL52" s="326">
        <f t="shared" si="0"/>
        <v>15</v>
      </c>
      <c r="AM52" s="327">
        <f t="shared" si="1"/>
        <v>2.5629702741000005E-2</v>
      </c>
      <c r="AN52" s="327"/>
      <c r="AO52" s="327"/>
      <c r="AP52" s="328"/>
    </row>
    <row r="53" spans="1:42">
      <c r="A53" s="351" t="s">
        <v>213</v>
      </c>
      <c r="B53" s="323">
        <v>15.9</v>
      </c>
      <c r="C53" s="323">
        <v>155.6</v>
      </c>
      <c r="D53" s="323">
        <v>444.5</v>
      </c>
      <c r="E53" s="323">
        <v>160</v>
      </c>
      <c r="F53" s="354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323"/>
      <c r="AK53" s="323"/>
      <c r="AL53" s="326">
        <f t="shared" si="0"/>
        <v>160</v>
      </c>
      <c r="AM53" s="327">
        <f t="shared" si="1"/>
        <v>0.17595372480000002</v>
      </c>
      <c r="AN53" s="327"/>
      <c r="AO53" s="327"/>
      <c r="AP53" s="328"/>
    </row>
    <row r="54" spans="1:42">
      <c r="A54" s="351" t="s">
        <v>211</v>
      </c>
      <c r="B54" s="323">
        <v>20</v>
      </c>
      <c r="C54" s="323">
        <v>60</v>
      </c>
      <c r="D54" s="323">
        <v>530</v>
      </c>
      <c r="E54" s="323">
        <v>430</v>
      </c>
      <c r="F54" s="354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3"/>
      <c r="AE54" s="323"/>
      <c r="AF54" s="323"/>
      <c r="AG54" s="323"/>
      <c r="AH54" s="323"/>
      <c r="AI54" s="323"/>
      <c r="AJ54" s="323"/>
      <c r="AK54" s="323"/>
      <c r="AL54" s="326">
        <f t="shared" si="0"/>
        <v>430</v>
      </c>
      <c r="AM54" s="327">
        <f t="shared" si="1"/>
        <v>0.27348</v>
      </c>
      <c r="AN54" s="327"/>
      <c r="AO54" s="327"/>
      <c r="AP54" s="328"/>
    </row>
    <row r="55" spans="1:42">
      <c r="A55" s="351" t="s">
        <v>211</v>
      </c>
      <c r="B55" s="323">
        <v>18</v>
      </c>
      <c r="C55" s="323">
        <v>257</v>
      </c>
      <c r="D55" s="323">
        <v>470</v>
      </c>
      <c r="E55" s="323">
        <v>400</v>
      </c>
      <c r="F55" s="354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3"/>
      <c r="AL55" s="326">
        <f t="shared" si="0"/>
        <v>400</v>
      </c>
      <c r="AM55" s="327">
        <f t="shared" si="1"/>
        <v>0.86968800000000002</v>
      </c>
      <c r="AN55" s="327"/>
      <c r="AO55" s="327"/>
      <c r="AP55" s="328"/>
    </row>
    <row r="56" spans="1:42">
      <c r="A56" s="351" t="s">
        <v>213</v>
      </c>
      <c r="B56" s="323">
        <v>15.9</v>
      </c>
      <c r="C56" s="323">
        <v>240</v>
      </c>
      <c r="D56" s="323">
        <v>1370</v>
      </c>
      <c r="E56" s="323">
        <v>14</v>
      </c>
      <c r="F56" s="354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  <c r="AF56" s="323"/>
      <c r="AG56" s="323"/>
      <c r="AH56" s="323"/>
      <c r="AI56" s="323"/>
      <c r="AJ56" s="323"/>
      <c r="AK56" s="323"/>
      <c r="AL56" s="326">
        <f t="shared" si="0"/>
        <v>14</v>
      </c>
      <c r="AM56" s="327">
        <f t="shared" si="1"/>
        <v>7.319088E-2</v>
      </c>
      <c r="AN56" s="327"/>
      <c r="AO56" s="327"/>
      <c r="AP56" s="328"/>
    </row>
    <row r="57" spans="1:42">
      <c r="A57" s="351" t="s">
        <v>213</v>
      </c>
      <c r="B57" s="323">
        <v>15.9</v>
      </c>
      <c r="C57" s="323">
        <v>160</v>
      </c>
      <c r="D57" s="323">
        <v>1650</v>
      </c>
      <c r="E57" s="323">
        <v>39</v>
      </c>
      <c r="F57" s="354"/>
      <c r="G57" s="323"/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323"/>
      <c r="AK57" s="323"/>
      <c r="AL57" s="326">
        <f t="shared" si="0"/>
        <v>39</v>
      </c>
      <c r="AM57" s="327">
        <f t="shared" si="1"/>
        <v>0.1637064</v>
      </c>
      <c r="AN57" s="327"/>
      <c r="AO57" s="327"/>
      <c r="AP57" s="328"/>
    </row>
    <row r="58" spans="1:42">
      <c r="A58" s="351" t="s">
        <v>213</v>
      </c>
      <c r="B58" s="323">
        <v>15</v>
      </c>
      <c r="C58" s="323">
        <v>710</v>
      </c>
      <c r="D58" s="323">
        <v>1650</v>
      </c>
      <c r="E58" s="323">
        <v>30</v>
      </c>
      <c r="F58" s="354"/>
      <c r="G58" s="323"/>
      <c r="H58" s="323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323"/>
      <c r="AK58" s="323"/>
      <c r="AL58" s="326">
        <f t="shared" si="0"/>
        <v>30</v>
      </c>
      <c r="AM58" s="327">
        <f t="shared" si="1"/>
        <v>0.52717499999999995</v>
      </c>
      <c r="AN58" s="327"/>
      <c r="AO58" s="327"/>
      <c r="AP58" s="328"/>
    </row>
    <row r="59" spans="1:42">
      <c r="A59" s="351" t="s">
        <v>212</v>
      </c>
      <c r="B59" s="323">
        <v>15.9</v>
      </c>
      <c r="C59" s="323">
        <v>156</v>
      </c>
      <c r="D59" s="323">
        <v>890</v>
      </c>
      <c r="E59" s="323">
        <v>105</v>
      </c>
      <c r="F59" s="354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  <c r="AK59" s="323"/>
      <c r="AL59" s="326">
        <f t="shared" si="0"/>
        <v>105</v>
      </c>
      <c r="AM59" s="327">
        <f t="shared" si="1"/>
        <v>0.23179337999999999</v>
      </c>
      <c r="AN59" s="327"/>
      <c r="AO59" s="327"/>
      <c r="AP59" s="328"/>
    </row>
    <row r="60" spans="1:42">
      <c r="A60" s="351" t="s">
        <v>212</v>
      </c>
      <c r="B60" s="323">
        <v>15.9</v>
      </c>
      <c r="C60" s="323">
        <v>106</v>
      </c>
      <c r="D60" s="323">
        <v>270</v>
      </c>
      <c r="E60" s="323">
        <v>370</v>
      </c>
      <c r="F60" s="354"/>
      <c r="G60" s="323"/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  <c r="AE60" s="323"/>
      <c r="AF60" s="323"/>
      <c r="AG60" s="323"/>
      <c r="AH60" s="323"/>
      <c r="AI60" s="323"/>
      <c r="AJ60" s="323"/>
      <c r="AK60" s="323"/>
      <c r="AL60" s="326">
        <f t="shared" si="0"/>
        <v>370</v>
      </c>
      <c r="AM60" s="327">
        <f t="shared" si="1"/>
        <v>0.16837146</v>
      </c>
      <c r="AN60" s="323"/>
      <c r="AO60" s="323"/>
      <c r="AP60" s="328"/>
    </row>
    <row r="61" spans="1:42">
      <c r="A61" s="351" t="s">
        <v>212</v>
      </c>
      <c r="B61" s="323">
        <v>15.9</v>
      </c>
      <c r="C61" s="323">
        <v>106</v>
      </c>
      <c r="D61" s="323">
        <v>400</v>
      </c>
      <c r="E61" s="323">
        <v>195</v>
      </c>
      <c r="F61" s="354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  <c r="AG61" s="323"/>
      <c r="AH61" s="323"/>
      <c r="AI61" s="323"/>
      <c r="AJ61" s="323"/>
      <c r="AK61" s="323"/>
      <c r="AL61" s="326">
        <f t="shared" si="0"/>
        <v>195</v>
      </c>
      <c r="AM61" s="327">
        <f t="shared" si="1"/>
        <v>0.1314612</v>
      </c>
      <c r="AN61" s="323"/>
      <c r="AO61" s="323"/>
      <c r="AP61" s="328"/>
    </row>
    <row r="62" spans="1:42">
      <c r="A62" s="351" t="s">
        <v>212</v>
      </c>
      <c r="B62" s="323">
        <v>12.7</v>
      </c>
      <c r="C62" s="323">
        <v>108</v>
      </c>
      <c r="D62" s="323">
        <v>527.1</v>
      </c>
      <c r="E62" s="323">
        <v>750</v>
      </c>
      <c r="F62" s="354"/>
      <c r="G62" s="323"/>
      <c r="H62" s="323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3"/>
      <c r="AE62" s="323"/>
      <c r="AF62" s="323"/>
      <c r="AG62" s="323"/>
      <c r="AH62" s="323"/>
      <c r="AI62" s="323"/>
      <c r="AJ62" s="323"/>
      <c r="AK62" s="323"/>
      <c r="AL62" s="326">
        <f t="shared" si="0"/>
        <v>750</v>
      </c>
      <c r="AM62" s="327">
        <f t="shared" si="1"/>
        <v>0.54222777</v>
      </c>
      <c r="AN62" s="323"/>
      <c r="AO62" s="323"/>
      <c r="AP62" s="328"/>
    </row>
    <row r="63" spans="1:42">
      <c r="A63" s="351" t="s">
        <v>212</v>
      </c>
      <c r="B63" s="323">
        <v>15.9</v>
      </c>
      <c r="C63" s="323">
        <v>102</v>
      </c>
      <c r="D63" s="323">
        <v>445</v>
      </c>
      <c r="E63" s="323">
        <v>1130</v>
      </c>
      <c r="F63" s="354"/>
      <c r="G63" s="323"/>
      <c r="H63" s="323"/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  <c r="AE63" s="323"/>
      <c r="AF63" s="323"/>
      <c r="AG63" s="323"/>
      <c r="AH63" s="323"/>
      <c r="AI63" s="323"/>
      <c r="AJ63" s="323"/>
      <c r="AK63" s="323"/>
      <c r="AL63" s="326">
        <f t="shared" si="0"/>
        <v>1130</v>
      </c>
      <c r="AM63" s="327">
        <f t="shared" si="1"/>
        <v>0.81552212999999996</v>
      </c>
      <c r="AN63" s="323"/>
      <c r="AO63" s="323"/>
      <c r="AP63" s="328"/>
    </row>
    <row r="64" spans="1:42">
      <c r="A64" s="351" t="s">
        <v>212</v>
      </c>
      <c r="B64" s="323">
        <v>15.9</v>
      </c>
      <c r="C64" s="323">
        <v>76.2</v>
      </c>
      <c r="D64" s="323">
        <v>520.70000000000005</v>
      </c>
      <c r="E64" s="323">
        <v>222</v>
      </c>
      <c r="F64" s="354"/>
      <c r="G64" s="323"/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  <c r="AB64" s="323"/>
      <c r="AC64" s="323"/>
      <c r="AD64" s="323"/>
      <c r="AE64" s="323"/>
      <c r="AF64" s="323"/>
      <c r="AG64" s="323"/>
      <c r="AH64" s="323"/>
      <c r="AI64" s="323"/>
      <c r="AJ64" s="323"/>
      <c r="AK64" s="323"/>
      <c r="AL64" s="326">
        <f t="shared" si="0"/>
        <v>222</v>
      </c>
      <c r="AM64" s="327">
        <f t="shared" si="1"/>
        <v>0.14005307473200002</v>
      </c>
      <c r="AN64" s="323"/>
      <c r="AO64" s="323"/>
      <c r="AP64" s="328"/>
    </row>
    <row r="65" spans="1:42">
      <c r="A65" s="351" t="s">
        <v>212</v>
      </c>
      <c r="B65" s="323">
        <v>15.9</v>
      </c>
      <c r="C65" s="323">
        <v>102</v>
      </c>
      <c r="D65" s="323">
        <v>371</v>
      </c>
      <c r="E65" s="323">
        <v>290</v>
      </c>
      <c r="F65" s="354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  <c r="AE65" s="323"/>
      <c r="AF65" s="323"/>
      <c r="AG65" s="323"/>
      <c r="AH65" s="323"/>
      <c r="AI65" s="323"/>
      <c r="AJ65" s="323"/>
      <c r="AK65" s="323"/>
      <c r="AL65" s="326">
        <f t="shared" si="0"/>
        <v>290</v>
      </c>
      <c r="AM65" s="327">
        <f t="shared" si="1"/>
        <v>0.17448946199999998</v>
      </c>
      <c r="AN65" s="323"/>
      <c r="AO65" s="323"/>
      <c r="AP65" s="328"/>
    </row>
    <row r="66" spans="1:42">
      <c r="A66" s="351" t="s">
        <v>213</v>
      </c>
      <c r="B66" s="323">
        <v>15.9</v>
      </c>
      <c r="C66" s="323">
        <v>85.7</v>
      </c>
      <c r="D66" s="323">
        <v>349.3</v>
      </c>
      <c r="E66" s="323">
        <v>80</v>
      </c>
      <c r="F66" s="354"/>
      <c r="G66" s="323"/>
      <c r="H66" s="323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  <c r="AE66" s="323"/>
      <c r="AF66" s="323"/>
      <c r="AG66" s="323"/>
      <c r="AH66" s="323"/>
      <c r="AI66" s="323"/>
      <c r="AJ66" s="323"/>
      <c r="AK66" s="323"/>
      <c r="AL66" s="326">
        <f t="shared" si="0"/>
        <v>80</v>
      </c>
      <c r="AM66" s="327">
        <f t="shared" si="1"/>
        <v>3.8077332720000009E-2</v>
      </c>
      <c r="AN66" s="323"/>
      <c r="AO66" s="323"/>
      <c r="AP66" s="328"/>
    </row>
    <row r="67" spans="1:42">
      <c r="A67" s="351" t="s">
        <v>213</v>
      </c>
      <c r="B67" s="323">
        <v>15.9</v>
      </c>
      <c r="C67" s="323">
        <v>161.9</v>
      </c>
      <c r="D67" s="323">
        <v>523.9</v>
      </c>
      <c r="E67" s="323">
        <v>130</v>
      </c>
      <c r="F67" s="354"/>
      <c r="G67" s="323"/>
      <c r="H67" s="323"/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6">
        <f t="shared" ref="AL67:AL130" si="2">E67-G67-H67-I67-J67-K67-L67-M67-N67-O67-P67-Q67-R67-S67-T67-U67-V67-W67-X67-Y67-Z67-AA67-AB67-AC67-AD67-AE67-AF67-AG67-AH67-AI67-AJ67-AK67</f>
        <v>130</v>
      </c>
      <c r="AM67" s="327">
        <f t="shared" ref="AM67:AM130" si="3">B67*C67*D67*AL67/1000000000</f>
        <v>0.17532172047</v>
      </c>
      <c r="AN67" s="323"/>
      <c r="AO67" s="323"/>
      <c r="AP67" s="328"/>
    </row>
    <row r="68" spans="1:42">
      <c r="A68" s="351" t="s">
        <v>212</v>
      </c>
      <c r="B68" s="323">
        <v>12.7</v>
      </c>
      <c r="C68" s="323">
        <v>1080</v>
      </c>
      <c r="D68" s="323">
        <v>450.85</v>
      </c>
      <c r="E68" s="323">
        <v>77</v>
      </c>
      <c r="F68" s="354"/>
      <c r="G68" s="323"/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  <c r="AE68" s="323"/>
      <c r="AF68" s="323"/>
      <c r="AG68" s="323"/>
      <c r="AH68" s="323"/>
      <c r="AI68" s="323"/>
      <c r="AJ68" s="323"/>
      <c r="AK68" s="323"/>
      <c r="AL68" s="326">
        <f t="shared" si="2"/>
        <v>77</v>
      </c>
      <c r="AM68" s="327">
        <f t="shared" si="3"/>
        <v>0.47615711220000007</v>
      </c>
      <c r="AN68" s="323"/>
      <c r="AO68" s="323"/>
      <c r="AP68" s="328"/>
    </row>
    <row r="69" spans="1:42">
      <c r="A69" s="351" t="s">
        <v>212</v>
      </c>
      <c r="B69" s="323">
        <v>12.7</v>
      </c>
      <c r="C69" s="323">
        <v>1120</v>
      </c>
      <c r="D69" s="323">
        <v>835</v>
      </c>
      <c r="E69" s="323">
        <v>25</v>
      </c>
      <c r="F69" s="354"/>
      <c r="G69" s="323"/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  <c r="AE69" s="323"/>
      <c r="AF69" s="323"/>
      <c r="AG69" s="323"/>
      <c r="AH69" s="323"/>
      <c r="AI69" s="323"/>
      <c r="AJ69" s="323"/>
      <c r="AK69" s="323"/>
      <c r="AL69" s="326">
        <f t="shared" si="2"/>
        <v>25</v>
      </c>
      <c r="AM69" s="327">
        <f t="shared" si="3"/>
        <v>0.29692600000000002</v>
      </c>
      <c r="AN69" s="323"/>
      <c r="AO69" s="323"/>
      <c r="AP69" s="328"/>
    </row>
    <row r="70" spans="1:42">
      <c r="A70" s="351" t="s">
        <v>211</v>
      </c>
      <c r="B70" s="323">
        <v>20</v>
      </c>
      <c r="C70" s="323">
        <v>97</v>
      </c>
      <c r="D70" s="323">
        <v>510</v>
      </c>
      <c r="E70" s="323">
        <v>600</v>
      </c>
      <c r="F70" s="354"/>
      <c r="G70" s="323"/>
      <c r="H70" s="323"/>
      <c r="I70" s="323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  <c r="AG70" s="323"/>
      <c r="AH70" s="323"/>
      <c r="AI70" s="323"/>
      <c r="AJ70" s="323"/>
      <c r="AK70" s="323"/>
      <c r="AL70" s="326">
        <f t="shared" si="2"/>
        <v>600</v>
      </c>
      <c r="AM70" s="327">
        <f t="shared" si="3"/>
        <v>0.59363999999999995</v>
      </c>
      <c r="AN70" s="323"/>
      <c r="AO70" s="323"/>
      <c r="AP70" s="328"/>
    </row>
    <row r="71" spans="1:42">
      <c r="A71" s="351" t="s">
        <v>211</v>
      </c>
      <c r="B71" s="323">
        <v>20</v>
      </c>
      <c r="C71" s="323">
        <v>97</v>
      </c>
      <c r="D71" s="323">
        <v>510</v>
      </c>
      <c r="E71" s="323">
        <v>430</v>
      </c>
      <c r="F71" s="354"/>
      <c r="G71" s="323"/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3"/>
      <c r="AE71" s="323"/>
      <c r="AF71" s="323"/>
      <c r="AG71" s="323"/>
      <c r="AH71" s="323"/>
      <c r="AI71" s="323"/>
      <c r="AJ71" s="323"/>
      <c r="AK71" s="323"/>
      <c r="AL71" s="326">
        <f t="shared" si="2"/>
        <v>430</v>
      </c>
      <c r="AM71" s="327">
        <f t="shared" si="3"/>
        <v>0.42544199999999999</v>
      </c>
      <c r="AN71" s="323"/>
      <c r="AO71" s="323"/>
      <c r="AP71" s="328"/>
    </row>
    <row r="72" spans="1:42">
      <c r="A72" s="351" t="s">
        <v>211</v>
      </c>
      <c r="B72" s="323">
        <v>18</v>
      </c>
      <c r="C72" s="323">
        <v>257</v>
      </c>
      <c r="D72" s="323">
        <v>470</v>
      </c>
      <c r="E72" s="323">
        <v>400</v>
      </c>
      <c r="F72" s="354"/>
      <c r="G72" s="323"/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  <c r="AK72" s="323"/>
      <c r="AL72" s="326">
        <f t="shared" si="2"/>
        <v>400</v>
      </c>
      <c r="AM72" s="327">
        <f t="shared" si="3"/>
        <v>0.86968800000000002</v>
      </c>
      <c r="AN72" s="323"/>
      <c r="AO72" s="323"/>
      <c r="AP72" s="328"/>
    </row>
    <row r="73" spans="1:42">
      <c r="A73" s="351" t="s">
        <v>211</v>
      </c>
      <c r="B73" s="323">
        <v>15.9</v>
      </c>
      <c r="C73" s="323">
        <v>254</v>
      </c>
      <c r="D73" s="323">
        <v>520.70000000000005</v>
      </c>
      <c r="E73" s="323">
        <v>275</v>
      </c>
      <c r="F73" s="354"/>
      <c r="G73" s="323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  <c r="AG73" s="323"/>
      <c r="AH73" s="323"/>
      <c r="AI73" s="323"/>
      <c r="AJ73" s="323"/>
      <c r="AK73" s="323"/>
      <c r="AL73" s="326">
        <f t="shared" si="2"/>
        <v>275</v>
      </c>
      <c r="AM73" s="327">
        <f t="shared" si="3"/>
        <v>0.57829723050000004</v>
      </c>
      <c r="AN73" s="323"/>
      <c r="AO73" s="323"/>
      <c r="AP73" s="328"/>
    </row>
    <row r="74" spans="1:42">
      <c r="A74" s="351" t="s">
        <v>211</v>
      </c>
      <c r="B74" s="323">
        <v>15.9</v>
      </c>
      <c r="C74" s="323">
        <v>254</v>
      </c>
      <c r="D74" s="323">
        <v>520.70000000000005</v>
      </c>
      <c r="E74" s="323">
        <v>270</v>
      </c>
      <c r="F74" s="354"/>
      <c r="G74" s="323"/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6">
        <f t="shared" si="2"/>
        <v>270</v>
      </c>
      <c r="AM74" s="327">
        <f t="shared" si="3"/>
        <v>0.56778273540000002</v>
      </c>
      <c r="AN74" s="323"/>
      <c r="AO74" s="323"/>
      <c r="AP74" s="328"/>
    </row>
    <row r="75" spans="1:42">
      <c r="A75" s="351" t="s">
        <v>212</v>
      </c>
      <c r="B75" s="323">
        <v>15.9</v>
      </c>
      <c r="C75" s="323">
        <v>100</v>
      </c>
      <c r="D75" s="323">
        <v>445</v>
      </c>
      <c r="E75" s="323">
        <v>675</v>
      </c>
      <c r="F75" s="354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6">
        <f t="shared" si="2"/>
        <v>675</v>
      </c>
      <c r="AM75" s="327">
        <f t="shared" si="3"/>
        <v>0.47759625</v>
      </c>
      <c r="AN75" s="323"/>
      <c r="AO75" s="323"/>
      <c r="AP75" s="328"/>
    </row>
    <row r="76" spans="1:42">
      <c r="A76" s="351" t="s">
        <v>211</v>
      </c>
      <c r="B76" s="323">
        <v>16</v>
      </c>
      <c r="C76" s="323">
        <v>257</v>
      </c>
      <c r="D76" s="323">
        <v>550</v>
      </c>
      <c r="E76" s="323">
        <v>200</v>
      </c>
      <c r="F76" s="354"/>
      <c r="G76" s="323"/>
      <c r="H76" s="323"/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  <c r="AG76" s="323"/>
      <c r="AH76" s="323"/>
      <c r="AI76" s="323"/>
      <c r="AJ76" s="323"/>
      <c r="AK76" s="323"/>
      <c r="AL76" s="326">
        <f t="shared" si="2"/>
        <v>200</v>
      </c>
      <c r="AM76" s="327">
        <f t="shared" si="3"/>
        <v>0.45232</v>
      </c>
      <c r="AN76" s="323"/>
      <c r="AO76" s="323"/>
      <c r="AP76" s="328"/>
    </row>
    <row r="77" spans="1:42">
      <c r="A77" s="351" t="s">
        <v>213</v>
      </c>
      <c r="B77" s="323">
        <v>15.9</v>
      </c>
      <c r="C77" s="323">
        <v>85.7</v>
      </c>
      <c r="D77" s="323">
        <v>600.1</v>
      </c>
      <c r="E77" s="323">
        <v>260</v>
      </c>
      <c r="F77" s="354"/>
      <c r="G77" s="323"/>
      <c r="H77" s="323"/>
      <c r="I77" s="323"/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  <c r="AE77" s="323"/>
      <c r="AF77" s="323"/>
      <c r="AG77" s="323"/>
      <c r="AH77" s="323"/>
      <c r="AI77" s="323"/>
      <c r="AJ77" s="323"/>
      <c r="AK77" s="323"/>
      <c r="AL77" s="326">
        <f t="shared" si="2"/>
        <v>260</v>
      </c>
      <c r="AM77" s="327">
        <f t="shared" si="3"/>
        <v>0.21260570838000004</v>
      </c>
      <c r="AN77" s="323"/>
      <c r="AO77" s="323"/>
      <c r="AP77" s="328"/>
    </row>
    <row r="78" spans="1:42">
      <c r="A78" s="351" t="s">
        <v>212</v>
      </c>
      <c r="B78" s="323">
        <v>12.7</v>
      </c>
      <c r="C78" s="323">
        <v>158.75</v>
      </c>
      <c r="D78" s="323">
        <v>527.04999999999995</v>
      </c>
      <c r="E78" s="323">
        <v>410</v>
      </c>
      <c r="F78" s="354"/>
      <c r="G78" s="323"/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  <c r="AG78" s="323"/>
      <c r="AH78" s="323"/>
      <c r="AI78" s="323"/>
      <c r="AJ78" s="323"/>
      <c r="AK78" s="323"/>
      <c r="AL78" s="326">
        <f t="shared" si="2"/>
        <v>410</v>
      </c>
      <c r="AM78" s="327">
        <f t="shared" si="3"/>
        <v>0.43566545931249995</v>
      </c>
      <c r="AN78" s="323"/>
      <c r="AO78" s="323"/>
      <c r="AP78" s="328"/>
    </row>
    <row r="79" spans="1:42">
      <c r="A79" s="351" t="s">
        <v>211</v>
      </c>
      <c r="B79" s="323">
        <v>45</v>
      </c>
      <c r="C79" s="323">
        <v>640</v>
      </c>
      <c r="D79" s="323">
        <v>1250</v>
      </c>
      <c r="E79" s="323">
        <v>17</v>
      </c>
      <c r="F79" s="354"/>
      <c r="G79" s="323"/>
      <c r="H79" s="323"/>
      <c r="I79" s="323"/>
      <c r="J79" s="323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  <c r="AE79" s="323"/>
      <c r="AF79" s="323"/>
      <c r="AG79" s="323"/>
      <c r="AH79" s="323"/>
      <c r="AI79" s="323"/>
      <c r="AJ79" s="323"/>
      <c r="AK79" s="323"/>
      <c r="AL79" s="326">
        <f t="shared" si="2"/>
        <v>17</v>
      </c>
      <c r="AM79" s="327">
        <f t="shared" si="3"/>
        <v>0.61199999999999999</v>
      </c>
      <c r="AN79" s="323"/>
      <c r="AO79" s="323"/>
      <c r="AP79" s="328"/>
    </row>
    <row r="80" spans="1:42">
      <c r="A80" s="351" t="s">
        <v>213</v>
      </c>
      <c r="B80" s="323">
        <v>15.9</v>
      </c>
      <c r="C80" s="323">
        <v>254</v>
      </c>
      <c r="D80" s="323">
        <v>133.5</v>
      </c>
      <c r="E80" s="323">
        <v>46</v>
      </c>
      <c r="F80" s="354"/>
      <c r="G80" s="323"/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323"/>
      <c r="AK80" s="323"/>
      <c r="AL80" s="326">
        <f t="shared" si="2"/>
        <v>46</v>
      </c>
      <c r="AM80" s="327">
        <f t="shared" si="3"/>
        <v>2.4801042599999996E-2</v>
      </c>
      <c r="AN80" s="323"/>
      <c r="AO80" s="323"/>
      <c r="AP80" s="328"/>
    </row>
    <row r="81" spans="1:42">
      <c r="A81" s="351" t="s">
        <v>213</v>
      </c>
      <c r="B81" s="323">
        <v>15.9</v>
      </c>
      <c r="C81" s="323">
        <v>161.9</v>
      </c>
      <c r="D81" s="323">
        <v>1133.5</v>
      </c>
      <c r="E81" s="323">
        <v>26</v>
      </c>
      <c r="F81" s="354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  <c r="AG81" s="323"/>
      <c r="AH81" s="323"/>
      <c r="AI81" s="323"/>
      <c r="AJ81" s="323"/>
      <c r="AK81" s="323"/>
      <c r="AL81" s="326">
        <f t="shared" si="2"/>
        <v>26</v>
      </c>
      <c r="AM81" s="327">
        <f t="shared" si="3"/>
        <v>7.5864542909999999E-2</v>
      </c>
      <c r="AN81" s="323"/>
      <c r="AO81" s="323"/>
      <c r="AP81" s="328"/>
    </row>
    <row r="82" spans="1:42">
      <c r="A82" s="351" t="s">
        <v>211</v>
      </c>
      <c r="B82" s="323">
        <v>15.9</v>
      </c>
      <c r="C82" s="323">
        <v>254</v>
      </c>
      <c r="D82" s="323">
        <v>444.5</v>
      </c>
      <c r="E82" s="323">
        <v>180</v>
      </c>
      <c r="F82" s="354"/>
      <c r="G82" s="323"/>
      <c r="H82" s="323"/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  <c r="AG82" s="323"/>
      <c r="AH82" s="323"/>
      <c r="AI82" s="323"/>
      <c r="AJ82" s="323"/>
      <c r="AK82" s="323"/>
      <c r="AL82" s="326">
        <f t="shared" si="2"/>
        <v>180</v>
      </c>
      <c r="AM82" s="327">
        <f t="shared" si="3"/>
        <v>0.32312838599999999</v>
      </c>
      <c r="AN82" s="323"/>
      <c r="AO82" s="323"/>
      <c r="AP82" s="328"/>
    </row>
    <row r="83" spans="1:42">
      <c r="A83" s="351" t="s">
        <v>213</v>
      </c>
      <c r="B83" s="323">
        <v>16.399999999999999</v>
      </c>
      <c r="C83" s="323">
        <v>282</v>
      </c>
      <c r="D83" s="323">
        <v>1235</v>
      </c>
      <c r="E83" s="323">
        <v>111</v>
      </c>
      <c r="F83" s="354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6">
        <f t="shared" si="2"/>
        <v>111</v>
      </c>
      <c r="AM83" s="327">
        <f t="shared" si="3"/>
        <v>0.6339907079999999</v>
      </c>
      <c r="AN83" s="323"/>
      <c r="AO83" s="323"/>
      <c r="AP83" s="328"/>
    </row>
    <row r="84" spans="1:42">
      <c r="A84" s="351" t="s">
        <v>213</v>
      </c>
      <c r="B84" s="323">
        <v>16</v>
      </c>
      <c r="C84" s="323">
        <v>68</v>
      </c>
      <c r="D84" s="323">
        <v>1223</v>
      </c>
      <c r="E84" s="323">
        <v>219</v>
      </c>
      <c r="F84" s="354"/>
      <c r="G84" s="323"/>
      <c r="H84" s="323"/>
      <c r="I84" s="323"/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  <c r="AE84" s="323"/>
      <c r="AF84" s="323"/>
      <c r="AG84" s="323"/>
      <c r="AH84" s="323"/>
      <c r="AI84" s="323"/>
      <c r="AJ84" s="323"/>
      <c r="AK84" s="323"/>
      <c r="AL84" s="326">
        <f t="shared" si="2"/>
        <v>219</v>
      </c>
      <c r="AM84" s="327">
        <f t="shared" si="3"/>
        <v>0.29140665599999999</v>
      </c>
      <c r="AN84" s="323"/>
      <c r="AO84" s="323"/>
      <c r="AP84" s="328"/>
    </row>
    <row r="85" spans="1:42">
      <c r="A85" s="351" t="s">
        <v>213</v>
      </c>
      <c r="B85" s="323">
        <v>17</v>
      </c>
      <c r="C85" s="323">
        <v>283</v>
      </c>
      <c r="D85" s="323">
        <v>1224</v>
      </c>
      <c r="E85" s="323">
        <v>86</v>
      </c>
      <c r="F85" s="354"/>
      <c r="G85" s="323"/>
      <c r="H85" s="323"/>
      <c r="I85" s="323"/>
      <c r="J85" s="323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  <c r="AE85" s="323"/>
      <c r="AF85" s="323"/>
      <c r="AG85" s="323"/>
      <c r="AH85" s="323"/>
      <c r="AI85" s="323"/>
      <c r="AJ85" s="323"/>
      <c r="AK85" s="323"/>
      <c r="AL85" s="326">
        <f t="shared" si="2"/>
        <v>86</v>
      </c>
      <c r="AM85" s="327">
        <f t="shared" si="3"/>
        <v>0.50642510399999996</v>
      </c>
      <c r="AN85" s="323"/>
      <c r="AO85" s="323"/>
      <c r="AP85" s="328"/>
    </row>
    <row r="86" spans="1:42">
      <c r="A86" s="351" t="s">
        <v>211</v>
      </c>
      <c r="B86" s="323">
        <v>15.9</v>
      </c>
      <c r="C86" s="323">
        <v>254</v>
      </c>
      <c r="D86" s="323">
        <v>444.5</v>
      </c>
      <c r="E86" s="323">
        <v>240</v>
      </c>
      <c r="F86" s="354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23"/>
      <c r="AB86" s="323"/>
      <c r="AC86" s="323"/>
      <c r="AD86" s="323"/>
      <c r="AE86" s="323"/>
      <c r="AF86" s="323"/>
      <c r="AG86" s="323"/>
      <c r="AH86" s="323"/>
      <c r="AI86" s="323"/>
      <c r="AJ86" s="323"/>
      <c r="AK86" s="323"/>
      <c r="AL86" s="326">
        <f t="shared" si="2"/>
        <v>240</v>
      </c>
      <c r="AM86" s="327">
        <f t="shared" si="3"/>
        <v>0.43083784800000002</v>
      </c>
      <c r="AN86" s="323"/>
      <c r="AO86" s="323"/>
      <c r="AP86" s="328"/>
    </row>
    <row r="87" spans="1:42">
      <c r="A87" s="351" t="s">
        <v>212</v>
      </c>
      <c r="B87" s="323">
        <v>12.7</v>
      </c>
      <c r="C87" s="323">
        <v>158.75</v>
      </c>
      <c r="D87" s="323">
        <v>1219</v>
      </c>
      <c r="E87" s="323">
        <v>198</v>
      </c>
      <c r="F87" s="354"/>
      <c r="G87" s="323"/>
      <c r="H87" s="323"/>
      <c r="I87" s="323"/>
      <c r="J87" s="323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3"/>
      <c r="AE87" s="323"/>
      <c r="AF87" s="323"/>
      <c r="AG87" s="323"/>
      <c r="AH87" s="323"/>
      <c r="AI87" s="323"/>
      <c r="AJ87" s="323"/>
      <c r="AK87" s="323"/>
      <c r="AL87" s="326">
        <f t="shared" si="2"/>
        <v>198</v>
      </c>
      <c r="AM87" s="327">
        <f t="shared" si="3"/>
        <v>0.48661596224999998</v>
      </c>
      <c r="AN87" s="323"/>
      <c r="AO87" s="323"/>
      <c r="AP87" s="328"/>
    </row>
    <row r="88" spans="1:42">
      <c r="A88" s="351" t="s">
        <v>212</v>
      </c>
      <c r="B88" s="323">
        <v>12.7</v>
      </c>
      <c r="C88" s="323">
        <v>158.75</v>
      </c>
      <c r="D88" s="323">
        <v>1219</v>
      </c>
      <c r="E88" s="323">
        <v>170</v>
      </c>
      <c r="F88" s="354"/>
      <c r="G88" s="323"/>
      <c r="H88" s="323"/>
      <c r="I88" s="323"/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23"/>
      <c r="AB88" s="323"/>
      <c r="AC88" s="323"/>
      <c r="AD88" s="323"/>
      <c r="AE88" s="323"/>
      <c r="AF88" s="323"/>
      <c r="AG88" s="323"/>
      <c r="AH88" s="323"/>
      <c r="AI88" s="323"/>
      <c r="AJ88" s="323"/>
      <c r="AK88" s="323"/>
      <c r="AL88" s="326">
        <f t="shared" si="2"/>
        <v>170</v>
      </c>
      <c r="AM88" s="327">
        <f t="shared" si="3"/>
        <v>0.41780158374999998</v>
      </c>
      <c r="AN88" s="323"/>
      <c r="AO88" s="323"/>
      <c r="AP88" s="328"/>
    </row>
    <row r="89" spans="1:42">
      <c r="A89" s="351" t="s">
        <v>213</v>
      </c>
      <c r="B89" s="323">
        <v>15.9</v>
      </c>
      <c r="C89" s="323">
        <v>161.9</v>
      </c>
      <c r="D89" s="323">
        <v>520.70000000000005</v>
      </c>
      <c r="E89" s="323">
        <v>320</v>
      </c>
      <c r="F89" s="354"/>
      <c r="G89" s="323"/>
      <c r="H89" s="323"/>
      <c r="I89" s="323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  <c r="AE89" s="323"/>
      <c r="AF89" s="323"/>
      <c r="AG89" s="323"/>
      <c r="AH89" s="323"/>
      <c r="AI89" s="323"/>
      <c r="AJ89" s="323"/>
      <c r="AK89" s="323"/>
      <c r="AL89" s="326">
        <f t="shared" si="2"/>
        <v>320</v>
      </c>
      <c r="AM89" s="327">
        <f t="shared" si="3"/>
        <v>0.42892516704</v>
      </c>
      <c r="AN89" s="323"/>
      <c r="AO89" s="323"/>
      <c r="AP89" s="328"/>
    </row>
    <row r="90" spans="1:42">
      <c r="A90" s="351" t="s">
        <v>212</v>
      </c>
      <c r="B90" s="323">
        <v>12.7</v>
      </c>
      <c r="C90" s="323">
        <v>158.75</v>
      </c>
      <c r="D90" s="323">
        <v>450.85</v>
      </c>
      <c r="E90" s="323">
        <v>450</v>
      </c>
      <c r="F90" s="354"/>
      <c r="G90" s="323"/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  <c r="AK90" s="323"/>
      <c r="AL90" s="326">
        <f t="shared" si="2"/>
        <v>450</v>
      </c>
      <c r="AM90" s="327">
        <f t="shared" si="3"/>
        <v>0.40903648031250001</v>
      </c>
      <c r="AN90" s="323"/>
      <c r="AO90" s="323"/>
      <c r="AP90" s="328"/>
    </row>
    <row r="91" spans="1:42">
      <c r="A91" s="351" t="s">
        <v>213</v>
      </c>
      <c r="B91" s="323">
        <v>15.9</v>
      </c>
      <c r="C91" s="323">
        <v>161.9</v>
      </c>
      <c r="D91" s="323">
        <v>371.5</v>
      </c>
      <c r="E91" s="323">
        <v>20</v>
      </c>
      <c r="F91" s="354"/>
      <c r="G91" s="323"/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6">
        <f t="shared" si="2"/>
        <v>20</v>
      </c>
      <c r="AM91" s="327">
        <f t="shared" si="3"/>
        <v>1.9126380300000002E-2</v>
      </c>
      <c r="AN91" s="323"/>
      <c r="AO91" s="323"/>
      <c r="AP91" s="328"/>
    </row>
    <row r="92" spans="1:42">
      <c r="A92" s="351" t="s">
        <v>213</v>
      </c>
      <c r="B92" s="323">
        <v>15.9</v>
      </c>
      <c r="C92" s="323">
        <v>85.7</v>
      </c>
      <c r="D92" s="323">
        <v>654.1</v>
      </c>
      <c r="E92" s="323">
        <v>40</v>
      </c>
      <c r="F92" s="354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  <c r="AE92" s="323"/>
      <c r="AF92" s="323"/>
      <c r="AG92" s="323"/>
      <c r="AH92" s="323"/>
      <c r="AI92" s="323"/>
      <c r="AJ92" s="323"/>
      <c r="AK92" s="323"/>
      <c r="AL92" s="326">
        <f t="shared" si="2"/>
        <v>40</v>
      </c>
      <c r="AM92" s="327">
        <f t="shared" si="3"/>
        <v>3.5651851319999997E-2</v>
      </c>
      <c r="AN92" s="323"/>
      <c r="AO92" s="323"/>
      <c r="AP92" s="328"/>
    </row>
    <row r="93" spans="1:42">
      <c r="A93" s="351" t="s">
        <v>213</v>
      </c>
      <c r="B93" s="323">
        <v>15.9</v>
      </c>
      <c r="C93" s="323">
        <v>161.9</v>
      </c>
      <c r="D93" s="323">
        <v>295.3</v>
      </c>
      <c r="E93" s="323">
        <v>10</v>
      </c>
      <c r="F93" s="354"/>
      <c r="G93" s="323"/>
      <c r="H93" s="323"/>
      <c r="I93" s="323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  <c r="AG93" s="323"/>
      <c r="AH93" s="323"/>
      <c r="AI93" s="323"/>
      <c r="AJ93" s="323"/>
      <c r="AK93" s="323"/>
      <c r="AL93" s="326">
        <f t="shared" si="2"/>
        <v>10</v>
      </c>
      <c r="AM93" s="327">
        <f t="shared" si="3"/>
        <v>7.6016421299999999E-3</v>
      </c>
      <c r="AN93" s="323"/>
      <c r="AO93" s="323"/>
      <c r="AP93" s="328"/>
    </row>
    <row r="94" spans="1:42">
      <c r="A94" s="351" t="s">
        <v>213</v>
      </c>
      <c r="B94" s="323">
        <v>15.9</v>
      </c>
      <c r="C94" s="323">
        <v>85.7</v>
      </c>
      <c r="D94" s="323">
        <v>752.5</v>
      </c>
      <c r="E94" s="323">
        <v>160</v>
      </c>
      <c r="F94" s="354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/>
      <c r="AF94" s="323"/>
      <c r="AG94" s="323"/>
      <c r="AH94" s="323"/>
      <c r="AI94" s="323"/>
      <c r="AJ94" s="323"/>
      <c r="AK94" s="323"/>
      <c r="AL94" s="326">
        <f t="shared" si="2"/>
        <v>160</v>
      </c>
      <c r="AM94" s="327">
        <f t="shared" si="3"/>
        <v>0.164060652</v>
      </c>
      <c r="AN94" s="323"/>
      <c r="AO94" s="323"/>
      <c r="AP94" s="328"/>
    </row>
    <row r="95" spans="1:42">
      <c r="A95" s="351" t="s">
        <v>213</v>
      </c>
      <c r="B95" s="323">
        <v>15.5</v>
      </c>
      <c r="C95" s="323">
        <v>110</v>
      </c>
      <c r="D95" s="323">
        <v>400</v>
      </c>
      <c r="E95" s="323">
        <v>288</v>
      </c>
      <c r="F95" s="354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  <c r="AK95" s="323"/>
      <c r="AL95" s="326">
        <f t="shared" si="2"/>
        <v>288</v>
      </c>
      <c r="AM95" s="327">
        <f t="shared" si="3"/>
        <v>0.19641600000000001</v>
      </c>
      <c r="AN95" s="323"/>
      <c r="AO95" s="323"/>
      <c r="AP95" s="328"/>
    </row>
    <row r="96" spans="1:42">
      <c r="A96" s="351" t="s">
        <v>213</v>
      </c>
      <c r="B96" s="323">
        <v>15.5</v>
      </c>
      <c r="C96" s="323">
        <v>105</v>
      </c>
      <c r="D96" s="323">
        <v>546</v>
      </c>
      <c r="E96" s="323">
        <v>52</v>
      </c>
      <c r="F96" s="354"/>
      <c r="G96" s="323"/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  <c r="AG96" s="323"/>
      <c r="AH96" s="323"/>
      <c r="AI96" s="323"/>
      <c r="AJ96" s="323"/>
      <c r="AK96" s="323"/>
      <c r="AL96" s="326">
        <f t="shared" si="2"/>
        <v>52</v>
      </c>
      <c r="AM96" s="327">
        <f t="shared" si="3"/>
        <v>4.6207980000000003E-2</v>
      </c>
      <c r="AN96" s="323"/>
      <c r="AO96" s="323"/>
      <c r="AP96" s="328"/>
    </row>
    <row r="97" spans="1:42">
      <c r="A97" s="351" t="s">
        <v>213</v>
      </c>
      <c r="B97" s="323">
        <v>15.5</v>
      </c>
      <c r="C97" s="323">
        <v>53</v>
      </c>
      <c r="D97" s="323">
        <v>930</v>
      </c>
      <c r="E97" s="323">
        <v>546</v>
      </c>
      <c r="F97" s="354"/>
      <c r="G97" s="323"/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  <c r="AG97" s="323"/>
      <c r="AH97" s="323"/>
      <c r="AI97" s="323"/>
      <c r="AJ97" s="323"/>
      <c r="AK97" s="323"/>
      <c r="AL97" s="326">
        <f t="shared" si="2"/>
        <v>546</v>
      </c>
      <c r="AM97" s="327">
        <f t="shared" si="3"/>
        <v>0.41714127000000001</v>
      </c>
      <c r="AN97" s="323"/>
      <c r="AO97" s="323"/>
      <c r="AP97" s="328"/>
    </row>
    <row r="98" spans="1:42">
      <c r="A98" s="351" t="s">
        <v>212</v>
      </c>
      <c r="B98" s="323">
        <v>15.9</v>
      </c>
      <c r="C98" s="323">
        <v>155</v>
      </c>
      <c r="D98" s="323">
        <v>538</v>
      </c>
      <c r="E98" s="323">
        <v>215</v>
      </c>
      <c r="F98" s="354"/>
      <c r="G98" s="323"/>
      <c r="H98" s="323"/>
      <c r="I98" s="323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3"/>
      <c r="AE98" s="323"/>
      <c r="AF98" s="323"/>
      <c r="AG98" s="323"/>
      <c r="AH98" s="323"/>
      <c r="AI98" s="323"/>
      <c r="AJ98" s="323"/>
      <c r="AK98" s="323"/>
      <c r="AL98" s="326">
        <f t="shared" si="2"/>
        <v>215</v>
      </c>
      <c r="AM98" s="327">
        <f t="shared" si="3"/>
        <v>0.28506871499999997</v>
      </c>
      <c r="AN98" s="323"/>
      <c r="AO98" s="323"/>
      <c r="AP98" s="328"/>
    </row>
    <row r="99" spans="1:42">
      <c r="A99" s="351" t="s">
        <v>212</v>
      </c>
      <c r="B99" s="323">
        <v>15.9</v>
      </c>
      <c r="C99" s="323">
        <v>156</v>
      </c>
      <c r="D99" s="323">
        <v>930</v>
      </c>
      <c r="E99" s="323">
        <v>73</v>
      </c>
      <c r="F99" s="354"/>
      <c r="G99" s="323"/>
      <c r="H99" s="323"/>
      <c r="I99" s="323"/>
      <c r="J99" s="323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3"/>
      <c r="AE99" s="323"/>
      <c r="AF99" s="323"/>
      <c r="AG99" s="323"/>
      <c r="AH99" s="323"/>
      <c r="AI99" s="323"/>
      <c r="AJ99" s="323"/>
      <c r="AK99" s="323"/>
      <c r="AL99" s="326">
        <f t="shared" si="2"/>
        <v>73</v>
      </c>
      <c r="AM99" s="327">
        <f t="shared" si="3"/>
        <v>0.168394356</v>
      </c>
      <c r="AN99" s="323"/>
      <c r="AO99" s="323"/>
      <c r="AP99" s="328"/>
    </row>
    <row r="100" spans="1:42">
      <c r="A100" s="351" t="s">
        <v>212</v>
      </c>
      <c r="B100" s="323">
        <v>15.9</v>
      </c>
      <c r="C100" s="323">
        <v>101.6</v>
      </c>
      <c r="D100" s="323">
        <v>520.70000000000005</v>
      </c>
      <c r="E100" s="323">
        <v>550</v>
      </c>
      <c r="F100" s="354"/>
      <c r="G100" s="323"/>
      <c r="H100" s="323"/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3"/>
      <c r="AE100" s="323"/>
      <c r="AF100" s="323"/>
      <c r="AG100" s="323"/>
      <c r="AH100" s="323"/>
      <c r="AI100" s="323"/>
      <c r="AJ100" s="323"/>
      <c r="AK100" s="323"/>
      <c r="AL100" s="326">
        <f t="shared" si="2"/>
        <v>550</v>
      </c>
      <c r="AM100" s="327">
        <f t="shared" si="3"/>
        <v>0.46263778440000008</v>
      </c>
      <c r="AN100" s="323"/>
      <c r="AO100" s="323"/>
      <c r="AP100" s="328"/>
    </row>
    <row r="101" spans="1:42">
      <c r="A101" s="351" t="s">
        <v>212</v>
      </c>
      <c r="B101" s="323">
        <v>13</v>
      </c>
      <c r="C101" s="323">
        <v>261</v>
      </c>
      <c r="D101" s="323">
        <v>1220</v>
      </c>
      <c r="E101" s="323">
        <v>135</v>
      </c>
      <c r="F101" s="354"/>
      <c r="G101" s="323"/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  <c r="AG101" s="323"/>
      <c r="AH101" s="323"/>
      <c r="AI101" s="323"/>
      <c r="AJ101" s="323"/>
      <c r="AK101" s="323"/>
      <c r="AL101" s="326">
        <f t="shared" si="2"/>
        <v>135</v>
      </c>
      <c r="AM101" s="327">
        <f t="shared" si="3"/>
        <v>0.55882710000000002</v>
      </c>
      <c r="AN101" s="323"/>
      <c r="AO101" s="323"/>
      <c r="AP101" s="328"/>
    </row>
    <row r="102" spans="1:42">
      <c r="A102" s="351" t="s">
        <v>213</v>
      </c>
      <c r="B102" s="323">
        <v>15.9</v>
      </c>
      <c r="C102" s="323">
        <v>254</v>
      </c>
      <c r="D102" s="323">
        <v>371.5</v>
      </c>
      <c r="E102" s="323">
        <v>318</v>
      </c>
      <c r="F102" s="354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3"/>
      <c r="AE102" s="323"/>
      <c r="AF102" s="323"/>
      <c r="AG102" s="323"/>
      <c r="AH102" s="323"/>
      <c r="AI102" s="323"/>
      <c r="AJ102" s="323"/>
      <c r="AK102" s="323"/>
      <c r="AL102" s="326">
        <f t="shared" si="2"/>
        <v>318</v>
      </c>
      <c r="AM102" s="327">
        <f t="shared" si="3"/>
        <v>0.4771080882</v>
      </c>
      <c r="AN102" s="323"/>
      <c r="AO102" s="323"/>
      <c r="AP102" s="328"/>
    </row>
    <row r="103" spans="1:42">
      <c r="A103" s="351" t="s">
        <v>212</v>
      </c>
      <c r="B103" s="323">
        <v>12.7</v>
      </c>
      <c r="C103" s="323">
        <v>107.95</v>
      </c>
      <c r="D103" s="323">
        <v>527.04999999999995</v>
      </c>
      <c r="E103" s="323">
        <v>600</v>
      </c>
      <c r="F103" s="354"/>
      <c r="G103" s="323"/>
      <c r="H103" s="323"/>
      <c r="I103" s="323"/>
      <c r="J103" s="323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3"/>
      <c r="AE103" s="323"/>
      <c r="AF103" s="323"/>
      <c r="AG103" s="323"/>
      <c r="AH103" s="323"/>
      <c r="AI103" s="323"/>
      <c r="AJ103" s="323"/>
      <c r="AK103" s="323"/>
      <c r="AL103" s="326">
        <f t="shared" si="2"/>
        <v>600</v>
      </c>
      <c r="AM103" s="327">
        <f t="shared" si="3"/>
        <v>0.43354026194999995</v>
      </c>
      <c r="AN103" s="323"/>
      <c r="AO103" s="323"/>
      <c r="AP103" s="328"/>
    </row>
    <row r="104" spans="1:42">
      <c r="A104" s="351" t="s">
        <v>212</v>
      </c>
      <c r="B104" s="323">
        <v>12.7</v>
      </c>
      <c r="C104" s="323">
        <v>107.95</v>
      </c>
      <c r="D104" s="323">
        <v>527.04999999999995</v>
      </c>
      <c r="E104" s="323">
        <v>600</v>
      </c>
      <c r="F104" s="354"/>
      <c r="G104" s="323"/>
      <c r="H104" s="323"/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3"/>
      <c r="AE104" s="323"/>
      <c r="AF104" s="323"/>
      <c r="AG104" s="323"/>
      <c r="AH104" s="323"/>
      <c r="AI104" s="323"/>
      <c r="AJ104" s="323"/>
      <c r="AK104" s="323"/>
      <c r="AL104" s="326">
        <f t="shared" si="2"/>
        <v>600</v>
      </c>
      <c r="AM104" s="327">
        <f t="shared" si="3"/>
        <v>0.43354026194999995</v>
      </c>
      <c r="AN104" s="323"/>
      <c r="AO104" s="323"/>
      <c r="AP104" s="328"/>
    </row>
    <row r="105" spans="1:42">
      <c r="A105" s="351" t="s">
        <v>213</v>
      </c>
      <c r="B105" s="323">
        <v>15.9</v>
      </c>
      <c r="C105" s="323">
        <v>161.9</v>
      </c>
      <c r="D105" s="323">
        <v>295.3</v>
      </c>
      <c r="E105" s="323">
        <v>560</v>
      </c>
      <c r="F105" s="354"/>
      <c r="G105" s="323"/>
      <c r="H105" s="323"/>
      <c r="I105" s="323"/>
      <c r="J105" s="323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3"/>
      <c r="AE105" s="323"/>
      <c r="AF105" s="323"/>
      <c r="AG105" s="323"/>
      <c r="AH105" s="323"/>
      <c r="AI105" s="323"/>
      <c r="AJ105" s="323"/>
      <c r="AK105" s="323"/>
      <c r="AL105" s="326">
        <f t="shared" si="2"/>
        <v>560</v>
      </c>
      <c r="AM105" s="327">
        <f t="shared" si="3"/>
        <v>0.42569195927999998</v>
      </c>
      <c r="AN105" s="323"/>
      <c r="AO105" s="323"/>
      <c r="AP105" s="328"/>
    </row>
    <row r="106" spans="1:42">
      <c r="A106" s="351" t="s">
        <v>212</v>
      </c>
      <c r="B106" s="323">
        <v>12.7</v>
      </c>
      <c r="C106" s="323">
        <v>158.75</v>
      </c>
      <c r="D106" s="323">
        <v>450.85</v>
      </c>
      <c r="E106" s="323">
        <v>540</v>
      </c>
      <c r="F106" s="354"/>
      <c r="G106" s="323"/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3"/>
      <c r="AE106" s="323"/>
      <c r="AF106" s="323"/>
      <c r="AG106" s="323"/>
      <c r="AH106" s="323"/>
      <c r="AI106" s="323"/>
      <c r="AJ106" s="323"/>
      <c r="AK106" s="323"/>
      <c r="AL106" s="326">
        <f t="shared" si="2"/>
        <v>540</v>
      </c>
      <c r="AM106" s="327">
        <f t="shared" si="3"/>
        <v>0.49084377637499998</v>
      </c>
      <c r="AN106" s="323"/>
      <c r="AO106" s="323"/>
      <c r="AP106" s="328"/>
    </row>
    <row r="107" spans="1:42">
      <c r="A107" s="351" t="s">
        <v>212</v>
      </c>
      <c r="B107" s="323">
        <v>12.7</v>
      </c>
      <c r="C107" s="323">
        <v>209.55</v>
      </c>
      <c r="D107" s="323">
        <v>527.04999999999995</v>
      </c>
      <c r="E107" s="323">
        <v>160</v>
      </c>
      <c r="F107" s="354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6">
        <f t="shared" si="2"/>
        <v>160</v>
      </c>
      <c r="AM107" s="327">
        <f t="shared" si="3"/>
        <v>0.22442084147999999</v>
      </c>
      <c r="AN107" s="323"/>
      <c r="AO107" s="323"/>
      <c r="AP107" s="328"/>
    </row>
    <row r="108" spans="1:42">
      <c r="A108" s="351" t="s">
        <v>213</v>
      </c>
      <c r="B108" s="323">
        <v>19.05</v>
      </c>
      <c r="C108" s="323">
        <v>33.299999999999997</v>
      </c>
      <c r="D108" s="323">
        <v>458</v>
      </c>
      <c r="E108" s="323">
        <v>1320</v>
      </c>
      <c r="F108" s="354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  <c r="AE108" s="323"/>
      <c r="AF108" s="323"/>
      <c r="AG108" s="323"/>
      <c r="AH108" s="323"/>
      <c r="AI108" s="323"/>
      <c r="AJ108" s="323"/>
      <c r="AK108" s="323"/>
      <c r="AL108" s="326">
        <f t="shared" si="2"/>
        <v>1320</v>
      </c>
      <c r="AM108" s="327">
        <f t="shared" si="3"/>
        <v>0.38351170439999999</v>
      </c>
      <c r="AN108" s="323"/>
      <c r="AO108" s="323"/>
      <c r="AP108" s="328"/>
    </row>
    <row r="109" spans="1:42">
      <c r="A109" s="351" t="s">
        <v>213</v>
      </c>
      <c r="B109" s="323">
        <v>16</v>
      </c>
      <c r="C109" s="323">
        <v>976</v>
      </c>
      <c r="D109" s="323">
        <v>1170</v>
      </c>
      <c r="E109" s="323">
        <v>12</v>
      </c>
      <c r="F109" s="354"/>
      <c r="G109" s="323"/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3"/>
      <c r="AE109" s="323"/>
      <c r="AF109" s="323"/>
      <c r="AG109" s="323"/>
      <c r="AH109" s="323"/>
      <c r="AI109" s="323"/>
      <c r="AJ109" s="323"/>
      <c r="AK109" s="323"/>
      <c r="AL109" s="326">
        <f t="shared" si="2"/>
        <v>12</v>
      </c>
      <c r="AM109" s="327">
        <f t="shared" si="3"/>
        <v>0.21924863999999999</v>
      </c>
      <c r="AN109" s="323"/>
      <c r="AO109" s="323"/>
      <c r="AP109" s="328"/>
    </row>
    <row r="110" spans="1:42">
      <c r="A110" s="351" t="s">
        <v>213</v>
      </c>
      <c r="B110" s="323">
        <v>16.5</v>
      </c>
      <c r="C110" s="323">
        <v>100</v>
      </c>
      <c r="D110" s="323">
        <v>560</v>
      </c>
      <c r="E110" s="323">
        <v>490</v>
      </c>
      <c r="F110" s="354"/>
      <c r="G110" s="323"/>
      <c r="H110" s="323"/>
      <c r="I110" s="323"/>
      <c r="J110" s="323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  <c r="AE110" s="323"/>
      <c r="AF110" s="323"/>
      <c r="AG110" s="323"/>
      <c r="AH110" s="323"/>
      <c r="AI110" s="323"/>
      <c r="AJ110" s="323"/>
      <c r="AK110" s="323"/>
      <c r="AL110" s="326">
        <f t="shared" si="2"/>
        <v>490</v>
      </c>
      <c r="AM110" s="327">
        <f t="shared" si="3"/>
        <v>0.45276</v>
      </c>
      <c r="AN110" s="323"/>
      <c r="AO110" s="323"/>
      <c r="AP110" s="328"/>
    </row>
    <row r="111" spans="1:42">
      <c r="A111" s="351" t="s">
        <v>212</v>
      </c>
      <c r="B111" s="323">
        <v>12.7</v>
      </c>
      <c r="C111" s="323">
        <v>1130</v>
      </c>
      <c r="D111" s="323">
        <v>474</v>
      </c>
      <c r="E111" s="323">
        <v>110</v>
      </c>
      <c r="F111" s="354"/>
      <c r="G111" s="323"/>
      <c r="H111" s="323"/>
      <c r="I111" s="323"/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323"/>
      <c r="AK111" s="323"/>
      <c r="AL111" s="326">
        <f t="shared" si="2"/>
        <v>110</v>
      </c>
      <c r="AM111" s="327">
        <f t="shared" si="3"/>
        <v>0.74826113999999999</v>
      </c>
      <c r="AN111" s="323"/>
      <c r="AO111" s="323"/>
      <c r="AP111" s="328"/>
    </row>
    <row r="112" spans="1:42">
      <c r="A112" s="351" t="s">
        <v>211</v>
      </c>
      <c r="B112" s="323">
        <v>24</v>
      </c>
      <c r="C112" s="323">
        <v>348</v>
      </c>
      <c r="D112" s="323">
        <v>550</v>
      </c>
      <c r="E112" s="323">
        <v>246</v>
      </c>
      <c r="F112" s="354"/>
      <c r="G112" s="323"/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/>
      <c r="AB112" s="323"/>
      <c r="AC112" s="323"/>
      <c r="AD112" s="323"/>
      <c r="AE112" s="323"/>
      <c r="AF112" s="323"/>
      <c r="AG112" s="323"/>
      <c r="AH112" s="323"/>
      <c r="AI112" s="323"/>
      <c r="AJ112" s="323"/>
      <c r="AK112" s="323"/>
      <c r="AL112" s="326">
        <f t="shared" si="2"/>
        <v>246</v>
      </c>
      <c r="AM112" s="327">
        <f t="shared" si="3"/>
        <v>1.1300256</v>
      </c>
      <c r="AN112" s="323"/>
      <c r="AO112" s="323"/>
      <c r="AP112" s="328"/>
    </row>
    <row r="113" spans="1:42">
      <c r="A113" s="351" t="s">
        <v>213</v>
      </c>
      <c r="B113" s="323">
        <v>15.9</v>
      </c>
      <c r="C113" s="323">
        <v>161.9</v>
      </c>
      <c r="D113" s="323">
        <v>828.7</v>
      </c>
      <c r="E113" s="323">
        <v>180</v>
      </c>
      <c r="F113" s="354"/>
      <c r="G113" s="323"/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3"/>
      <c r="AE113" s="323"/>
      <c r="AF113" s="323"/>
      <c r="AG113" s="323"/>
      <c r="AH113" s="323"/>
      <c r="AI113" s="323"/>
      <c r="AJ113" s="323"/>
      <c r="AK113" s="323"/>
      <c r="AL113" s="326">
        <f t="shared" si="2"/>
        <v>180</v>
      </c>
      <c r="AM113" s="327">
        <f t="shared" si="3"/>
        <v>0.38398460886000002</v>
      </c>
      <c r="AN113" s="323"/>
      <c r="AO113" s="323"/>
      <c r="AP113" s="328"/>
    </row>
    <row r="114" spans="1:42">
      <c r="A114" s="351" t="s">
        <v>213</v>
      </c>
      <c r="B114" s="323">
        <v>20</v>
      </c>
      <c r="C114" s="323">
        <v>1220</v>
      </c>
      <c r="D114" s="323">
        <v>700</v>
      </c>
      <c r="E114" s="323">
        <v>46</v>
      </c>
      <c r="F114" s="354"/>
      <c r="G114" s="323"/>
      <c r="H114" s="323"/>
      <c r="I114" s="323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  <c r="AE114" s="323"/>
      <c r="AF114" s="323"/>
      <c r="AG114" s="323"/>
      <c r="AH114" s="323"/>
      <c r="AI114" s="323"/>
      <c r="AJ114" s="323"/>
      <c r="AK114" s="323"/>
      <c r="AL114" s="326">
        <f t="shared" si="2"/>
        <v>46</v>
      </c>
      <c r="AM114" s="327">
        <f t="shared" si="3"/>
        <v>0.78568000000000005</v>
      </c>
      <c r="AN114" s="323"/>
      <c r="AO114" s="323"/>
      <c r="AP114" s="328"/>
    </row>
    <row r="115" spans="1:42">
      <c r="A115" s="351" t="s">
        <v>213</v>
      </c>
      <c r="B115" s="323">
        <v>17</v>
      </c>
      <c r="C115" s="323">
        <v>92</v>
      </c>
      <c r="D115" s="323">
        <v>380</v>
      </c>
      <c r="E115" s="323">
        <v>851</v>
      </c>
      <c r="F115" s="354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323"/>
      <c r="AE115" s="323"/>
      <c r="AF115" s="323"/>
      <c r="AG115" s="323"/>
      <c r="AH115" s="323"/>
      <c r="AI115" s="323"/>
      <c r="AJ115" s="323"/>
      <c r="AK115" s="323"/>
      <c r="AL115" s="326">
        <f t="shared" si="2"/>
        <v>851</v>
      </c>
      <c r="AM115" s="327">
        <f t="shared" si="3"/>
        <v>0.50576631999999999</v>
      </c>
      <c r="AN115" s="323"/>
      <c r="AO115" s="323"/>
      <c r="AP115" s="328"/>
    </row>
    <row r="116" spans="1:42">
      <c r="A116" s="351" t="s">
        <v>212</v>
      </c>
      <c r="B116" s="323">
        <v>13</v>
      </c>
      <c r="C116" s="323">
        <v>108</v>
      </c>
      <c r="D116" s="323">
        <v>1520</v>
      </c>
      <c r="E116" s="323">
        <v>606</v>
      </c>
      <c r="F116" s="354"/>
      <c r="G116" s="323"/>
      <c r="H116" s="323"/>
      <c r="I116" s="323"/>
      <c r="J116" s="323"/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3"/>
      <c r="AE116" s="323"/>
      <c r="AF116" s="323"/>
      <c r="AG116" s="323"/>
      <c r="AH116" s="323"/>
      <c r="AI116" s="323"/>
      <c r="AJ116" s="323"/>
      <c r="AK116" s="323"/>
      <c r="AL116" s="326">
        <f t="shared" si="2"/>
        <v>606</v>
      </c>
      <c r="AM116" s="327">
        <f t="shared" si="3"/>
        <v>1.29325248</v>
      </c>
      <c r="AN116" s="323"/>
      <c r="AO116" s="323"/>
      <c r="AP116" s="328"/>
    </row>
    <row r="117" spans="1:42">
      <c r="A117" s="351" t="s">
        <v>212</v>
      </c>
      <c r="B117" s="323">
        <v>13</v>
      </c>
      <c r="C117" s="323">
        <v>108</v>
      </c>
      <c r="D117" s="323">
        <v>1520</v>
      </c>
      <c r="E117" s="323">
        <v>780</v>
      </c>
      <c r="F117" s="354"/>
      <c r="G117" s="323"/>
      <c r="H117" s="323"/>
      <c r="I117" s="323"/>
      <c r="J117" s="323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  <c r="AE117" s="323"/>
      <c r="AF117" s="323"/>
      <c r="AG117" s="323"/>
      <c r="AH117" s="323"/>
      <c r="AI117" s="323"/>
      <c r="AJ117" s="323"/>
      <c r="AK117" s="323"/>
      <c r="AL117" s="326">
        <f t="shared" si="2"/>
        <v>780</v>
      </c>
      <c r="AM117" s="327">
        <f t="shared" si="3"/>
        <v>1.6645824</v>
      </c>
      <c r="AN117" s="323"/>
      <c r="AO117" s="323"/>
      <c r="AP117" s="328"/>
    </row>
    <row r="118" spans="1:42">
      <c r="A118" s="351" t="s">
        <v>213</v>
      </c>
      <c r="B118" s="323">
        <v>17</v>
      </c>
      <c r="C118" s="323">
        <v>181</v>
      </c>
      <c r="D118" s="323">
        <v>833</v>
      </c>
      <c r="E118" s="323">
        <v>79</v>
      </c>
      <c r="F118" s="354"/>
      <c r="G118" s="323"/>
      <c r="H118" s="323"/>
      <c r="I118" s="323"/>
      <c r="J118" s="323"/>
      <c r="K118" s="323"/>
      <c r="L118" s="323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  <c r="AB118" s="323"/>
      <c r="AC118" s="323"/>
      <c r="AD118" s="323"/>
      <c r="AE118" s="323"/>
      <c r="AF118" s="323"/>
      <c r="AG118" s="323"/>
      <c r="AH118" s="323"/>
      <c r="AI118" s="323"/>
      <c r="AJ118" s="323"/>
      <c r="AK118" s="323"/>
      <c r="AL118" s="326">
        <f t="shared" si="2"/>
        <v>79</v>
      </c>
      <c r="AM118" s="327">
        <f t="shared" si="3"/>
        <v>0.20248813900000001</v>
      </c>
      <c r="AN118" s="323"/>
      <c r="AO118" s="323"/>
      <c r="AP118" s="328"/>
    </row>
    <row r="119" spans="1:42">
      <c r="A119" s="351" t="s">
        <v>213</v>
      </c>
      <c r="B119" s="323">
        <v>17</v>
      </c>
      <c r="C119" s="323">
        <v>90</v>
      </c>
      <c r="D119" s="323">
        <v>542</v>
      </c>
      <c r="E119" s="323">
        <v>206</v>
      </c>
      <c r="F119" s="354"/>
      <c r="G119" s="323"/>
      <c r="H119" s="323"/>
      <c r="I119" s="323"/>
      <c r="J119" s="323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  <c r="AB119" s="323"/>
      <c r="AC119" s="323"/>
      <c r="AD119" s="323"/>
      <c r="AE119" s="323"/>
      <c r="AF119" s="323"/>
      <c r="AG119" s="323"/>
      <c r="AH119" s="323"/>
      <c r="AI119" s="323"/>
      <c r="AJ119" s="323"/>
      <c r="AK119" s="323"/>
      <c r="AL119" s="326">
        <f t="shared" si="2"/>
        <v>206</v>
      </c>
      <c r="AM119" s="327">
        <f t="shared" si="3"/>
        <v>0.17082755999999999</v>
      </c>
      <c r="AN119" s="323"/>
      <c r="AO119" s="323"/>
      <c r="AP119" s="328"/>
    </row>
    <row r="120" spans="1:42">
      <c r="A120" s="351" t="s">
        <v>213</v>
      </c>
      <c r="B120" s="323">
        <v>17</v>
      </c>
      <c r="C120" s="323">
        <v>90</v>
      </c>
      <c r="D120" s="323">
        <v>760</v>
      </c>
      <c r="E120" s="323">
        <v>15</v>
      </c>
      <c r="F120" s="354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6">
        <f t="shared" si="2"/>
        <v>15</v>
      </c>
      <c r="AM120" s="327">
        <f t="shared" si="3"/>
        <v>1.7441999999999999E-2</v>
      </c>
      <c r="AN120" s="323"/>
      <c r="AO120" s="323"/>
      <c r="AP120" s="328"/>
    </row>
    <row r="121" spans="1:42">
      <c r="A121" s="351" t="s">
        <v>212</v>
      </c>
      <c r="B121" s="323">
        <v>13</v>
      </c>
      <c r="C121" s="323">
        <v>180</v>
      </c>
      <c r="D121" s="323">
        <v>152</v>
      </c>
      <c r="E121" s="323">
        <v>48</v>
      </c>
      <c r="F121" s="354"/>
      <c r="G121" s="323"/>
      <c r="H121" s="323"/>
      <c r="I121" s="323"/>
      <c r="J121" s="323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3"/>
      <c r="AE121" s="323"/>
      <c r="AF121" s="323"/>
      <c r="AG121" s="323"/>
      <c r="AH121" s="323"/>
      <c r="AI121" s="323"/>
      <c r="AJ121" s="323"/>
      <c r="AK121" s="323"/>
      <c r="AL121" s="326">
        <f t="shared" si="2"/>
        <v>48</v>
      </c>
      <c r="AM121" s="327">
        <f t="shared" si="3"/>
        <v>1.707264E-2</v>
      </c>
      <c r="AN121" s="323"/>
      <c r="AO121" s="323"/>
      <c r="AP121" s="328"/>
    </row>
    <row r="122" spans="1:42">
      <c r="A122" s="351" t="s">
        <v>212</v>
      </c>
      <c r="B122" s="323">
        <v>13</v>
      </c>
      <c r="C122" s="323">
        <v>119</v>
      </c>
      <c r="D122" s="323">
        <v>152</v>
      </c>
      <c r="E122" s="323">
        <v>220</v>
      </c>
      <c r="F122" s="354"/>
      <c r="G122" s="323"/>
      <c r="H122" s="323"/>
      <c r="I122" s="323"/>
      <c r="J122" s="323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  <c r="AE122" s="323"/>
      <c r="AF122" s="323"/>
      <c r="AG122" s="323"/>
      <c r="AH122" s="323"/>
      <c r="AI122" s="323"/>
      <c r="AJ122" s="323"/>
      <c r="AK122" s="323"/>
      <c r="AL122" s="326">
        <f t="shared" si="2"/>
        <v>220</v>
      </c>
      <c r="AM122" s="327">
        <f t="shared" si="3"/>
        <v>5.1731680000000002E-2</v>
      </c>
      <c r="AN122" s="323"/>
      <c r="AO122" s="323"/>
      <c r="AP122" s="328"/>
    </row>
    <row r="123" spans="1:42">
      <c r="A123" s="351" t="s">
        <v>212</v>
      </c>
      <c r="B123" s="323">
        <v>13</v>
      </c>
      <c r="C123" s="323">
        <v>130</v>
      </c>
      <c r="D123" s="323">
        <v>152</v>
      </c>
      <c r="E123" s="323">
        <v>280</v>
      </c>
      <c r="F123" s="354"/>
      <c r="G123" s="323"/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323"/>
      <c r="AE123" s="323"/>
      <c r="AF123" s="323"/>
      <c r="AG123" s="323"/>
      <c r="AH123" s="323"/>
      <c r="AI123" s="323"/>
      <c r="AJ123" s="323"/>
      <c r="AK123" s="323"/>
      <c r="AL123" s="326">
        <f t="shared" si="2"/>
        <v>280</v>
      </c>
      <c r="AM123" s="327">
        <f t="shared" si="3"/>
        <v>7.1926400000000001E-2</v>
      </c>
      <c r="AN123" s="323"/>
      <c r="AO123" s="323"/>
      <c r="AP123" s="328"/>
    </row>
    <row r="124" spans="1:42">
      <c r="A124" s="351" t="s">
        <v>213</v>
      </c>
      <c r="B124" s="323">
        <v>19.05</v>
      </c>
      <c r="C124" s="323">
        <v>32.840000000000003</v>
      </c>
      <c r="D124" s="323">
        <v>458</v>
      </c>
      <c r="E124" s="323">
        <v>1600</v>
      </c>
      <c r="F124" s="354"/>
      <c r="G124" s="323"/>
      <c r="H124" s="323"/>
      <c r="I124" s="323"/>
      <c r="J124" s="323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  <c r="AA124" s="323"/>
      <c r="AB124" s="323"/>
      <c r="AC124" s="323"/>
      <c r="AD124" s="323"/>
      <c r="AE124" s="323"/>
      <c r="AF124" s="323"/>
      <c r="AG124" s="323"/>
      <c r="AH124" s="323"/>
      <c r="AI124" s="323"/>
      <c r="AJ124" s="323"/>
      <c r="AK124" s="323"/>
      <c r="AL124" s="326">
        <f t="shared" si="2"/>
        <v>1600</v>
      </c>
      <c r="AM124" s="327">
        <f t="shared" si="3"/>
        <v>0.45844114560000004</v>
      </c>
      <c r="AN124" s="323"/>
      <c r="AO124" s="323"/>
      <c r="AP124" s="328"/>
    </row>
    <row r="125" spans="1:42">
      <c r="A125" s="351" t="s">
        <v>213</v>
      </c>
      <c r="B125" s="323">
        <v>19.05</v>
      </c>
      <c r="C125" s="323">
        <v>42.86</v>
      </c>
      <c r="D125" s="323">
        <v>458</v>
      </c>
      <c r="E125" s="323">
        <v>872</v>
      </c>
      <c r="F125" s="354"/>
      <c r="G125" s="323"/>
      <c r="H125" s="323"/>
      <c r="I125" s="323"/>
      <c r="J125" s="323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  <c r="AB125" s="323"/>
      <c r="AC125" s="323"/>
      <c r="AD125" s="323"/>
      <c r="AE125" s="323"/>
      <c r="AF125" s="323"/>
      <c r="AG125" s="323"/>
      <c r="AH125" s="323"/>
      <c r="AI125" s="323"/>
      <c r="AJ125" s="323"/>
      <c r="AK125" s="323"/>
      <c r="AL125" s="326">
        <f t="shared" si="2"/>
        <v>872</v>
      </c>
      <c r="AM125" s="327">
        <f t="shared" si="3"/>
        <v>0.32608371460800006</v>
      </c>
      <c r="AN125" s="323"/>
      <c r="AO125" s="323"/>
      <c r="AP125" s="328"/>
    </row>
    <row r="126" spans="1:42">
      <c r="A126" s="351" t="s">
        <v>211</v>
      </c>
      <c r="B126" s="323">
        <v>15.9</v>
      </c>
      <c r="C126" s="323">
        <v>254</v>
      </c>
      <c r="D126" s="323">
        <v>523.9</v>
      </c>
      <c r="E126" s="323">
        <v>200</v>
      </c>
      <c r="F126" s="354"/>
      <c r="G126" s="323"/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3"/>
      <c r="AE126" s="323"/>
      <c r="AF126" s="323"/>
      <c r="AG126" s="323"/>
      <c r="AH126" s="323"/>
      <c r="AI126" s="323"/>
      <c r="AJ126" s="323"/>
      <c r="AK126" s="323"/>
      <c r="AL126" s="326">
        <f t="shared" si="2"/>
        <v>200</v>
      </c>
      <c r="AM126" s="327">
        <f t="shared" si="3"/>
        <v>0.42316450799999999</v>
      </c>
      <c r="AN126" s="323"/>
      <c r="AO126" s="323"/>
      <c r="AP126" s="328"/>
    </row>
    <row r="127" spans="1:42">
      <c r="A127" s="351" t="s">
        <v>211</v>
      </c>
      <c r="B127" s="323">
        <v>9.5299999999999994</v>
      </c>
      <c r="C127" s="323">
        <v>63.5</v>
      </c>
      <c r="D127" s="323">
        <v>580</v>
      </c>
      <c r="E127" s="323">
        <v>1500</v>
      </c>
      <c r="F127" s="354"/>
      <c r="G127" s="323"/>
      <c r="H127" s="323"/>
      <c r="I127" s="323"/>
      <c r="J127" s="323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3"/>
      <c r="AE127" s="323"/>
      <c r="AF127" s="323"/>
      <c r="AG127" s="323"/>
      <c r="AH127" s="323"/>
      <c r="AI127" s="323"/>
      <c r="AJ127" s="323"/>
      <c r="AK127" s="323"/>
      <c r="AL127" s="326">
        <f t="shared" si="2"/>
        <v>1500</v>
      </c>
      <c r="AM127" s="327">
        <f t="shared" si="3"/>
        <v>0.52648484999999989</v>
      </c>
      <c r="AN127" s="323"/>
      <c r="AO127" s="323"/>
      <c r="AP127" s="328"/>
    </row>
    <row r="128" spans="1:42">
      <c r="A128" s="351" t="s">
        <v>211</v>
      </c>
      <c r="B128" s="323">
        <v>9.5299999999999994</v>
      </c>
      <c r="C128" s="323">
        <v>63.5</v>
      </c>
      <c r="D128" s="323">
        <v>530</v>
      </c>
      <c r="E128" s="323">
        <v>800</v>
      </c>
      <c r="F128" s="354"/>
      <c r="G128" s="323"/>
      <c r="H128" s="323"/>
      <c r="I128" s="323"/>
      <c r="J128" s="323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3"/>
      <c r="AG128" s="323"/>
      <c r="AH128" s="323"/>
      <c r="AI128" s="323"/>
      <c r="AJ128" s="323"/>
      <c r="AK128" s="323"/>
      <c r="AL128" s="326">
        <f t="shared" si="2"/>
        <v>800</v>
      </c>
      <c r="AM128" s="327">
        <f t="shared" si="3"/>
        <v>0.25658571999999996</v>
      </c>
      <c r="AN128" s="323"/>
      <c r="AO128" s="323"/>
      <c r="AP128" s="328"/>
    </row>
    <row r="129" spans="1:42">
      <c r="A129" s="351" t="s">
        <v>211</v>
      </c>
      <c r="B129" s="323">
        <v>12</v>
      </c>
      <c r="C129" s="323">
        <v>41.3</v>
      </c>
      <c r="D129" s="323">
        <v>900</v>
      </c>
      <c r="E129" s="323">
        <v>1750</v>
      </c>
      <c r="F129" s="354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6">
        <f t="shared" si="2"/>
        <v>1750</v>
      </c>
      <c r="AM129" s="327">
        <f t="shared" si="3"/>
        <v>0.78056999999999988</v>
      </c>
      <c r="AN129" s="323"/>
      <c r="AO129" s="323"/>
      <c r="AP129" s="328"/>
    </row>
    <row r="130" spans="1:42">
      <c r="A130" s="351" t="s">
        <v>211</v>
      </c>
      <c r="B130" s="323">
        <v>12</v>
      </c>
      <c r="C130" s="323">
        <v>41.3</v>
      </c>
      <c r="D130" s="323">
        <v>520</v>
      </c>
      <c r="E130" s="323">
        <v>2440</v>
      </c>
      <c r="F130" s="354"/>
      <c r="G130" s="323"/>
      <c r="H130" s="323"/>
      <c r="I130" s="323"/>
      <c r="J130" s="323"/>
      <c r="K130" s="323"/>
      <c r="L130" s="323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  <c r="AB130" s="323"/>
      <c r="AC130" s="323"/>
      <c r="AD130" s="323"/>
      <c r="AE130" s="323"/>
      <c r="AF130" s="323"/>
      <c r="AG130" s="323"/>
      <c r="AH130" s="323"/>
      <c r="AI130" s="323"/>
      <c r="AJ130" s="323"/>
      <c r="AK130" s="323"/>
      <c r="AL130" s="326">
        <f t="shared" si="2"/>
        <v>2440</v>
      </c>
      <c r="AM130" s="327">
        <f t="shared" si="3"/>
        <v>0.62881727999999992</v>
      </c>
      <c r="AN130" s="323"/>
      <c r="AO130" s="323"/>
      <c r="AP130" s="328"/>
    </row>
    <row r="131" spans="1:42">
      <c r="A131" s="351" t="s">
        <v>211</v>
      </c>
      <c r="B131" s="323">
        <v>12</v>
      </c>
      <c r="C131" s="323">
        <v>41.3</v>
      </c>
      <c r="D131" s="323">
        <v>520</v>
      </c>
      <c r="E131" s="323">
        <v>400</v>
      </c>
      <c r="F131" s="354"/>
      <c r="G131" s="323"/>
      <c r="H131" s="323"/>
      <c r="I131" s="323"/>
      <c r="J131" s="323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  <c r="AE131" s="323"/>
      <c r="AF131" s="323"/>
      <c r="AG131" s="323"/>
      <c r="AH131" s="323"/>
      <c r="AI131" s="323"/>
      <c r="AJ131" s="323"/>
      <c r="AK131" s="323"/>
      <c r="AL131" s="326">
        <f t="shared" ref="AL131:AL194" si="4">E131-G131-H131-I131-J131-K131-L131-M131-N131-O131-P131-Q131-R131-S131-T131-U131-V131-W131-X131-Y131-Z131-AA131-AB131-AC131-AD131-AE131-AF131-AG131-AH131-AI131-AJ131-AK131</f>
        <v>400</v>
      </c>
      <c r="AM131" s="327">
        <f t="shared" ref="AM131:AM194" si="5">B131*C131*D131*AL131/1000000000</f>
        <v>0.10308479999999999</v>
      </c>
      <c r="AN131" s="323"/>
      <c r="AO131" s="323"/>
      <c r="AP131" s="328"/>
    </row>
    <row r="132" spans="1:42">
      <c r="A132" s="351" t="s">
        <v>211</v>
      </c>
      <c r="B132" s="323">
        <v>12</v>
      </c>
      <c r="C132" s="323">
        <v>41.3</v>
      </c>
      <c r="D132" s="323">
        <v>520</v>
      </c>
      <c r="E132" s="323">
        <v>660</v>
      </c>
      <c r="F132" s="354"/>
      <c r="G132" s="323"/>
      <c r="H132" s="323"/>
      <c r="I132" s="323"/>
      <c r="J132" s="323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  <c r="AE132" s="323"/>
      <c r="AF132" s="323"/>
      <c r="AG132" s="323"/>
      <c r="AH132" s="323"/>
      <c r="AI132" s="323"/>
      <c r="AJ132" s="323"/>
      <c r="AK132" s="323"/>
      <c r="AL132" s="326">
        <f t="shared" si="4"/>
        <v>660</v>
      </c>
      <c r="AM132" s="327">
        <f t="shared" si="5"/>
        <v>0.17008991999999998</v>
      </c>
      <c r="AN132" s="323"/>
      <c r="AO132" s="323"/>
      <c r="AP132" s="328"/>
    </row>
    <row r="133" spans="1:42">
      <c r="A133" s="351" t="s">
        <v>211</v>
      </c>
      <c r="B133" s="323">
        <v>12</v>
      </c>
      <c r="C133" s="323">
        <v>41.3</v>
      </c>
      <c r="D133" s="323">
        <v>510</v>
      </c>
      <c r="E133" s="323">
        <v>690</v>
      </c>
      <c r="F133" s="354"/>
      <c r="G133" s="323"/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  <c r="AB133" s="323"/>
      <c r="AC133" s="323"/>
      <c r="AD133" s="323"/>
      <c r="AE133" s="323"/>
      <c r="AF133" s="323"/>
      <c r="AG133" s="323"/>
      <c r="AH133" s="323"/>
      <c r="AI133" s="323"/>
      <c r="AJ133" s="323"/>
      <c r="AK133" s="323"/>
      <c r="AL133" s="326">
        <f t="shared" si="4"/>
        <v>690</v>
      </c>
      <c r="AM133" s="327">
        <f t="shared" si="5"/>
        <v>0.17440163999999997</v>
      </c>
      <c r="AN133" s="323"/>
      <c r="AO133" s="323"/>
      <c r="AP133" s="328"/>
    </row>
    <row r="134" spans="1:42">
      <c r="A134" s="351" t="s">
        <v>211</v>
      </c>
      <c r="B134" s="323">
        <v>12</v>
      </c>
      <c r="C134" s="323">
        <v>41.3</v>
      </c>
      <c r="D134" s="323">
        <v>400</v>
      </c>
      <c r="E134" s="323">
        <v>1370</v>
      </c>
      <c r="F134" s="354"/>
      <c r="G134" s="323"/>
      <c r="H134" s="323"/>
      <c r="I134" s="323"/>
      <c r="J134" s="323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  <c r="AB134" s="323"/>
      <c r="AC134" s="323"/>
      <c r="AD134" s="323"/>
      <c r="AE134" s="323"/>
      <c r="AF134" s="323"/>
      <c r="AG134" s="323"/>
      <c r="AH134" s="323"/>
      <c r="AI134" s="323"/>
      <c r="AJ134" s="323"/>
      <c r="AK134" s="323"/>
      <c r="AL134" s="326">
        <f t="shared" si="4"/>
        <v>1370</v>
      </c>
      <c r="AM134" s="327">
        <f t="shared" si="5"/>
        <v>0.27158880000000002</v>
      </c>
      <c r="AN134" s="323"/>
      <c r="AO134" s="323"/>
      <c r="AP134" s="328"/>
    </row>
    <row r="135" spans="1:42">
      <c r="A135" s="351" t="s">
        <v>211</v>
      </c>
      <c r="B135" s="323">
        <v>12</v>
      </c>
      <c r="C135" s="323">
        <v>36</v>
      </c>
      <c r="D135" s="323">
        <v>495</v>
      </c>
      <c r="E135" s="323">
        <v>1454</v>
      </c>
      <c r="F135" s="354"/>
      <c r="G135" s="323"/>
      <c r="H135" s="323"/>
      <c r="I135" s="323"/>
      <c r="J135" s="323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  <c r="AB135" s="323"/>
      <c r="AC135" s="323"/>
      <c r="AD135" s="323"/>
      <c r="AE135" s="323"/>
      <c r="AF135" s="323"/>
      <c r="AG135" s="323"/>
      <c r="AH135" s="323"/>
      <c r="AI135" s="323"/>
      <c r="AJ135" s="323"/>
      <c r="AK135" s="323"/>
      <c r="AL135" s="326">
        <f t="shared" si="4"/>
        <v>1454</v>
      </c>
      <c r="AM135" s="327">
        <f t="shared" si="5"/>
        <v>0.31092335999999998</v>
      </c>
      <c r="AN135" s="323"/>
      <c r="AO135" s="323"/>
      <c r="AP135" s="328"/>
    </row>
    <row r="136" spans="1:42">
      <c r="A136" s="351" t="s">
        <v>211</v>
      </c>
      <c r="B136" s="323">
        <v>12</v>
      </c>
      <c r="C136" s="323">
        <v>31.7</v>
      </c>
      <c r="D136" s="323">
        <v>630</v>
      </c>
      <c r="E136" s="323">
        <v>1800</v>
      </c>
      <c r="F136" s="354"/>
      <c r="G136" s="323"/>
      <c r="H136" s="323"/>
      <c r="I136" s="323"/>
      <c r="J136" s="323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  <c r="AB136" s="323"/>
      <c r="AC136" s="323"/>
      <c r="AD136" s="323"/>
      <c r="AE136" s="323"/>
      <c r="AF136" s="323"/>
      <c r="AG136" s="323"/>
      <c r="AH136" s="323"/>
      <c r="AI136" s="323"/>
      <c r="AJ136" s="323"/>
      <c r="AK136" s="323"/>
      <c r="AL136" s="326">
        <f t="shared" si="4"/>
        <v>1800</v>
      </c>
      <c r="AM136" s="327">
        <f t="shared" si="5"/>
        <v>0.43137360000000002</v>
      </c>
      <c r="AN136" s="323"/>
      <c r="AO136" s="323"/>
      <c r="AP136" s="328"/>
    </row>
    <row r="137" spans="1:42">
      <c r="A137" s="351" t="s">
        <v>211</v>
      </c>
      <c r="B137" s="323">
        <v>12</v>
      </c>
      <c r="C137" s="323">
        <v>31.7</v>
      </c>
      <c r="D137" s="323">
        <v>610</v>
      </c>
      <c r="E137" s="323">
        <v>300</v>
      </c>
      <c r="F137" s="354"/>
      <c r="G137" s="323"/>
      <c r="H137" s="323"/>
      <c r="I137" s="323"/>
      <c r="J137" s="323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  <c r="AB137" s="323"/>
      <c r="AC137" s="323"/>
      <c r="AD137" s="323"/>
      <c r="AE137" s="323"/>
      <c r="AF137" s="323"/>
      <c r="AG137" s="323"/>
      <c r="AH137" s="323"/>
      <c r="AI137" s="323"/>
      <c r="AJ137" s="323"/>
      <c r="AK137" s="323"/>
      <c r="AL137" s="326">
        <f t="shared" si="4"/>
        <v>300</v>
      </c>
      <c r="AM137" s="327">
        <f t="shared" si="5"/>
        <v>6.96132E-2</v>
      </c>
      <c r="AN137" s="323"/>
      <c r="AO137" s="323"/>
      <c r="AP137" s="328"/>
    </row>
    <row r="138" spans="1:42">
      <c r="A138" s="351" t="s">
        <v>211</v>
      </c>
      <c r="B138" s="323">
        <v>12</v>
      </c>
      <c r="C138" s="323">
        <v>31.7</v>
      </c>
      <c r="D138" s="323">
        <v>410</v>
      </c>
      <c r="E138" s="323">
        <v>200</v>
      </c>
      <c r="F138" s="354"/>
      <c r="G138" s="323"/>
      <c r="H138" s="323"/>
      <c r="I138" s="323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  <c r="AB138" s="323"/>
      <c r="AC138" s="323"/>
      <c r="AD138" s="323"/>
      <c r="AE138" s="323"/>
      <c r="AF138" s="323"/>
      <c r="AG138" s="323"/>
      <c r="AH138" s="323"/>
      <c r="AI138" s="323"/>
      <c r="AJ138" s="323"/>
      <c r="AK138" s="323"/>
      <c r="AL138" s="326">
        <f t="shared" si="4"/>
        <v>200</v>
      </c>
      <c r="AM138" s="327">
        <f t="shared" si="5"/>
        <v>3.11928E-2</v>
      </c>
      <c r="AN138" s="323"/>
      <c r="AO138" s="323"/>
      <c r="AP138" s="328"/>
    </row>
    <row r="139" spans="1:42">
      <c r="A139" s="351" t="s">
        <v>211</v>
      </c>
      <c r="B139" s="323">
        <v>12</v>
      </c>
      <c r="C139" s="323">
        <v>31.7</v>
      </c>
      <c r="D139" s="323">
        <v>410</v>
      </c>
      <c r="E139" s="323">
        <v>690</v>
      </c>
      <c r="F139" s="354"/>
      <c r="G139" s="323"/>
      <c r="H139" s="323"/>
      <c r="I139" s="323"/>
      <c r="J139" s="323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C139" s="323"/>
      <c r="AD139" s="323"/>
      <c r="AE139" s="323"/>
      <c r="AF139" s="323"/>
      <c r="AG139" s="323"/>
      <c r="AH139" s="323"/>
      <c r="AI139" s="323"/>
      <c r="AJ139" s="323"/>
      <c r="AK139" s="323"/>
      <c r="AL139" s="326">
        <f t="shared" si="4"/>
        <v>690</v>
      </c>
      <c r="AM139" s="327">
        <f t="shared" si="5"/>
        <v>0.10761516</v>
      </c>
      <c r="AN139" s="323"/>
      <c r="AO139" s="323"/>
      <c r="AP139" s="328"/>
    </row>
    <row r="140" spans="1:42">
      <c r="A140" s="351" t="s">
        <v>211</v>
      </c>
      <c r="B140" s="323">
        <v>16</v>
      </c>
      <c r="C140" s="323">
        <v>254</v>
      </c>
      <c r="D140" s="323">
        <v>470</v>
      </c>
      <c r="E140" s="323">
        <v>300</v>
      </c>
      <c r="F140" s="354"/>
      <c r="G140" s="323"/>
      <c r="H140" s="323"/>
      <c r="I140" s="323"/>
      <c r="J140" s="323"/>
      <c r="K140" s="323"/>
      <c r="L140" s="323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3"/>
      <c r="AE140" s="323"/>
      <c r="AF140" s="323"/>
      <c r="AG140" s="323"/>
      <c r="AH140" s="323"/>
      <c r="AI140" s="323"/>
      <c r="AJ140" s="323"/>
      <c r="AK140" s="323"/>
      <c r="AL140" s="326">
        <f t="shared" si="4"/>
        <v>300</v>
      </c>
      <c r="AM140" s="327">
        <f t="shared" si="5"/>
        <v>0.57302399999999998</v>
      </c>
      <c r="AN140" s="323"/>
      <c r="AO140" s="323"/>
      <c r="AP140" s="328"/>
    </row>
    <row r="141" spans="1:42">
      <c r="A141" s="351" t="s">
        <v>211</v>
      </c>
      <c r="B141" s="323">
        <v>16</v>
      </c>
      <c r="C141" s="323">
        <v>254</v>
      </c>
      <c r="D141" s="323">
        <v>470</v>
      </c>
      <c r="E141" s="323">
        <v>480</v>
      </c>
      <c r="F141" s="354"/>
      <c r="G141" s="323"/>
      <c r="H141" s="323"/>
      <c r="I141" s="323"/>
      <c r="J141" s="323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3"/>
      <c r="AE141" s="323"/>
      <c r="AF141" s="323"/>
      <c r="AG141" s="323"/>
      <c r="AH141" s="323"/>
      <c r="AI141" s="323"/>
      <c r="AJ141" s="323"/>
      <c r="AK141" s="323"/>
      <c r="AL141" s="326">
        <f t="shared" si="4"/>
        <v>480</v>
      </c>
      <c r="AM141" s="327">
        <f t="shared" si="5"/>
        <v>0.91683840000000005</v>
      </c>
      <c r="AN141" s="323"/>
      <c r="AO141" s="323"/>
      <c r="AP141" s="328"/>
    </row>
    <row r="142" spans="1:42">
      <c r="A142" s="351" t="s">
        <v>211</v>
      </c>
      <c r="B142" s="323">
        <v>16</v>
      </c>
      <c r="C142" s="323">
        <v>254</v>
      </c>
      <c r="D142" s="323">
        <v>470</v>
      </c>
      <c r="E142" s="323">
        <v>400</v>
      </c>
      <c r="F142" s="354"/>
      <c r="G142" s="323"/>
      <c r="H142" s="323"/>
      <c r="I142" s="323"/>
      <c r="J142" s="323"/>
      <c r="K142" s="323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C142" s="323"/>
      <c r="AD142" s="323"/>
      <c r="AE142" s="323"/>
      <c r="AF142" s="323"/>
      <c r="AG142" s="323"/>
      <c r="AH142" s="323"/>
      <c r="AI142" s="323"/>
      <c r="AJ142" s="323"/>
      <c r="AK142" s="323"/>
      <c r="AL142" s="326">
        <f t="shared" si="4"/>
        <v>400</v>
      </c>
      <c r="AM142" s="327">
        <f t="shared" si="5"/>
        <v>0.76403200000000004</v>
      </c>
      <c r="AN142" s="323"/>
      <c r="AO142" s="323"/>
      <c r="AP142" s="328"/>
    </row>
    <row r="143" spans="1:42">
      <c r="A143" s="351" t="s">
        <v>211</v>
      </c>
      <c r="B143" s="323">
        <v>25</v>
      </c>
      <c r="C143" s="323">
        <v>420</v>
      </c>
      <c r="D143" s="323">
        <v>500</v>
      </c>
      <c r="E143" s="323">
        <v>332</v>
      </c>
      <c r="F143" s="354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C143" s="323"/>
      <c r="AD143" s="323"/>
      <c r="AE143" s="323"/>
      <c r="AF143" s="323"/>
      <c r="AG143" s="323"/>
      <c r="AH143" s="323"/>
      <c r="AI143" s="323"/>
      <c r="AJ143" s="323"/>
      <c r="AK143" s="323"/>
      <c r="AL143" s="326">
        <f t="shared" si="4"/>
        <v>332</v>
      </c>
      <c r="AM143" s="327">
        <f t="shared" si="5"/>
        <v>1.7430000000000001</v>
      </c>
      <c r="AN143" s="323"/>
      <c r="AO143" s="323"/>
      <c r="AP143" s="328"/>
    </row>
    <row r="144" spans="1:42">
      <c r="A144" s="351" t="s">
        <v>211</v>
      </c>
      <c r="B144" s="323">
        <v>25</v>
      </c>
      <c r="C144" s="323">
        <v>340</v>
      </c>
      <c r="D144" s="323">
        <v>500</v>
      </c>
      <c r="E144" s="323">
        <v>447</v>
      </c>
      <c r="F144" s="354"/>
      <c r="G144" s="323"/>
      <c r="H144" s="323"/>
      <c r="I144" s="323"/>
      <c r="J144" s="323"/>
      <c r="K144" s="323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C144" s="323"/>
      <c r="AD144" s="323"/>
      <c r="AE144" s="323"/>
      <c r="AF144" s="323"/>
      <c r="AG144" s="323"/>
      <c r="AH144" s="323"/>
      <c r="AI144" s="323"/>
      <c r="AJ144" s="323"/>
      <c r="AK144" s="323"/>
      <c r="AL144" s="326">
        <f t="shared" si="4"/>
        <v>447</v>
      </c>
      <c r="AM144" s="327">
        <f t="shared" si="5"/>
        <v>1.89975</v>
      </c>
      <c r="AN144" s="323"/>
      <c r="AO144" s="323"/>
      <c r="AP144" s="328"/>
    </row>
    <row r="145" spans="1:42">
      <c r="A145" s="351" t="s">
        <v>211</v>
      </c>
      <c r="B145" s="323">
        <v>18</v>
      </c>
      <c r="C145" s="323">
        <v>69</v>
      </c>
      <c r="D145" s="323">
        <v>550</v>
      </c>
      <c r="E145" s="323">
        <v>600</v>
      </c>
      <c r="F145" s="354"/>
      <c r="G145" s="323"/>
      <c r="H145" s="323"/>
      <c r="I145" s="323"/>
      <c r="J145" s="323"/>
      <c r="K145" s="323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  <c r="AE145" s="323"/>
      <c r="AF145" s="323"/>
      <c r="AG145" s="323"/>
      <c r="AH145" s="323"/>
      <c r="AI145" s="323"/>
      <c r="AJ145" s="323"/>
      <c r="AK145" s="323"/>
      <c r="AL145" s="326">
        <f t="shared" si="4"/>
        <v>600</v>
      </c>
      <c r="AM145" s="327">
        <f t="shared" si="5"/>
        <v>0.40986</v>
      </c>
      <c r="AN145" s="323"/>
      <c r="AO145" s="323"/>
      <c r="AP145" s="328"/>
    </row>
    <row r="146" spans="1:42">
      <c r="A146" s="351" t="s">
        <v>211</v>
      </c>
      <c r="B146" s="323">
        <v>18</v>
      </c>
      <c r="C146" s="323">
        <v>69</v>
      </c>
      <c r="D146" s="323">
        <v>550</v>
      </c>
      <c r="E146" s="323">
        <v>600</v>
      </c>
      <c r="F146" s="354"/>
      <c r="G146" s="323"/>
      <c r="H146" s="323"/>
      <c r="I146" s="323"/>
      <c r="J146" s="323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3"/>
      <c r="AE146" s="323"/>
      <c r="AF146" s="323"/>
      <c r="AG146" s="323"/>
      <c r="AH146" s="323"/>
      <c r="AI146" s="323"/>
      <c r="AJ146" s="323"/>
      <c r="AK146" s="323"/>
      <c r="AL146" s="326">
        <f t="shared" si="4"/>
        <v>600</v>
      </c>
      <c r="AM146" s="327">
        <f t="shared" si="5"/>
        <v>0.40986</v>
      </c>
      <c r="AN146" s="323"/>
      <c r="AO146" s="323"/>
      <c r="AP146" s="328"/>
    </row>
    <row r="147" spans="1:42">
      <c r="A147" s="351" t="s">
        <v>211</v>
      </c>
      <c r="B147" s="323">
        <v>18</v>
      </c>
      <c r="C147" s="323">
        <v>69</v>
      </c>
      <c r="D147" s="323">
        <v>550</v>
      </c>
      <c r="E147" s="323">
        <v>800</v>
      </c>
      <c r="F147" s="354"/>
      <c r="G147" s="323"/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3"/>
      <c r="AE147" s="323"/>
      <c r="AF147" s="323"/>
      <c r="AG147" s="323"/>
      <c r="AH147" s="323"/>
      <c r="AI147" s="323"/>
      <c r="AJ147" s="323"/>
      <c r="AK147" s="323"/>
      <c r="AL147" s="326">
        <f t="shared" si="4"/>
        <v>800</v>
      </c>
      <c r="AM147" s="327">
        <f t="shared" si="5"/>
        <v>0.54647999999999997</v>
      </c>
      <c r="AN147" s="323"/>
      <c r="AO147" s="323"/>
      <c r="AP147" s="328"/>
    </row>
    <row r="148" spans="1:42">
      <c r="A148" s="351" t="s">
        <v>211</v>
      </c>
      <c r="B148" s="323">
        <v>18</v>
      </c>
      <c r="C148" s="323">
        <v>69</v>
      </c>
      <c r="D148" s="323">
        <v>670</v>
      </c>
      <c r="E148" s="323">
        <v>360</v>
      </c>
      <c r="F148" s="354"/>
      <c r="G148" s="323"/>
      <c r="H148" s="323"/>
      <c r="I148" s="323"/>
      <c r="J148" s="323"/>
      <c r="K148" s="323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C148" s="323"/>
      <c r="AD148" s="323"/>
      <c r="AE148" s="323"/>
      <c r="AF148" s="323"/>
      <c r="AG148" s="323"/>
      <c r="AH148" s="323"/>
      <c r="AI148" s="323"/>
      <c r="AJ148" s="323"/>
      <c r="AK148" s="323"/>
      <c r="AL148" s="326">
        <f t="shared" si="4"/>
        <v>360</v>
      </c>
      <c r="AM148" s="327">
        <f t="shared" si="5"/>
        <v>0.29957040000000001</v>
      </c>
      <c r="AN148" s="323"/>
      <c r="AO148" s="323"/>
      <c r="AP148" s="328"/>
    </row>
    <row r="149" spans="1:42">
      <c r="A149" s="351" t="s">
        <v>211</v>
      </c>
      <c r="B149" s="323">
        <v>18</v>
      </c>
      <c r="C149" s="323">
        <v>52</v>
      </c>
      <c r="D149" s="323">
        <v>670</v>
      </c>
      <c r="E149" s="323">
        <v>800</v>
      </c>
      <c r="F149" s="354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  <c r="AB149" s="323"/>
      <c r="AC149" s="323"/>
      <c r="AD149" s="323"/>
      <c r="AE149" s="323"/>
      <c r="AF149" s="323"/>
      <c r="AG149" s="323"/>
      <c r="AH149" s="323"/>
      <c r="AI149" s="323"/>
      <c r="AJ149" s="323"/>
      <c r="AK149" s="323"/>
      <c r="AL149" s="326">
        <f t="shared" si="4"/>
        <v>800</v>
      </c>
      <c r="AM149" s="327">
        <f t="shared" si="5"/>
        <v>0.50169600000000003</v>
      </c>
      <c r="AN149" s="323"/>
      <c r="AO149" s="323"/>
      <c r="AP149" s="328"/>
    </row>
    <row r="150" spans="1:42">
      <c r="A150" s="351" t="s">
        <v>211</v>
      </c>
      <c r="B150" s="323">
        <v>18</v>
      </c>
      <c r="C150" s="323">
        <v>52</v>
      </c>
      <c r="D150" s="323">
        <v>580</v>
      </c>
      <c r="E150" s="323">
        <v>400</v>
      </c>
      <c r="F150" s="354"/>
      <c r="G150" s="323"/>
      <c r="H150" s="323"/>
      <c r="I150" s="323"/>
      <c r="J150" s="323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3"/>
      <c r="AE150" s="323"/>
      <c r="AF150" s="323"/>
      <c r="AG150" s="323"/>
      <c r="AH150" s="323"/>
      <c r="AI150" s="323"/>
      <c r="AJ150" s="323"/>
      <c r="AK150" s="323"/>
      <c r="AL150" s="326">
        <f t="shared" si="4"/>
        <v>400</v>
      </c>
      <c r="AM150" s="327">
        <f t="shared" si="5"/>
        <v>0.21715200000000001</v>
      </c>
      <c r="AN150" s="323"/>
      <c r="AO150" s="323"/>
      <c r="AP150" s="328"/>
    </row>
    <row r="151" spans="1:42">
      <c r="A151" s="351" t="s">
        <v>211</v>
      </c>
      <c r="B151" s="323">
        <v>18</v>
      </c>
      <c r="C151" s="323">
        <v>52</v>
      </c>
      <c r="D151" s="323">
        <v>510</v>
      </c>
      <c r="E151" s="323">
        <v>1600</v>
      </c>
      <c r="F151" s="354"/>
      <c r="G151" s="323"/>
      <c r="H151" s="323"/>
      <c r="I151" s="323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3"/>
      <c r="AE151" s="323"/>
      <c r="AF151" s="323"/>
      <c r="AG151" s="323"/>
      <c r="AH151" s="323"/>
      <c r="AI151" s="323"/>
      <c r="AJ151" s="323"/>
      <c r="AK151" s="323"/>
      <c r="AL151" s="326">
        <f t="shared" si="4"/>
        <v>1600</v>
      </c>
      <c r="AM151" s="327">
        <f t="shared" si="5"/>
        <v>0.76377600000000001</v>
      </c>
      <c r="AN151" s="323"/>
      <c r="AO151" s="323"/>
      <c r="AP151" s="328"/>
    </row>
    <row r="152" spans="1:42">
      <c r="A152" s="351" t="s">
        <v>211</v>
      </c>
      <c r="B152" s="323">
        <v>18</v>
      </c>
      <c r="C152" s="323">
        <v>52</v>
      </c>
      <c r="D152" s="323">
        <v>480</v>
      </c>
      <c r="E152" s="323">
        <v>400</v>
      </c>
      <c r="F152" s="354"/>
      <c r="G152" s="323"/>
      <c r="H152" s="323"/>
      <c r="I152" s="323"/>
      <c r="J152" s="323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C152" s="323"/>
      <c r="AD152" s="323"/>
      <c r="AE152" s="323"/>
      <c r="AF152" s="323"/>
      <c r="AG152" s="323"/>
      <c r="AH152" s="323"/>
      <c r="AI152" s="323"/>
      <c r="AJ152" s="323"/>
      <c r="AK152" s="323"/>
      <c r="AL152" s="326">
        <f t="shared" si="4"/>
        <v>400</v>
      </c>
      <c r="AM152" s="327">
        <f t="shared" si="5"/>
        <v>0.17971200000000001</v>
      </c>
      <c r="AN152" s="323"/>
      <c r="AO152" s="323"/>
      <c r="AP152" s="328"/>
    </row>
    <row r="153" spans="1:42">
      <c r="A153" s="351" t="s">
        <v>211</v>
      </c>
      <c r="B153" s="323">
        <v>18</v>
      </c>
      <c r="C153" s="323">
        <v>52</v>
      </c>
      <c r="D153" s="323">
        <v>480</v>
      </c>
      <c r="E153" s="323">
        <v>800</v>
      </c>
      <c r="F153" s="354"/>
      <c r="G153" s="323"/>
      <c r="H153" s="323"/>
      <c r="I153" s="323"/>
      <c r="J153" s="323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C153" s="323"/>
      <c r="AD153" s="323"/>
      <c r="AE153" s="323"/>
      <c r="AF153" s="323"/>
      <c r="AG153" s="323"/>
      <c r="AH153" s="323"/>
      <c r="AI153" s="323"/>
      <c r="AJ153" s="323"/>
      <c r="AK153" s="323"/>
      <c r="AL153" s="326">
        <f t="shared" si="4"/>
        <v>800</v>
      </c>
      <c r="AM153" s="327">
        <f t="shared" si="5"/>
        <v>0.35942400000000002</v>
      </c>
      <c r="AN153" s="323"/>
      <c r="AO153" s="323"/>
      <c r="AP153" s="328"/>
    </row>
    <row r="154" spans="1:42">
      <c r="A154" s="351" t="s">
        <v>211</v>
      </c>
      <c r="B154" s="323">
        <v>18</v>
      </c>
      <c r="C154" s="323">
        <v>97</v>
      </c>
      <c r="D154" s="323">
        <v>900</v>
      </c>
      <c r="E154" s="323">
        <v>300</v>
      </c>
      <c r="F154" s="354"/>
      <c r="G154" s="323"/>
      <c r="H154" s="323"/>
      <c r="I154" s="323"/>
      <c r="J154" s="323"/>
      <c r="K154" s="323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C154" s="323"/>
      <c r="AD154" s="323"/>
      <c r="AE154" s="323"/>
      <c r="AF154" s="323"/>
      <c r="AG154" s="323"/>
      <c r="AH154" s="323"/>
      <c r="AI154" s="323"/>
      <c r="AJ154" s="323"/>
      <c r="AK154" s="323"/>
      <c r="AL154" s="326">
        <f t="shared" si="4"/>
        <v>300</v>
      </c>
      <c r="AM154" s="327">
        <f t="shared" si="5"/>
        <v>0.47142000000000001</v>
      </c>
      <c r="AN154" s="323"/>
      <c r="AO154" s="323"/>
      <c r="AP154" s="328"/>
    </row>
    <row r="155" spans="1:42">
      <c r="A155" s="351" t="s">
        <v>211</v>
      </c>
      <c r="B155" s="323">
        <v>18</v>
      </c>
      <c r="C155" s="323">
        <v>97</v>
      </c>
      <c r="D155" s="323">
        <v>850</v>
      </c>
      <c r="E155" s="323">
        <v>280</v>
      </c>
      <c r="F155" s="354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  <c r="AB155" s="323"/>
      <c r="AC155" s="323"/>
      <c r="AD155" s="323"/>
      <c r="AE155" s="323"/>
      <c r="AF155" s="323"/>
      <c r="AG155" s="323"/>
      <c r="AH155" s="323"/>
      <c r="AI155" s="323"/>
      <c r="AJ155" s="323"/>
      <c r="AK155" s="323"/>
      <c r="AL155" s="326">
        <f t="shared" si="4"/>
        <v>280</v>
      </c>
      <c r="AM155" s="327">
        <f t="shared" si="5"/>
        <v>0.41554799999999997</v>
      </c>
      <c r="AN155" s="323"/>
      <c r="AO155" s="323"/>
      <c r="AP155" s="328"/>
    </row>
    <row r="156" spans="1:42">
      <c r="A156" s="351" t="s">
        <v>211</v>
      </c>
      <c r="B156" s="323">
        <v>18</v>
      </c>
      <c r="C156" s="323">
        <v>97</v>
      </c>
      <c r="D156" s="323">
        <v>490</v>
      </c>
      <c r="E156" s="323">
        <v>1000</v>
      </c>
      <c r="F156" s="354"/>
      <c r="G156" s="323"/>
      <c r="H156" s="323"/>
      <c r="I156" s="323"/>
      <c r="J156" s="323"/>
      <c r="K156" s="323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3"/>
      <c r="AE156" s="323"/>
      <c r="AF156" s="323"/>
      <c r="AG156" s="323"/>
      <c r="AH156" s="323"/>
      <c r="AI156" s="323"/>
      <c r="AJ156" s="323"/>
      <c r="AK156" s="323"/>
      <c r="AL156" s="326">
        <f t="shared" si="4"/>
        <v>1000</v>
      </c>
      <c r="AM156" s="327">
        <f t="shared" si="5"/>
        <v>0.85553999999999997</v>
      </c>
      <c r="AN156" s="323"/>
      <c r="AO156" s="323"/>
      <c r="AP156" s="328"/>
    </row>
    <row r="157" spans="1:42">
      <c r="A157" s="351" t="s">
        <v>211</v>
      </c>
      <c r="B157" s="323">
        <v>12</v>
      </c>
      <c r="C157" s="323">
        <v>41.3</v>
      </c>
      <c r="D157" s="323">
        <v>850</v>
      </c>
      <c r="E157" s="323">
        <v>1200</v>
      </c>
      <c r="F157" s="354"/>
      <c r="G157" s="323"/>
      <c r="H157" s="323"/>
      <c r="I157" s="323"/>
      <c r="J157" s="323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3"/>
      <c r="AE157" s="323"/>
      <c r="AF157" s="323"/>
      <c r="AG157" s="323"/>
      <c r="AH157" s="323"/>
      <c r="AI157" s="323"/>
      <c r="AJ157" s="323"/>
      <c r="AK157" s="323"/>
      <c r="AL157" s="326">
        <f t="shared" si="4"/>
        <v>1200</v>
      </c>
      <c r="AM157" s="327">
        <f t="shared" si="5"/>
        <v>0.50551199999999996</v>
      </c>
      <c r="AN157" s="323"/>
      <c r="AO157" s="323"/>
      <c r="AP157" s="328"/>
    </row>
    <row r="158" spans="1:42">
      <c r="A158" s="351" t="s">
        <v>211</v>
      </c>
      <c r="B158" s="323">
        <v>12</v>
      </c>
      <c r="C158" s="323">
        <v>41.3</v>
      </c>
      <c r="D158" s="323">
        <v>850</v>
      </c>
      <c r="E158" s="323">
        <v>800</v>
      </c>
      <c r="F158" s="354"/>
      <c r="G158" s="323"/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  <c r="AB158" s="323"/>
      <c r="AC158" s="323"/>
      <c r="AD158" s="323"/>
      <c r="AE158" s="323"/>
      <c r="AF158" s="323"/>
      <c r="AG158" s="323"/>
      <c r="AH158" s="323"/>
      <c r="AI158" s="323"/>
      <c r="AJ158" s="323"/>
      <c r="AK158" s="323"/>
      <c r="AL158" s="326">
        <f t="shared" si="4"/>
        <v>800</v>
      </c>
      <c r="AM158" s="327">
        <f t="shared" si="5"/>
        <v>0.33700799999999997</v>
      </c>
      <c r="AN158" s="323"/>
      <c r="AO158" s="323"/>
      <c r="AP158" s="328"/>
    </row>
    <row r="159" spans="1:42">
      <c r="A159" s="351" t="s">
        <v>211</v>
      </c>
      <c r="B159" s="323">
        <v>12</v>
      </c>
      <c r="C159" s="323">
        <v>41.3</v>
      </c>
      <c r="D159" s="323">
        <v>850</v>
      </c>
      <c r="E159" s="323">
        <v>1800</v>
      </c>
      <c r="F159" s="354"/>
      <c r="G159" s="323"/>
      <c r="H159" s="323"/>
      <c r="I159" s="323"/>
      <c r="J159" s="323"/>
      <c r="K159" s="323"/>
      <c r="L159" s="323"/>
      <c r="M159" s="323"/>
      <c r="N159" s="323"/>
      <c r="O159" s="323"/>
      <c r="P159" s="323">
        <v>857</v>
      </c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  <c r="AB159" s="323"/>
      <c r="AC159" s="323"/>
      <c r="AD159" s="323"/>
      <c r="AE159" s="323"/>
      <c r="AF159" s="323"/>
      <c r="AG159" s="323"/>
      <c r="AH159" s="323"/>
      <c r="AI159" s="323"/>
      <c r="AJ159" s="323"/>
      <c r="AK159" s="323"/>
      <c r="AL159" s="326">
        <f t="shared" si="4"/>
        <v>943</v>
      </c>
      <c r="AM159" s="327">
        <f t="shared" si="5"/>
        <v>0.39724818000000001</v>
      </c>
      <c r="AN159" s="323"/>
      <c r="AO159" s="323"/>
      <c r="AP159" s="328"/>
    </row>
    <row r="160" spans="1:42">
      <c r="A160" s="351" t="s">
        <v>211</v>
      </c>
      <c r="B160" s="323">
        <v>12</v>
      </c>
      <c r="C160" s="323">
        <v>41.3</v>
      </c>
      <c r="D160" s="323">
        <v>850</v>
      </c>
      <c r="E160" s="323">
        <v>1500</v>
      </c>
      <c r="F160" s="354"/>
      <c r="G160" s="323"/>
      <c r="H160" s="323"/>
      <c r="I160" s="323"/>
      <c r="J160" s="323"/>
      <c r="K160" s="323"/>
      <c r="L160" s="323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  <c r="AB160" s="323"/>
      <c r="AC160" s="323"/>
      <c r="AD160" s="323"/>
      <c r="AE160" s="323"/>
      <c r="AF160" s="323"/>
      <c r="AG160" s="323"/>
      <c r="AH160" s="323"/>
      <c r="AI160" s="323"/>
      <c r="AJ160" s="323"/>
      <c r="AK160" s="323"/>
      <c r="AL160" s="326">
        <f t="shared" si="4"/>
        <v>1500</v>
      </c>
      <c r="AM160" s="327">
        <f t="shared" si="5"/>
        <v>0.63188999999999995</v>
      </c>
      <c r="AN160" s="323"/>
      <c r="AO160" s="323"/>
      <c r="AP160" s="328"/>
    </row>
    <row r="161" spans="1:42">
      <c r="A161" s="351" t="s">
        <v>211</v>
      </c>
      <c r="B161" s="323">
        <v>12</v>
      </c>
      <c r="C161" s="323">
        <v>41.3</v>
      </c>
      <c r="D161" s="323">
        <v>700</v>
      </c>
      <c r="E161" s="323">
        <v>1500</v>
      </c>
      <c r="F161" s="354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  <c r="AB161" s="323"/>
      <c r="AC161" s="323"/>
      <c r="AD161" s="323"/>
      <c r="AE161" s="323"/>
      <c r="AF161" s="323"/>
      <c r="AG161" s="323"/>
      <c r="AH161" s="323"/>
      <c r="AI161" s="323"/>
      <c r="AJ161" s="323"/>
      <c r="AK161" s="323"/>
      <c r="AL161" s="326">
        <f t="shared" si="4"/>
        <v>1500</v>
      </c>
      <c r="AM161" s="327">
        <f t="shared" si="5"/>
        <v>0.52037999999999995</v>
      </c>
      <c r="AN161" s="323"/>
      <c r="AO161" s="323"/>
      <c r="AP161" s="328"/>
    </row>
    <row r="162" spans="1:42">
      <c r="A162" s="351" t="s">
        <v>211</v>
      </c>
      <c r="B162" s="323">
        <v>12</v>
      </c>
      <c r="C162" s="323">
        <v>41.3</v>
      </c>
      <c r="D162" s="323">
        <v>700</v>
      </c>
      <c r="E162" s="323">
        <v>1800</v>
      </c>
      <c r="F162" s="354"/>
      <c r="G162" s="323"/>
      <c r="H162" s="323"/>
      <c r="I162" s="323"/>
      <c r="J162" s="323"/>
      <c r="K162" s="323"/>
      <c r="L162" s="323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  <c r="AA162" s="323"/>
      <c r="AB162" s="323"/>
      <c r="AC162" s="323"/>
      <c r="AD162" s="323"/>
      <c r="AE162" s="323"/>
      <c r="AF162" s="323"/>
      <c r="AG162" s="323"/>
      <c r="AH162" s="323"/>
      <c r="AI162" s="323"/>
      <c r="AJ162" s="323"/>
      <c r="AK162" s="323"/>
      <c r="AL162" s="326">
        <f t="shared" si="4"/>
        <v>1800</v>
      </c>
      <c r="AM162" s="327">
        <f t="shared" si="5"/>
        <v>0.62445600000000001</v>
      </c>
      <c r="AN162" s="323"/>
      <c r="AO162" s="323"/>
      <c r="AP162" s="328"/>
    </row>
    <row r="163" spans="1:42">
      <c r="A163" s="351" t="s">
        <v>211</v>
      </c>
      <c r="B163" s="323">
        <v>12</v>
      </c>
      <c r="C163" s="323">
        <v>41.3</v>
      </c>
      <c r="D163" s="323">
        <v>700</v>
      </c>
      <c r="E163" s="323">
        <v>760</v>
      </c>
      <c r="F163" s="354"/>
      <c r="G163" s="323"/>
      <c r="H163" s="323"/>
      <c r="I163" s="323"/>
      <c r="J163" s="323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  <c r="AB163" s="323"/>
      <c r="AC163" s="323"/>
      <c r="AD163" s="323"/>
      <c r="AE163" s="323"/>
      <c r="AF163" s="323"/>
      <c r="AG163" s="323"/>
      <c r="AH163" s="323"/>
      <c r="AI163" s="323"/>
      <c r="AJ163" s="323"/>
      <c r="AK163" s="323"/>
      <c r="AL163" s="326">
        <f t="shared" si="4"/>
        <v>760</v>
      </c>
      <c r="AM163" s="327">
        <f t="shared" si="5"/>
        <v>0.26365919999999998</v>
      </c>
      <c r="AN163" s="323"/>
      <c r="AO163" s="323"/>
      <c r="AP163" s="328"/>
    </row>
    <row r="164" spans="1:42">
      <c r="A164" s="351" t="s">
        <v>211</v>
      </c>
      <c r="B164" s="323">
        <v>12</v>
      </c>
      <c r="C164" s="323">
        <v>41.3</v>
      </c>
      <c r="D164" s="323">
        <v>420</v>
      </c>
      <c r="E164" s="323">
        <v>1500</v>
      </c>
      <c r="F164" s="354"/>
      <c r="G164" s="323"/>
      <c r="H164" s="323"/>
      <c r="I164" s="323"/>
      <c r="J164" s="323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  <c r="AB164" s="323"/>
      <c r="AC164" s="323"/>
      <c r="AD164" s="323"/>
      <c r="AE164" s="323"/>
      <c r="AF164" s="323"/>
      <c r="AG164" s="323"/>
      <c r="AH164" s="323"/>
      <c r="AI164" s="323"/>
      <c r="AJ164" s="323"/>
      <c r="AK164" s="323"/>
      <c r="AL164" s="326">
        <f t="shared" si="4"/>
        <v>1500</v>
      </c>
      <c r="AM164" s="327">
        <f t="shared" si="5"/>
        <v>0.31222800000000001</v>
      </c>
      <c r="AN164" s="323"/>
      <c r="AO164" s="323"/>
      <c r="AP164" s="328"/>
    </row>
    <row r="165" spans="1:42">
      <c r="A165" s="351" t="s">
        <v>211</v>
      </c>
      <c r="B165" s="323">
        <v>12</v>
      </c>
      <c r="C165" s="323">
        <v>41.3</v>
      </c>
      <c r="D165" s="323">
        <v>350</v>
      </c>
      <c r="E165" s="323">
        <v>2200</v>
      </c>
      <c r="F165" s="354"/>
      <c r="G165" s="323"/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323"/>
      <c r="AB165" s="323"/>
      <c r="AC165" s="323"/>
      <c r="AD165" s="323"/>
      <c r="AE165" s="323"/>
      <c r="AF165" s="323"/>
      <c r="AG165" s="323"/>
      <c r="AH165" s="323"/>
      <c r="AI165" s="323"/>
      <c r="AJ165" s="323"/>
      <c r="AK165" s="323"/>
      <c r="AL165" s="326">
        <f t="shared" si="4"/>
        <v>2200</v>
      </c>
      <c r="AM165" s="327">
        <f t="shared" si="5"/>
        <v>0.38161200000000001</v>
      </c>
      <c r="AN165" s="323"/>
      <c r="AO165" s="323"/>
      <c r="AP165" s="328"/>
    </row>
    <row r="166" spans="1:42">
      <c r="A166" s="351" t="s">
        <v>211</v>
      </c>
      <c r="B166" s="323">
        <v>12</v>
      </c>
      <c r="C166" s="323">
        <v>36</v>
      </c>
      <c r="D166" s="323">
        <v>410</v>
      </c>
      <c r="E166" s="323">
        <v>1545</v>
      </c>
      <c r="F166" s="354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  <c r="AB166" s="323"/>
      <c r="AC166" s="323"/>
      <c r="AD166" s="323"/>
      <c r="AE166" s="323"/>
      <c r="AF166" s="323"/>
      <c r="AG166" s="323"/>
      <c r="AH166" s="323"/>
      <c r="AI166" s="323"/>
      <c r="AJ166" s="323"/>
      <c r="AK166" s="323"/>
      <c r="AL166" s="326">
        <f t="shared" si="4"/>
        <v>1545</v>
      </c>
      <c r="AM166" s="327">
        <f t="shared" si="5"/>
        <v>0.27365040000000002</v>
      </c>
      <c r="AN166" s="323"/>
      <c r="AO166" s="323"/>
      <c r="AP166" s="328"/>
    </row>
    <row r="167" spans="1:42">
      <c r="A167" s="351" t="s">
        <v>211</v>
      </c>
      <c r="B167" s="323">
        <v>12</v>
      </c>
      <c r="C167" s="323">
        <v>31.8</v>
      </c>
      <c r="D167" s="323">
        <v>630</v>
      </c>
      <c r="E167" s="323">
        <v>600</v>
      </c>
      <c r="F167" s="354"/>
      <c r="G167" s="323"/>
      <c r="H167" s="323"/>
      <c r="I167" s="323"/>
      <c r="J167" s="323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  <c r="AB167" s="323"/>
      <c r="AC167" s="323"/>
      <c r="AD167" s="323"/>
      <c r="AE167" s="323"/>
      <c r="AF167" s="323"/>
      <c r="AG167" s="323"/>
      <c r="AH167" s="323"/>
      <c r="AI167" s="323"/>
      <c r="AJ167" s="323"/>
      <c r="AK167" s="323"/>
      <c r="AL167" s="326">
        <f t="shared" si="4"/>
        <v>600</v>
      </c>
      <c r="AM167" s="327">
        <f t="shared" si="5"/>
        <v>0.14424480000000001</v>
      </c>
      <c r="AN167" s="323"/>
      <c r="AO167" s="323"/>
      <c r="AP167" s="328"/>
    </row>
    <row r="168" spans="1:42">
      <c r="A168" s="351" t="s">
        <v>211</v>
      </c>
      <c r="B168" s="323">
        <v>12</v>
      </c>
      <c r="C168" s="323">
        <v>31.8</v>
      </c>
      <c r="D168" s="323">
        <v>630</v>
      </c>
      <c r="E168" s="323">
        <v>490</v>
      </c>
      <c r="F168" s="354"/>
      <c r="G168" s="323"/>
      <c r="H168" s="323"/>
      <c r="I168" s="323"/>
      <c r="J168" s="323"/>
      <c r="K168" s="323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  <c r="AB168" s="323"/>
      <c r="AC168" s="323"/>
      <c r="AD168" s="323"/>
      <c r="AE168" s="323"/>
      <c r="AF168" s="323"/>
      <c r="AG168" s="323"/>
      <c r="AH168" s="323"/>
      <c r="AI168" s="323"/>
      <c r="AJ168" s="323"/>
      <c r="AK168" s="323"/>
      <c r="AL168" s="326">
        <f t="shared" si="4"/>
        <v>490</v>
      </c>
      <c r="AM168" s="327">
        <f t="shared" si="5"/>
        <v>0.11779992</v>
      </c>
      <c r="AN168" s="323"/>
      <c r="AO168" s="323"/>
      <c r="AP168" s="328"/>
    </row>
    <row r="169" spans="1:42">
      <c r="A169" s="351" t="s">
        <v>211</v>
      </c>
      <c r="B169" s="323">
        <v>12</v>
      </c>
      <c r="C169" s="323">
        <v>31.8</v>
      </c>
      <c r="D169" s="323">
        <v>520</v>
      </c>
      <c r="E169" s="323">
        <v>3800</v>
      </c>
      <c r="F169" s="354"/>
      <c r="G169" s="323"/>
      <c r="H169" s="323"/>
      <c r="I169" s="323"/>
      <c r="J169" s="323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3"/>
      <c r="AE169" s="323"/>
      <c r="AF169" s="323"/>
      <c r="AG169" s="323"/>
      <c r="AH169" s="323"/>
      <c r="AI169" s="323"/>
      <c r="AJ169" s="323"/>
      <c r="AK169" s="323"/>
      <c r="AL169" s="326">
        <f t="shared" si="4"/>
        <v>3800</v>
      </c>
      <c r="AM169" s="327">
        <f t="shared" si="5"/>
        <v>0.75404159999999998</v>
      </c>
      <c r="AN169" s="323"/>
      <c r="AO169" s="323"/>
      <c r="AP169" s="328"/>
    </row>
    <row r="170" spans="1:42">
      <c r="A170" s="351" t="s">
        <v>211</v>
      </c>
      <c r="B170" s="323">
        <v>12</v>
      </c>
      <c r="C170" s="323">
        <v>31.8</v>
      </c>
      <c r="D170" s="323">
        <v>520</v>
      </c>
      <c r="E170" s="323">
        <v>620</v>
      </c>
      <c r="F170" s="354"/>
      <c r="G170" s="323"/>
      <c r="H170" s="323"/>
      <c r="I170" s="323"/>
      <c r="J170" s="323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3"/>
      <c r="AE170" s="323"/>
      <c r="AF170" s="323"/>
      <c r="AG170" s="323"/>
      <c r="AH170" s="323"/>
      <c r="AI170" s="323"/>
      <c r="AJ170" s="323"/>
      <c r="AK170" s="323"/>
      <c r="AL170" s="326">
        <f t="shared" si="4"/>
        <v>620</v>
      </c>
      <c r="AM170" s="327">
        <f t="shared" si="5"/>
        <v>0.12302784</v>
      </c>
      <c r="AN170" s="323"/>
      <c r="AO170" s="323"/>
      <c r="AP170" s="328"/>
    </row>
    <row r="171" spans="1:42">
      <c r="A171" s="351" t="s">
        <v>211</v>
      </c>
      <c r="B171" s="323">
        <v>12</v>
      </c>
      <c r="C171" s="323">
        <v>31.8</v>
      </c>
      <c r="D171" s="323">
        <v>520</v>
      </c>
      <c r="E171" s="323">
        <v>1200</v>
      </c>
      <c r="F171" s="354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3"/>
      <c r="AE171" s="323"/>
      <c r="AF171" s="323"/>
      <c r="AG171" s="323"/>
      <c r="AH171" s="323"/>
      <c r="AI171" s="323"/>
      <c r="AJ171" s="323"/>
      <c r="AK171" s="323"/>
      <c r="AL171" s="326">
        <f t="shared" si="4"/>
        <v>1200</v>
      </c>
      <c r="AM171" s="327">
        <f t="shared" si="5"/>
        <v>0.23811840000000001</v>
      </c>
      <c r="AN171" s="323"/>
      <c r="AO171" s="323"/>
      <c r="AP171" s="328"/>
    </row>
    <row r="172" spans="1:42">
      <c r="A172" s="351" t="s">
        <v>211</v>
      </c>
      <c r="B172" s="323">
        <v>12</v>
      </c>
      <c r="C172" s="323">
        <v>31.8</v>
      </c>
      <c r="D172" s="323">
        <v>520</v>
      </c>
      <c r="E172" s="323">
        <v>2400</v>
      </c>
      <c r="F172" s="354"/>
      <c r="G172" s="323"/>
      <c r="H172" s="323"/>
      <c r="I172" s="323"/>
      <c r="J172" s="323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>
        <v>1617</v>
      </c>
      <c r="AD172" s="323"/>
      <c r="AE172" s="323"/>
      <c r="AF172" s="323"/>
      <c r="AG172" s="323"/>
      <c r="AH172" s="323"/>
      <c r="AI172" s="323"/>
      <c r="AJ172" s="323"/>
      <c r="AK172" s="323"/>
      <c r="AL172" s="326">
        <f t="shared" si="4"/>
        <v>783</v>
      </c>
      <c r="AM172" s="327">
        <f t="shared" si="5"/>
        <v>0.15537225599999999</v>
      </c>
      <c r="AN172" s="323"/>
      <c r="AO172" s="323"/>
      <c r="AP172" s="328"/>
    </row>
    <row r="173" spans="1:42">
      <c r="A173" s="351" t="s">
        <v>211</v>
      </c>
      <c r="B173" s="323">
        <v>12</v>
      </c>
      <c r="C173" s="323">
        <v>31.8</v>
      </c>
      <c r="D173" s="323">
        <v>520</v>
      </c>
      <c r="E173" s="323">
        <v>600</v>
      </c>
      <c r="F173" s="354"/>
      <c r="G173" s="323"/>
      <c r="H173" s="323"/>
      <c r="I173" s="323"/>
      <c r="J173" s="323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3"/>
      <c r="AE173" s="323"/>
      <c r="AF173" s="323"/>
      <c r="AG173" s="323"/>
      <c r="AH173" s="323"/>
      <c r="AI173" s="323"/>
      <c r="AJ173" s="323"/>
      <c r="AK173" s="323"/>
      <c r="AL173" s="326">
        <f t="shared" si="4"/>
        <v>600</v>
      </c>
      <c r="AM173" s="327">
        <f t="shared" si="5"/>
        <v>0.1190592</v>
      </c>
      <c r="AN173" s="323"/>
      <c r="AO173" s="323"/>
      <c r="AP173" s="328"/>
    </row>
    <row r="174" spans="1:42">
      <c r="A174" s="351" t="s">
        <v>211</v>
      </c>
      <c r="B174" s="323">
        <v>12</v>
      </c>
      <c r="C174" s="323">
        <v>31.8</v>
      </c>
      <c r="D174" s="323">
        <v>520</v>
      </c>
      <c r="E174" s="323">
        <v>2400</v>
      </c>
      <c r="F174" s="354"/>
      <c r="G174" s="323"/>
      <c r="H174" s="323"/>
      <c r="I174" s="323"/>
      <c r="J174" s="323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  <c r="AB174" s="323"/>
      <c r="AC174" s="323"/>
      <c r="AD174" s="323"/>
      <c r="AE174" s="323"/>
      <c r="AF174" s="323"/>
      <c r="AG174" s="323"/>
      <c r="AH174" s="323"/>
      <c r="AI174" s="323"/>
      <c r="AJ174" s="323"/>
      <c r="AK174" s="323"/>
      <c r="AL174" s="326">
        <f t="shared" si="4"/>
        <v>2400</v>
      </c>
      <c r="AM174" s="327">
        <f t="shared" si="5"/>
        <v>0.47623680000000002</v>
      </c>
      <c r="AN174" s="323"/>
      <c r="AO174" s="323"/>
      <c r="AP174" s="328"/>
    </row>
    <row r="175" spans="1:42">
      <c r="A175" s="351" t="s">
        <v>211</v>
      </c>
      <c r="B175" s="323">
        <v>12</v>
      </c>
      <c r="C175" s="323">
        <v>79</v>
      </c>
      <c r="D175" s="323">
        <v>510</v>
      </c>
      <c r="E175" s="323">
        <v>600</v>
      </c>
      <c r="F175" s="354"/>
      <c r="G175" s="323"/>
      <c r="H175" s="323"/>
      <c r="I175" s="323"/>
      <c r="J175" s="323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  <c r="AB175" s="323"/>
      <c r="AC175" s="323"/>
      <c r="AD175" s="323"/>
      <c r="AE175" s="323"/>
      <c r="AF175" s="323"/>
      <c r="AG175" s="323"/>
      <c r="AH175" s="323"/>
      <c r="AI175" s="323"/>
      <c r="AJ175" s="323"/>
      <c r="AK175" s="323"/>
      <c r="AL175" s="326">
        <f t="shared" si="4"/>
        <v>600</v>
      </c>
      <c r="AM175" s="327">
        <f t="shared" si="5"/>
        <v>0.29008800000000001</v>
      </c>
      <c r="AN175" s="323"/>
      <c r="AO175" s="323"/>
      <c r="AP175" s="328"/>
    </row>
    <row r="176" spans="1:42">
      <c r="A176" s="351" t="s">
        <v>211</v>
      </c>
      <c r="B176" s="323">
        <v>12</v>
      </c>
      <c r="C176" s="323">
        <v>79</v>
      </c>
      <c r="D176" s="323">
        <v>510</v>
      </c>
      <c r="E176" s="323">
        <v>600</v>
      </c>
      <c r="F176" s="354"/>
      <c r="G176" s="323"/>
      <c r="H176" s="323"/>
      <c r="I176" s="323"/>
      <c r="J176" s="323"/>
      <c r="K176" s="323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  <c r="AB176" s="323"/>
      <c r="AC176" s="323"/>
      <c r="AD176" s="323"/>
      <c r="AE176" s="323"/>
      <c r="AF176" s="323"/>
      <c r="AG176" s="323"/>
      <c r="AH176" s="323"/>
      <c r="AI176" s="323"/>
      <c r="AJ176" s="323"/>
      <c r="AK176" s="323"/>
      <c r="AL176" s="326">
        <f t="shared" si="4"/>
        <v>600</v>
      </c>
      <c r="AM176" s="327">
        <f t="shared" si="5"/>
        <v>0.29008800000000001</v>
      </c>
      <c r="AN176" s="323"/>
      <c r="AO176" s="323"/>
      <c r="AP176" s="328"/>
    </row>
    <row r="177" spans="1:42">
      <c r="A177" s="351" t="s">
        <v>211</v>
      </c>
      <c r="B177" s="323">
        <v>16</v>
      </c>
      <c r="C177" s="323">
        <v>254</v>
      </c>
      <c r="D177" s="323">
        <v>520.70000000000005</v>
      </c>
      <c r="E177" s="323">
        <v>470</v>
      </c>
      <c r="F177" s="354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  <c r="AB177" s="323"/>
      <c r="AC177" s="323"/>
      <c r="AD177" s="323"/>
      <c r="AE177" s="323"/>
      <c r="AF177" s="323"/>
      <c r="AG177" s="323"/>
      <c r="AH177" s="323"/>
      <c r="AI177" s="323"/>
      <c r="AJ177" s="323"/>
      <c r="AK177" s="323"/>
      <c r="AL177" s="326">
        <f t="shared" si="4"/>
        <v>470</v>
      </c>
      <c r="AM177" s="327">
        <f t="shared" si="5"/>
        <v>0.99457865600000017</v>
      </c>
      <c r="AN177" s="323"/>
      <c r="AO177" s="323"/>
      <c r="AP177" s="328"/>
    </row>
    <row r="178" spans="1:42">
      <c r="A178" s="351" t="s">
        <v>211</v>
      </c>
      <c r="B178" s="323">
        <v>16</v>
      </c>
      <c r="C178" s="323">
        <v>254</v>
      </c>
      <c r="D178" s="323">
        <v>520.70000000000005</v>
      </c>
      <c r="E178" s="323">
        <v>390</v>
      </c>
      <c r="F178" s="354"/>
      <c r="G178" s="323"/>
      <c r="H178" s="323"/>
      <c r="I178" s="323"/>
      <c r="J178" s="323"/>
      <c r="K178" s="323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  <c r="AA178" s="323"/>
      <c r="AB178" s="323"/>
      <c r="AC178" s="323"/>
      <c r="AD178" s="323"/>
      <c r="AE178" s="323"/>
      <c r="AF178" s="323"/>
      <c r="AG178" s="323"/>
      <c r="AH178" s="323"/>
      <c r="AI178" s="323"/>
      <c r="AJ178" s="323"/>
      <c r="AK178" s="323"/>
      <c r="AL178" s="326">
        <f t="shared" si="4"/>
        <v>390</v>
      </c>
      <c r="AM178" s="327">
        <f t="shared" si="5"/>
        <v>0.82528867200000011</v>
      </c>
      <c r="AN178" s="323"/>
      <c r="AO178" s="323"/>
      <c r="AP178" s="328"/>
    </row>
    <row r="179" spans="1:42">
      <c r="A179" s="351" t="s">
        <v>211</v>
      </c>
      <c r="B179" s="323">
        <v>16</v>
      </c>
      <c r="C179" s="323">
        <v>254</v>
      </c>
      <c r="D179" s="323">
        <v>520.70000000000005</v>
      </c>
      <c r="E179" s="323">
        <v>540</v>
      </c>
      <c r="F179" s="354"/>
      <c r="G179" s="323"/>
      <c r="H179" s="323"/>
      <c r="I179" s="323"/>
      <c r="J179" s="323"/>
      <c r="K179" s="323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  <c r="AA179" s="323"/>
      <c r="AB179" s="323"/>
      <c r="AC179" s="323"/>
      <c r="AD179" s="323"/>
      <c r="AE179" s="323"/>
      <c r="AF179" s="323"/>
      <c r="AG179" s="323"/>
      <c r="AH179" s="323"/>
      <c r="AI179" s="323"/>
      <c r="AJ179" s="323"/>
      <c r="AK179" s="323"/>
      <c r="AL179" s="326">
        <f t="shared" si="4"/>
        <v>540</v>
      </c>
      <c r="AM179" s="327">
        <f t="shared" si="5"/>
        <v>1.1427073920000002</v>
      </c>
      <c r="AN179" s="323"/>
      <c r="AO179" s="323"/>
      <c r="AP179" s="328"/>
    </row>
    <row r="180" spans="1:42">
      <c r="A180" s="351" t="s">
        <v>211</v>
      </c>
      <c r="B180" s="323">
        <v>16</v>
      </c>
      <c r="C180" s="323">
        <v>254</v>
      </c>
      <c r="D180" s="323">
        <v>520.70000000000005</v>
      </c>
      <c r="E180" s="323">
        <v>540</v>
      </c>
      <c r="F180" s="354"/>
      <c r="G180" s="323"/>
      <c r="H180" s="323"/>
      <c r="I180" s="323"/>
      <c r="J180" s="323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323"/>
      <c r="AB180" s="323"/>
      <c r="AC180" s="323"/>
      <c r="AD180" s="323"/>
      <c r="AE180" s="323"/>
      <c r="AF180" s="323"/>
      <c r="AG180" s="323"/>
      <c r="AH180" s="323"/>
      <c r="AI180" s="323"/>
      <c r="AJ180" s="323"/>
      <c r="AK180" s="323"/>
      <c r="AL180" s="326">
        <f t="shared" si="4"/>
        <v>540</v>
      </c>
      <c r="AM180" s="327">
        <f t="shared" si="5"/>
        <v>1.1427073920000002</v>
      </c>
      <c r="AN180" s="323"/>
      <c r="AO180" s="323"/>
      <c r="AP180" s="328"/>
    </row>
    <row r="181" spans="1:42">
      <c r="A181" s="351" t="s">
        <v>211</v>
      </c>
      <c r="B181" s="323">
        <v>20</v>
      </c>
      <c r="C181" s="323">
        <v>52</v>
      </c>
      <c r="D181" s="323">
        <v>690</v>
      </c>
      <c r="E181" s="323">
        <v>1000</v>
      </c>
      <c r="F181" s="354"/>
      <c r="G181" s="323"/>
      <c r="H181" s="323"/>
      <c r="I181" s="323"/>
      <c r="J181" s="323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323"/>
      <c r="AI181" s="323"/>
      <c r="AJ181" s="323"/>
      <c r="AK181" s="323"/>
      <c r="AL181" s="326">
        <f t="shared" si="4"/>
        <v>1000</v>
      </c>
      <c r="AM181" s="327">
        <f t="shared" si="5"/>
        <v>0.71760000000000002</v>
      </c>
      <c r="AN181" s="323"/>
      <c r="AO181" s="323"/>
      <c r="AP181" s="328"/>
    </row>
    <row r="182" spans="1:42">
      <c r="A182" s="351" t="s">
        <v>211</v>
      </c>
      <c r="B182" s="323">
        <v>20</v>
      </c>
      <c r="C182" s="323">
        <v>52</v>
      </c>
      <c r="D182" s="323">
        <v>690</v>
      </c>
      <c r="E182" s="323">
        <v>800</v>
      </c>
      <c r="F182" s="354"/>
      <c r="G182" s="323"/>
      <c r="H182" s="323"/>
      <c r="I182" s="323"/>
      <c r="J182" s="323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  <c r="AA182" s="323"/>
      <c r="AB182" s="323">
        <v>210</v>
      </c>
      <c r="AC182" s="323"/>
      <c r="AD182" s="323"/>
      <c r="AE182" s="323"/>
      <c r="AF182" s="323"/>
      <c r="AG182" s="323"/>
      <c r="AH182" s="323"/>
      <c r="AI182" s="323"/>
      <c r="AJ182" s="323"/>
      <c r="AK182" s="323"/>
      <c r="AL182" s="326">
        <f t="shared" si="4"/>
        <v>590</v>
      </c>
      <c r="AM182" s="327">
        <f t="shared" si="5"/>
        <v>0.42338399999999998</v>
      </c>
      <c r="AN182" s="327"/>
      <c r="AO182" s="327"/>
      <c r="AP182" s="328">
        <f>AL182*AN182*33.8783</f>
        <v>0</v>
      </c>
    </row>
    <row r="183" spans="1:42">
      <c r="A183" s="351" t="s">
        <v>211</v>
      </c>
      <c r="B183" s="323">
        <v>20</v>
      </c>
      <c r="C183" s="323">
        <v>52</v>
      </c>
      <c r="D183" s="323">
        <v>830</v>
      </c>
      <c r="E183" s="323">
        <v>1010</v>
      </c>
      <c r="F183" s="354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  <c r="AE183" s="323"/>
      <c r="AF183" s="323"/>
      <c r="AG183" s="323"/>
      <c r="AH183" s="323"/>
      <c r="AI183" s="323"/>
      <c r="AJ183" s="323"/>
      <c r="AK183" s="323"/>
      <c r="AL183" s="326">
        <f t="shared" si="4"/>
        <v>1010</v>
      </c>
      <c r="AM183" s="327">
        <f t="shared" si="5"/>
        <v>0.87183200000000005</v>
      </c>
      <c r="AN183" s="327"/>
      <c r="AO183" s="327"/>
      <c r="AP183" s="328">
        <f>AL183*AN183*33.8783</f>
        <v>0</v>
      </c>
    </row>
    <row r="184" spans="1:42">
      <c r="A184" s="351" t="s">
        <v>211</v>
      </c>
      <c r="B184" s="323">
        <v>20</v>
      </c>
      <c r="C184" s="323">
        <v>52</v>
      </c>
      <c r="D184" s="323">
        <v>830</v>
      </c>
      <c r="E184" s="323">
        <v>1090</v>
      </c>
      <c r="F184" s="354"/>
      <c r="G184" s="323"/>
      <c r="H184" s="323"/>
      <c r="I184" s="323"/>
      <c r="J184" s="323"/>
      <c r="K184" s="323"/>
      <c r="L184" s="323"/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  <c r="AA184" s="323"/>
      <c r="AB184" s="323"/>
      <c r="AC184" s="323"/>
      <c r="AD184" s="323"/>
      <c r="AE184" s="323"/>
      <c r="AF184" s="323"/>
      <c r="AG184" s="323"/>
      <c r="AH184" s="323"/>
      <c r="AI184" s="323"/>
      <c r="AJ184" s="323"/>
      <c r="AK184" s="323"/>
      <c r="AL184" s="326">
        <f t="shared" si="4"/>
        <v>1090</v>
      </c>
      <c r="AM184" s="327">
        <f t="shared" si="5"/>
        <v>0.94088799999999995</v>
      </c>
      <c r="AN184" s="327"/>
      <c r="AO184" s="327"/>
      <c r="AP184" s="328"/>
    </row>
    <row r="185" spans="1:42">
      <c r="A185" s="351" t="s">
        <v>211</v>
      </c>
      <c r="B185" s="323">
        <v>20</v>
      </c>
      <c r="C185" s="323">
        <v>97</v>
      </c>
      <c r="D185" s="323">
        <v>510</v>
      </c>
      <c r="E185" s="323">
        <v>1210</v>
      </c>
      <c r="F185" s="354"/>
      <c r="G185" s="323"/>
      <c r="H185" s="323"/>
      <c r="I185" s="323"/>
      <c r="J185" s="323"/>
      <c r="K185" s="323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>
        <v>376</v>
      </c>
      <c r="Y185" s="323"/>
      <c r="Z185" s="323"/>
      <c r="AA185" s="323"/>
      <c r="AB185" s="323"/>
      <c r="AC185" s="323"/>
      <c r="AD185" s="323"/>
      <c r="AE185" s="323"/>
      <c r="AF185" s="323"/>
      <c r="AG185" s="323"/>
      <c r="AH185" s="323"/>
      <c r="AI185" s="323"/>
      <c r="AJ185" s="323"/>
      <c r="AK185" s="323"/>
      <c r="AL185" s="326">
        <f t="shared" si="4"/>
        <v>834</v>
      </c>
      <c r="AM185" s="327">
        <f t="shared" si="5"/>
        <v>0.82515959999999999</v>
      </c>
      <c r="AN185" s="327"/>
      <c r="AO185" s="327"/>
      <c r="AP185" s="328"/>
    </row>
    <row r="186" spans="1:42">
      <c r="A186" s="351" t="s">
        <v>211</v>
      </c>
      <c r="B186" s="323">
        <v>20</v>
      </c>
      <c r="C186" s="323">
        <v>97</v>
      </c>
      <c r="D186" s="323">
        <v>510</v>
      </c>
      <c r="E186" s="323">
        <v>1010</v>
      </c>
      <c r="F186" s="354"/>
      <c r="G186" s="323"/>
      <c r="H186" s="323"/>
      <c r="I186" s="323"/>
      <c r="J186" s="323"/>
      <c r="K186" s="323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  <c r="AA186" s="323"/>
      <c r="AB186" s="323"/>
      <c r="AC186" s="323"/>
      <c r="AD186" s="323"/>
      <c r="AE186" s="323"/>
      <c r="AF186" s="323"/>
      <c r="AG186" s="323"/>
      <c r="AH186" s="323"/>
      <c r="AI186" s="323"/>
      <c r="AJ186" s="323"/>
      <c r="AK186" s="323"/>
      <c r="AL186" s="326">
        <f t="shared" si="4"/>
        <v>1010</v>
      </c>
      <c r="AM186" s="327">
        <f t="shared" si="5"/>
        <v>0.99929400000000002</v>
      </c>
      <c r="AN186" s="327"/>
      <c r="AO186" s="327"/>
      <c r="AP186" s="328"/>
    </row>
    <row r="187" spans="1:42">
      <c r="A187" s="351" t="s">
        <v>211</v>
      </c>
      <c r="B187" s="323">
        <v>20</v>
      </c>
      <c r="C187" s="323">
        <v>97</v>
      </c>
      <c r="D187" s="323">
        <v>510</v>
      </c>
      <c r="E187" s="323">
        <v>850</v>
      </c>
      <c r="F187" s="354"/>
      <c r="G187" s="323"/>
      <c r="H187" s="323"/>
      <c r="I187" s="323"/>
      <c r="J187" s="323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323"/>
      <c r="AB187" s="323"/>
      <c r="AC187" s="323"/>
      <c r="AD187" s="323"/>
      <c r="AE187" s="323"/>
      <c r="AF187" s="323"/>
      <c r="AG187" s="323"/>
      <c r="AH187" s="323"/>
      <c r="AI187" s="323"/>
      <c r="AJ187" s="323"/>
      <c r="AK187" s="323"/>
      <c r="AL187" s="326">
        <f t="shared" si="4"/>
        <v>850</v>
      </c>
      <c r="AM187" s="327">
        <f t="shared" si="5"/>
        <v>0.84099000000000002</v>
      </c>
      <c r="AN187" s="327"/>
      <c r="AO187" s="327"/>
      <c r="AP187" s="328"/>
    </row>
    <row r="188" spans="1:42">
      <c r="A188" s="351" t="s">
        <v>211</v>
      </c>
      <c r="B188" s="323">
        <v>20</v>
      </c>
      <c r="C188" s="323">
        <v>97</v>
      </c>
      <c r="D188" s="323">
        <v>510</v>
      </c>
      <c r="E188" s="323">
        <v>1210</v>
      </c>
      <c r="F188" s="354"/>
      <c r="G188" s="323"/>
      <c r="H188" s="323"/>
      <c r="I188" s="323"/>
      <c r="J188" s="323"/>
      <c r="K188" s="323"/>
      <c r="L188" s="323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  <c r="AA188" s="323"/>
      <c r="AB188" s="323"/>
      <c r="AC188" s="323"/>
      <c r="AD188" s="323"/>
      <c r="AE188" s="323"/>
      <c r="AF188" s="323"/>
      <c r="AG188" s="323"/>
      <c r="AH188" s="323"/>
      <c r="AI188" s="323"/>
      <c r="AJ188" s="323"/>
      <c r="AK188" s="323"/>
      <c r="AL188" s="326">
        <f t="shared" si="4"/>
        <v>1210</v>
      </c>
      <c r="AM188" s="327">
        <f t="shared" si="5"/>
        <v>1.197174</v>
      </c>
      <c r="AN188" s="323"/>
      <c r="AO188" s="323"/>
      <c r="AP188" s="328"/>
    </row>
    <row r="189" spans="1:42">
      <c r="A189" s="351" t="s">
        <v>211</v>
      </c>
      <c r="B189" s="323">
        <v>20</v>
      </c>
      <c r="C189" s="323">
        <v>97</v>
      </c>
      <c r="D189" s="323">
        <v>510</v>
      </c>
      <c r="E189" s="323">
        <v>1210</v>
      </c>
      <c r="F189" s="354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323"/>
      <c r="AB189" s="323"/>
      <c r="AC189" s="323"/>
      <c r="AD189" s="323"/>
      <c r="AE189" s="323"/>
      <c r="AF189" s="323"/>
      <c r="AG189" s="323"/>
      <c r="AH189" s="323"/>
      <c r="AI189" s="323"/>
      <c r="AJ189" s="323"/>
      <c r="AK189" s="323"/>
      <c r="AL189" s="326">
        <f t="shared" si="4"/>
        <v>1210</v>
      </c>
      <c r="AM189" s="327">
        <f t="shared" si="5"/>
        <v>1.197174</v>
      </c>
      <c r="AN189" s="323"/>
      <c r="AO189" s="323"/>
      <c r="AP189" s="328"/>
    </row>
    <row r="190" spans="1:42">
      <c r="A190" s="351" t="s">
        <v>211</v>
      </c>
      <c r="B190" s="323">
        <v>20</v>
      </c>
      <c r="C190" s="323">
        <v>97</v>
      </c>
      <c r="D190" s="323">
        <v>510</v>
      </c>
      <c r="E190" s="323">
        <v>800</v>
      </c>
      <c r="F190" s="354"/>
      <c r="G190" s="323"/>
      <c r="H190" s="323"/>
      <c r="I190" s="323"/>
      <c r="J190" s="323"/>
      <c r="K190" s="323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  <c r="AA190" s="323"/>
      <c r="AB190" s="323"/>
      <c r="AC190" s="323"/>
      <c r="AD190" s="323"/>
      <c r="AE190" s="323"/>
      <c r="AF190" s="323"/>
      <c r="AG190" s="323"/>
      <c r="AH190" s="323"/>
      <c r="AI190" s="323"/>
      <c r="AJ190" s="323"/>
      <c r="AK190" s="323"/>
      <c r="AL190" s="326">
        <f t="shared" si="4"/>
        <v>800</v>
      </c>
      <c r="AM190" s="327">
        <f t="shared" si="5"/>
        <v>0.79152</v>
      </c>
      <c r="AN190" s="323"/>
      <c r="AO190" s="323"/>
      <c r="AP190" s="328"/>
    </row>
    <row r="191" spans="1:42">
      <c r="A191" s="351" t="s">
        <v>211</v>
      </c>
      <c r="B191" s="323">
        <v>20</v>
      </c>
      <c r="C191" s="323">
        <v>97</v>
      </c>
      <c r="D191" s="323">
        <v>510</v>
      </c>
      <c r="E191" s="323">
        <v>1210</v>
      </c>
      <c r="F191" s="354"/>
      <c r="G191" s="323"/>
      <c r="H191" s="323"/>
      <c r="I191" s="323"/>
      <c r="J191" s="323"/>
      <c r="K191" s="323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  <c r="AA191" s="323"/>
      <c r="AB191" s="323"/>
      <c r="AC191" s="323"/>
      <c r="AD191" s="323"/>
      <c r="AE191" s="323"/>
      <c r="AF191" s="323"/>
      <c r="AG191" s="323"/>
      <c r="AH191" s="323"/>
      <c r="AI191" s="323"/>
      <c r="AJ191" s="323"/>
      <c r="AK191" s="323"/>
      <c r="AL191" s="326">
        <f t="shared" si="4"/>
        <v>1210</v>
      </c>
      <c r="AM191" s="327">
        <f t="shared" si="5"/>
        <v>1.197174</v>
      </c>
      <c r="AN191" s="323"/>
      <c r="AO191" s="323"/>
      <c r="AP191" s="328"/>
    </row>
    <row r="192" spans="1:42">
      <c r="A192" s="351" t="s">
        <v>211</v>
      </c>
      <c r="B192" s="323">
        <v>20</v>
      </c>
      <c r="C192" s="323">
        <v>97</v>
      </c>
      <c r="D192" s="323">
        <v>510</v>
      </c>
      <c r="E192" s="323">
        <v>1210</v>
      </c>
      <c r="F192" s="354"/>
      <c r="G192" s="323"/>
      <c r="H192" s="323"/>
      <c r="I192" s="323"/>
      <c r="J192" s="323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323"/>
      <c r="AB192" s="323"/>
      <c r="AC192" s="323"/>
      <c r="AD192" s="323"/>
      <c r="AE192" s="323"/>
      <c r="AF192" s="323"/>
      <c r="AG192" s="323"/>
      <c r="AH192" s="323"/>
      <c r="AI192" s="323"/>
      <c r="AJ192" s="323"/>
      <c r="AK192" s="323"/>
      <c r="AL192" s="326">
        <f t="shared" si="4"/>
        <v>1210</v>
      </c>
      <c r="AM192" s="327">
        <f t="shared" si="5"/>
        <v>1.197174</v>
      </c>
      <c r="AN192" s="323"/>
      <c r="AO192" s="323"/>
      <c r="AP192" s="328"/>
    </row>
    <row r="193" spans="1:42">
      <c r="A193" s="351" t="s">
        <v>211</v>
      </c>
      <c r="B193" s="323">
        <v>20</v>
      </c>
      <c r="C193" s="323">
        <v>97</v>
      </c>
      <c r="D193" s="323">
        <v>510</v>
      </c>
      <c r="E193" s="323">
        <v>1210</v>
      </c>
      <c r="F193" s="354"/>
      <c r="G193" s="323"/>
      <c r="H193" s="323"/>
      <c r="I193" s="323"/>
      <c r="J193" s="323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  <c r="AA193" s="323"/>
      <c r="AB193" s="323"/>
      <c r="AC193" s="323"/>
      <c r="AD193" s="323"/>
      <c r="AE193" s="323"/>
      <c r="AF193" s="323"/>
      <c r="AG193" s="323"/>
      <c r="AH193" s="323"/>
      <c r="AI193" s="323"/>
      <c r="AJ193" s="323"/>
      <c r="AK193" s="323"/>
      <c r="AL193" s="326">
        <f t="shared" si="4"/>
        <v>1210</v>
      </c>
      <c r="AM193" s="327">
        <f t="shared" si="5"/>
        <v>1.197174</v>
      </c>
      <c r="AN193" s="323"/>
      <c r="AO193" s="323"/>
      <c r="AP193" s="328"/>
    </row>
    <row r="194" spans="1:42">
      <c r="A194" s="351" t="s">
        <v>211</v>
      </c>
      <c r="B194" s="323">
        <v>20</v>
      </c>
      <c r="C194" s="323">
        <v>97</v>
      </c>
      <c r="D194" s="323">
        <v>510</v>
      </c>
      <c r="E194" s="323">
        <v>800</v>
      </c>
      <c r="F194" s="354"/>
      <c r="G194" s="323"/>
      <c r="H194" s="323"/>
      <c r="I194" s="323"/>
      <c r="J194" s="323"/>
      <c r="K194" s="323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  <c r="AA194" s="323"/>
      <c r="AB194" s="323"/>
      <c r="AC194" s="323"/>
      <c r="AD194" s="323"/>
      <c r="AE194" s="323"/>
      <c r="AF194" s="323"/>
      <c r="AG194" s="323"/>
      <c r="AH194" s="323"/>
      <c r="AI194" s="323"/>
      <c r="AJ194" s="323"/>
      <c r="AK194" s="323"/>
      <c r="AL194" s="326">
        <f t="shared" si="4"/>
        <v>800</v>
      </c>
      <c r="AM194" s="327">
        <f t="shared" si="5"/>
        <v>0.79152</v>
      </c>
      <c r="AN194" s="323"/>
      <c r="AO194" s="323"/>
      <c r="AP194" s="328"/>
    </row>
    <row r="195" spans="1:42">
      <c r="A195" s="351" t="s">
        <v>211</v>
      </c>
      <c r="B195" s="323">
        <v>20</v>
      </c>
      <c r="C195" s="323">
        <v>97</v>
      </c>
      <c r="D195" s="323">
        <v>510</v>
      </c>
      <c r="E195" s="323">
        <v>1600</v>
      </c>
      <c r="F195" s="354"/>
      <c r="G195" s="323"/>
      <c r="H195" s="323"/>
      <c r="I195" s="323"/>
      <c r="J195" s="323"/>
      <c r="K195" s="323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  <c r="AA195" s="323"/>
      <c r="AB195" s="323"/>
      <c r="AC195" s="323"/>
      <c r="AD195" s="323"/>
      <c r="AE195" s="323"/>
      <c r="AF195" s="323"/>
      <c r="AG195" s="323"/>
      <c r="AH195" s="323"/>
      <c r="AI195" s="323"/>
      <c r="AJ195" s="323"/>
      <c r="AK195" s="323"/>
      <c r="AL195" s="326">
        <f t="shared" ref="AL195:AL223" si="6">E195-G195-H195-I195-J195-K195-L195-M195-N195-O195-P195-Q195-R195-S195-T195-U195-V195-W195-X195-Y195-Z195-AA195-AB195-AC195-AD195-AE195-AF195-AG195-AH195-AI195-AJ195-AK195</f>
        <v>1600</v>
      </c>
      <c r="AM195" s="327">
        <f t="shared" ref="AM195:AM223" si="7">B195*C195*D195*AL195/1000000000</f>
        <v>1.58304</v>
      </c>
      <c r="AN195" s="323"/>
      <c r="AO195" s="323"/>
      <c r="AP195" s="328"/>
    </row>
    <row r="196" spans="1:42">
      <c r="A196" s="351" t="s">
        <v>211</v>
      </c>
      <c r="B196" s="323">
        <v>20</v>
      </c>
      <c r="C196" s="323">
        <v>97</v>
      </c>
      <c r="D196" s="323">
        <v>510</v>
      </c>
      <c r="E196" s="323">
        <v>1600</v>
      </c>
      <c r="F196" s="354"/>
      <c r="G196" s="323"/>
      <c r="H196" s="323"/>
      <c r="I196" s="323"/>
      <c r="J196" s="323"/>
      <c r="K196" s="323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3"/>
      <c r="AE196" s="323"/>
      <c r="AF196" s="323"/>
      <c r="AG196" s="323"/>
      <c r="AH196" s="323"/>
      <c r="AI196" s="323"/>
      <c r="AJ196" s="323"/>
      <c r="AK196" s="323"/>
      <c r="AL196" s="326">
        <f t="shared" si="6"/>
        <v>1600</v>
      </c>
      <c r="AM196" s="327">
        <f t="shared" si="7"/>
        <v>1.58304</v>
      </c>
      <c r="AN196" s="323"/>
      <c r="AO196" s="323"/>
      <c r="AP196" s="328"/>
    </row>
    <row r="197" spans="1:42">
      <c r="A197" s="351" t="s">
        <v>211</v>
      </c>
      <c r="B197" s="323">
        <v>20</v>
      </c>
      <c r="C197" s="323">
        <v>97</v>
      </c>
      <c r="D197" s="323">
        <v>510</v>
      </c>
      <c r="E197" s="323">
        <v>1060</v>
      </c>
      <c r="F197" s="354"/>
      <c r="G197" s="323"/>
      <c r="H197" s="323"/>
      <c r="I197" s="323"/>
      <c r="J197" s="323"/>
      <c r="K197" s="323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  <c r="AA197" s="323"/>
      <c r="AB197" s="323"/>
      <c r="AC197" s="323"/>
      <c r="AD197" s="323"/>
      <c r="AE197" s="323"/>
      <c r="AF197" s="323"/>
      <c r="AG197" s="323"/>
      <c r="AH197" s="323"/>
      <c r="AI197" s="323"/>
      <c r="AJ197" s="323"/>
      <c r="AK197" s="323"/>
      <c r="AL197" s="326">
        <f t="shared" si="6"/>
        <v>1060</v>
      </c>
      <c r="AM197" s="327">
        <f t="shared" si="7"/>
        <v>1.048764</v>
      </c>
      <c r="AN197" s="323"/>
      <c r="AO197" s="323"/>
      <c r="AP197" s="328"/>
    </row>
    <row r="198" spans="1:42">
      <c r="A198" s="351" t="s">
        <v>211</v>
      </c>
      <c r="B198" s="323">
        <v>20</v>
      </c>
      <c r="C198" s="323">
        <v>97</v>
      </c>
      <c r="D198" s="323">
        <v>510</v>
      </c>
      <c r="E198" s="323">
        <v>800</v>
      </c>
      <c r="F198" s="354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323"/>
      <c r="AB198" s="323"/>
      <c r="AC198" s="323"/>
      <c r="AD198" s="323"/>
      <c r="AE198" s="323"/>
      <c r="AF198" s="323"/>
      <c r="AG198" s="323"/>
      <c r="AH198" s="323"/>
      <c r="AI198" s="323"/>
      <c r="AJ198" s="323"/>
      <c r="AK198" s="323"/>
      <c r="AL198" s="326">
        <f t="shared" si="6"/>
        <v>800</v>
      </c>
      <c r="AM198" s="327">
        <f t="shared" si="7"/>
        <v>0.79152</v>
      </c>
      <c r="AN198" s="323"/>
      <c r="AO198" s="323"/>
      <c r="AP198" s="328"/>
    </row>
    <row r="199" spans="1:42">
      <c r="A199" s="351" t="s">
        <v>211</v>
      </c>
      <c r="B199" s="323">
        <v>20</v>
      </c>
      <c r="C199" s="323">
        <v>97</v>
      </c>
      <c r="D199" s="323">
        <v>510</v>
      </c>
      <c r="E199" s="323">
        <v>1060</v>
      </c>
      <c r="F199" s="354"/>
      <c r="G199" s="323"/>
      <c r="H199" s="323"/>
      <c r="I199" s="323"/>
      <c r="J199" s="323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  <c r="AE199" s="323"/>
      <c r="AF199" s="323"/>
      <c r="AG199" s="323"/>
      <c r="AH199" s="323"/>
      <c r="AI199" s="323"/>
      <c r="AJ199" s="323"/>
      <c r="AK199" s="323"/>
      <c r="AL199" s="326">
        <f t="shared" si="6"/>
        <v>1060</v>
      </c>
      <c r="AM199" s="327">
        <f t="shared" si="7"/>
        <v>1.048764</v>
      </c>
      <c r="AN199" s="323"/>
      <c r="AO199" s="323"/>
      <c r="AP199" s="328"/>
    </row>
    <row r="200" spans="1:42">
      <c r="A200" s="356" t="s">
        <v>207</v>
      </c>
      <c r="B200" s="323">
        <v>18</v>
      </c>
      <c r="C200" s="323">
        <v>470</v>
      </c>
      <c r="D200" s="323">
        <v>1220</v>
      </c>
      <c r="E200" s="323">
        <v>57</v>
      </c>
      <c r="F200" s="354"/>
      <c r="G200" s="323"/>
      <c r="H200" s="323"/>
      <c r="I200" s="323"/>
      <c r="J200" s="323"/>
      <c r="K200" s="323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  <c r="AA200" s="323"/>
      <c r="AB200" s="323"/>
      <c r="AC200" s="323"/>
      <c r="AD200" s="323"/>
      <c r="AE200" s="323"/>
      <c r="AF200" s="323"/>
      <c r="AG200" s="323"/>
      <c r="AH200" s="323"/>
      <c r="AI200" s="323"/>
      <c r="AJ200" s="323"/>
      <c r="AK200" s="323"/>
      <c r="AL200" s="326">
        <f t="shared" si="6"/>
        <v>57</v>
      </c>
      <c r="AM200" s="327">
        <f t="shared" si="7"/>
        <v>0.58830839999999995</v>
      </c>
      <c r="AN200" s="323"/>
      <c r="AO200" s="323"/>
      <c r="AP200" s="328"/>
    </row>
    <row r="201" spans="1:42">
      <c r="A201" s="356" t="s">
        <v>207</v>
      </c>
      <c r="B201" s="323">
        <v>18</v>
      </c>
      <c r="C201" s="323">
        <v>470</v>
      </c>
      <c r="D201" s="323">
        <v>1220</v>
      </c>
      <c r="E201" s="323">
        <v>57</v>
      </c>
      <c r="F201" s="354"/>
      <c r="G201" s="323"/>
      <c r="H201" s="323"/>
      <c r="I201" s="323"/>
      <c r="J201" s="323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323"/>
      <c r="AB201" s="323"/>
      <c r="AC201" s="323"/>
      <c r="AD201" s="323"/>
      <c r="AE201" s="323"/>
      <c r="AF201" s="323"/>
      <c r="AG201" s="323"/>
      <c r="AH201" s="323"/>
      <c r="AI201" s="323"/>
      <c r="AJ201" s="323"/>
      <c r="AK201" s="323"/>
      <c r="AL201" s="326">
        <f t="shared" si="6"/>
        <v>57</v>
      </c>
      <c r="AM201" s="327">
        <f t="shared" si="7"/>
        <v>0.58830839999999995</v>
      </c>
      <c r="AN201" s="323"/>
      <c r="AO201" s="323"/>
      <c r="AP201" s="328"/>
    </row>
    <row r="202" spans="1:42">
      <c r="A202" s="356" t="s">
        <v>207</v>
      </c>
      <c r="B202" s="323">
        <v>18</v>
      </c>
      <c r="C202" s="323">
        <v>720</v>
      </c>
      <c r="D202" s="323">
        <v>1220</v>
      </c>
      <c r="E202" s="323">
        <v>57</v>
      </c>
      <c r="F202" s="354"/>
      <c r="G202" s="323"/>
      <c r="H202" s="323"/>
      <c r="I202" s="323"/>
      <c r="J202" s="323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323"/>
      <c r="AB202" s="323"/>
      <c r="AC202" s="323"/>
      <c r="AD202" s="323"/>
      <c r="AE202" s="323"/>
      <c r="AF202" s="323"/>
      <c r="AG202" s="323"/>
      <c r="AH202" s="323"/>
      <c r="AI202" s="323"/>
      <c r="AJ202" s="323"/>
      <c r="AK202" s="323"/>
      <c r="AL202" s="326">
        <f t="shared" si="6"/>
        <v>57</v>
      </c>
      <c r="AM202" s="327">
        <f t="shared" si="7"/>
        <v>0.9012384</v>
      </c>
      <c r="AN202" s="323"/>
      <c r="AO202" s="323"/>
      <c r="AP202" s="328"/>
    </row>
    <row r="203" spans="1:42">
      <c r="A203" s="356" t="s">
        <v>207</v>
      </c>
      <c r="B203" s="323">
        <v>18</v>
      </c>
      <c r="C203" s="323">
        <v>720</v>
      </c>
      <c r="D203" s="323">
        <v>1220</v>
      </c>
      <c r="E203" s="323">
        <v>57</v>
      </c>
      <c r="F203" s="354"/>
      <c r="G203" s="323"/>
      <c r="H203" s="323"/>
      <c r="I203" s="323"/>
      <c r="J203" s="323"/>
      <c r="K203" s="323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  <c r="AA203" s="323"/>
      <c r="AB203" s="323"/>
      <c r="AC203" s="323"/>
      <c r="AD203" s="323"/>
      <c r="AE203" s="323"/>
      <c r="AF203" s="323"/>
      <c r="AG203" s="323"/>
      <c r="AH203" s="323"/>
      <c r="AI203" s="323"/>
      <c r="AJ203" s="323"/>
      <c r="AK203" s="323"/>
      <c r="AL203" s="326">
        <f t="shared" si="6"/>
        <v>57</v>
      </c>
      <c r="AM203" s="327">
        <f t="shared" si="7"/>
        <v>0.9012384</v>
      </c>
      <c r="AN203" s="323"/>
      <c r="AO203" s="323"/>
      <c r="AP203" s="328"/>
    </row>
    <row r="204" spans="1:42">
      <c r="A204" s="356" t="s">
        <v>207</v>
      </c>
      <c r="B204" s="323">
        <v>18</v>
      </c>
      <c r="C204" s="323">
        <v>720</v>
      </c>
      <c r="D204" s="323">
        <v>1220</v>
      </c>
      <c r="E204" s="323">
        <v>57</v>
      </c>
      <c r="F204" s="354"/>
      <c r="G204" s="323"/>
      <c r="H204" s="323"/>
      <c r="I204" s="323"/>
      <c r="J204" s="323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  <c r="AA204" s="323"/>
      <c r="AB204" s="323"/>
      <c r="AC204" s="323"/>
      <c r="AD204" s="323"/>
      <c r="AE204" s="323"/>
      <c r="AF204" s="323"/>
      <c r="AG204" s="323"/>
      <c r="AH204" s="323"/>
      <c r="AI204" s="323"/>
      <c r="AJ204" s="323"/>
      <c r="AK204" s="323"/>
      <c r="AL204" s="326">
        <f t="shared" si="6"/>
        <v>57</v>
      </c>
      <c r="AM204" s="327">
        <f t="shared" si="7"/>
        <v>0.9012384</v>
      </c>
      <c r="AN204" s="323"/>
      <c r="AO204" s="323"/>
      <c r="AP204" s="328"/>
    </row>
    <row r="205" spans="1:42">
      <c r="A205" s="356" t="s">
        <v>207</v>
      </c>
      <c r="B205" s="323">
        <v>18</v>
      </c>
      <c r="C205" s="323">
        <v>720</v>
      </c>
      <c r="D205" s="323">
        <v>1220</v>
      </c>
      <c r="E205" s="323">
        <v>36</v>
      </c>
      <c r="F205" s="354"/>
      <c r="G205" s="323"/>
      <c r="H205" s="323"/>
      <c r="I205" s="323"/>
      <c r="J205" s="323"/>
      <c r="K205" s="323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  <c r="AA205" s="323"/>
      <c r="AB205" s="323"/>
      <c r="AC205" s="323"/>
      <c r="AD205" s="323"/>
      <c r="AE205" s="323"/>
      <c r="AF205" s="323"/>
      <c r="AG205" s="323"/>
      <c r="AH205" s="323"/>
      <c r="AI205" s="323"/>
      <c r="AJ205" s="323"/>
      <c r="AK205" s="323"/>
      <c r="AL205" s="326">
        <f t="shared" si="6"/>
        <v>36</v>
      </c>
      <c r="AM205" s="327">
        <f t="shared" si="7"/>
        <v>0.56920320000000002</v>
      </c>
      <c r="AN205" s="323"/>
      <c r="AO205" s="323"/>
      <c r="AP205" s="328"/>
    </row>
    <row r="206" spans="1:42">
      <c r="A206" s="356" t="s">
        <v>207</v>
      </c>
      <c r="B206" s="323">
        <v>18</v>
      </c>
      <c r="C206" s="323">
        <v>720</v>
      </c>
      <c r="D206" s="323">
        <v>1220</v>
      </c>
      <c r="E206" s="323">
        <v>57</v>
      </c>
      <c r="F206" s="354"/>
      <c r="G206" s="323"/>
      <c r="H206" s="323"/>
      <c r="I206" s="323"/>
      <c r="J206" s="323"/>
      <c r="K206" s="323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  <c r="AA206" s="323"/>
      <c r="AB206" s="323"/>
      <c r="AC206" s="323"/>
      <c r="AD206" s="323"/>
      <c r="AE206" s="323"/>
      <c r="AF206" s="323"/>
      <c r="AG206" s="323"/>
      <c r="AH206" s="323"/>
      <c r="AI206" s="323"/>
      <c r="AJ206" s="323"/>
      <c r="AK206" s="323"/>
      <c r="AL206" s="326">
        <f t="shared" si="6"/>
        <v>57</v>
      </c>
      <c r="AM206" s="327">
        <f t="shared" si="7"/>
        <v>0.9012384</v>
      </c>
      <c r="AN206" s="323"/>
      <c r="AO206" s="323"/>
      <c r="AP206" s="328"/>
    </row>
    <row r="207" spans="1:42">
      <c r="A207" s="356" t="s">
        <v>207</v>
      </c>
      <c r="B207" s="323">
        <v>18</v>
      </c>
      <c r="C207" s="323">
        <v>680</v>
      </c>
      <c r="D207" s="323">
        <v>1220</v>
      </c>
      <c r="E207" s="323">
        <v>57</v>
      </c>
      <c r="F207" s="354"/>
      <c r="G207" s="323"/>
      <c r="H207" s="323"/>
      <c r="I207" s="323"/>
      <c r="J207" s="323"/>
      <c r="K207" s="323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  <c r="AA207" s="323"/>
      <c r="AB207" s="323"/>
      <c r="AC207" s="323"/>
      <c r="AD207" s="323"/>
      <c r="AE207" s="323"/>
      <c r="AF207" s="323"/>
      <c r="AG207" s="323"/>
      <c r="AH207" s="323"/>
      <c r="AI207" s="323"/>
      <c r="AJ207" s="323"/>
      <c r="AK207" s="323"/>
      <c r="AL207" s="326">
        <f t="shared" si="6"/>
        <v>57</v>
      </c>
      <c r="AM207" s="327">
        <f t="shared" si="7"/>
        <v>0.85116959999999997</v>
      </c>
      <c r="AN207" s="323"/>
      <c r="AO207" s="323"/>
      <c r="AP207" s="328"/>
    </row>
    <row r="208" spans="1:42">
      <c r="A208" s="356" t="s">
        <v>207</v>
      </c>
      <c r="B208" s="323">
        <v>18</v>
      </c>
      <c r="C208" s="323">
        <v>720</v>
      </c>
      <c r="D208" s="323">
        <v>1220</v>
      </c>
      <c r="E208" s="323">
        <v>57</v>
      </c>
      <c r="F208" s="354"/>
      <c r="G208" s="323"/>
      <c r="H208" s="323"/>
      <c r="I208" s="323"/>
      <c r="J208" s="323"/>
      <c r="K208" s="323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  <c r="AA208" s="323"/>
      <c r="AB208" s="323"/>
      <c r="AC208" s="323"/>
      <c r="AD208" s="323"/>
      <c r="AE208" s="323"/>
      <c r="AF208" s="323"/>
      <c r="AG208" s="323"/>
      <c r="AH208" s="323"/>
      <c r="AI208" s="323"/>
      <c r="AJ208" s="323"/>
      <c r="AK208" s="323"/>
      <c r="AL208" s="326">
        <f t="shared" si="6"/>
        <v>57</v>
      </c>
      <c r="AM208" s="327">
        <f t="shared" si="7"/>
        <v>0.9012384</v>
      </c>
      <c r="AN208" s="323"/>
      <c r="AO208" s="323"/>
      <c r="AP208" s="328"/>
    </row>
    <row r="209" spans="1:42">
      <c r="A209" s="356" t="s">
        <v>207</v>
      </c>
      <c r="B209" s="323">
        <v>18</v>
      </c>
      <c r="C209" s="323">
        <v>720</v>
      </c>
      <c r="D209" s="323">
        <v>1220</v>
      </c>
      <c r="E209" s="323">
        <v>57</v>
      </c>
      <c r="F209" s="354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323"/>
      <c r="AB209" s="323"/>
      <c r="AC209" s="323"/>
      <c r="AD209" s="323"/>
      <c r="AE209" s="323"/>
      <c r="AF209" s="323"/>
      <c r="AG209" s="323"/>
      <c r="AH209" s="323"/>
      <c r="AI209" s="323"/>
      <c r="AJ209" s="323"/>
      <c r="AK209" s="323"/>
      <c r="AL209" s="326">
        <f t="shared" si="6"/>
        <v>57</v>
      </c>
      <c r="AM209" s="327">
        <f t="shared" si="7"/>
        <v>0.9012384</v>
      </c>
      <c r="AN209" s="323"/>
      <c r="AO209" s="323"/>
      <c r="AP209" s="328"/>
    </row>
    <row r="210" spans="1:42">
      <c r="A210" s="356" t="s">
        <v>207</v>
      </c>
      <c r="B210" s="323">
        <v>18</v>
      </c>
      <c r="C210" s="323">
        <v>720</v>
      </c>
      <c r="D210" s="323">
        <v>1220</v>
      </c>
      <c r="E210" s="323">
        <v>57</v>
      </c>
      <c r="F210" s="354"/>
      <c r="G210" s="323"/>
      <c r="H210" s="323"/>
      <c r="I210" s="323"/>
      <c r="J210" s="323"/>
      <c r="K210" s="323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  <c r="AA210" s="323"/>
      <c r="AB210" s="323"/>
      <c r="AC210" s="323"/>
      <c r="AD210" s="323"/>
      <c r="AE210" s="323"/>
      <c r="AF210" s="323"/>
      <c r="AG210" s="323"/>
      <c r="AH210" s="323"/>
      <c r="AI210" s="323"/>
      <c r="AJ210" s="323"/>
      <c r="AK210" s="323"/>
      <c r="AL210" s="326">
        <f t="shared" si="6"/>
        <v>57</v>
      </c>
      <c r="AM210" s="327">
        <f t="shared" si="7"/>
        <v>0.9012384</v>
      </c>
      <c r="AN210" s="327"/>
      <c r="AO210" s="327"/>
      <c r="AP210" s="328"/>
    </row>
    <row r="211" spans="1:42">
      <c r="A211" s="356" t="s">
        <v>207</v>
      </c>
      <c r="B211" s="323">
        <v>18</v>
      </c>
      <c r="C211" s="323">
        <v>680</v>
      </c>
      <c r="D211" s="323">
        <v>1220</v>
      </c>
      <c r="E211" s="323">
        <v>57</v>
      </c>
      <c r="F211" s="354"/>
      <c r="G211" s="323"/>
      <c r="H211" s="323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  <c r="AA211" s="323"/>
      <c r="AB211" s="323"/>
      <c r="AC211" s="323"/>
      <c r="AD211" s="323"/>
      <c r="AE211" s="323"/>
      <c r="AF211" s="323"/>
      <c r="AG211" s="323"/>
      <c r="AH211" s="323"/>
      <c r="AI211" s="323"/>
      <c r="AJ211" s="323"/>
      <c r="AK211" s="323"/>
      <c r="AL211" s="326">
        <f t="shared" si="6"/>
        <v>57</v>
      </c>
      <c r="AM211" s="327">
        <f t="shared" si="7"/>
        <v>0.85116959999999997</v>
      </c>
      <c r="AN211" s="327"/>
      <c r="AO211" s="327"/>
      <c r="AP211" s="328"/>
    </row>
    <row r="212" spans="1:42">
      <c r="A212" s="356" t="s">
        <v>207</v>
      </c>
      <c r="B212" s="323">
        <v>18</v>
      </c>
      <c r="C212" s="323">
        <v>720</v>
      </c>
      <c r="D212" s="323">
        <v>1220</v>
      </c>
      <c r="E212" s="323">
        <v>57</v>
      </c>
      <c r="F212" s="354"/>
      <c r="G212" s="323"/>
      <c r="H212" s="323"/>
      <c r="I212" s="323"/>
      <c r="J212" s="323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323"/>
      <c r="AB212" s="323"/>
      <c r="AC212" s="323"/>
      <c r="AD212" s="323"/>
      <c r="AE212" s="323"/>
      <c r="AF212" s="323"/>
      <c r="AG212" s="323"/>
      <c r="AH212" s="323"/>
      <c r="AI212" s="323"/>
      <c r="AJ212" s="323"/>
      <c r="AK212" s="323"/>
      <c r="AL212" s="326">
        <f t="shared" si="6"/>
        <v>57</v>
      </c>
      <c r="AM212" s="327">
        <f t="shared" si="7"/>
        <v>0.9012384</v>
      </c>
      <c r="AN212" s="327"/>
      <c r="AO212" s="327"/>
      <c r="AP212" s="328"/>
    </row>
    <row r="213" spans="1:42">
      <c r="A213" s="356" t="s">
        <v>207</v>
      </c>
      <c r="B213" s="323">
        <v>18</v>
      </c>
      <c r="C213" s="323">
        <v>720</v>
      </c>
      <c r="D213" s="323">
        <v>1220</v>
      </c>
      <c r="E213" s="323">
        <v>57</v>
      </c>
      <c r="F213" s="354"/>
      <c r="G213" s="323"/>
      <c r="H213" s="323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323"/>
      <c r="AB213" s="323"/>
      <c r="AC213" s="323"/>
      <c r="AD213" s="323"/>
      <c r="AE213" s="323"/>
      <c r="AF213" s="323"/>
      <c r="AG213" s="323"/>
      <c r="AH213" s="323"/>
      <c r="AI213" s="323"/>
      <c r="AJ213" s="323"/>
      <c r="AK213" s="323"/>
      <c r="AL213" s="326">
        <f t="shared" si="6"/>
        <v>57</v>
      </c>
      <c r="AM213" s="327">
        <f t="shared" si="7"/>
        <v>0.9012384</v>
      </c>
      <c r="AN213" s="327"/>
      <c r="AO213" s="327"/>
      <c r="AP213" s="328"/>
    </row>
    <row r="214" spans="1:42">
      <c r="A214" s="356" t="s">
        <v>207</v>
      </c>
      <c r="B214" s="323">
        <v>18</v>
      </c>
      <c r="C214" s="323">
        <v>720</v>
      </c>
      <c r="D214" s="323">
        <v>1220</v>
      </c>
      <c r="E214" s="323">
        <v>57</v>
      </c>
      <c r="F214" s="354"/>
      <c r="G214" s="323"/>
      <c r="H214" s="323"/>
      <c r="I214" s="323"/>
      <c r="J214" s="323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  <c r="AA214" s="323"/>
      <c r="AB214" s="323"/>
      <c r="AC214" s="323"/>
      <c r="AD214" s="323"/>
      <c r="AE214" s="323"/>
      <c r="AF214" s="323"/>
      <c r="AG214" s="323"/>
      <c r="AH214" s="323"/>
      <c r="AI214" s="323"/>
      <c r="AJ214" s="323"/>
      <c r="AK214" s="323"/>
      <c r="AL214" s="326">
        <f t="shared" si="6"/>
        <v>57</v>
      </c>
      <c r="AM214" s="327">
        <f t="shared" si="7"/>
        <v>0.9012384</v>
      </c>
      <c r="AN214" s="327"/>
      <c r="AO214" s="327"/>
      <c r="AP214" s="328"/>
    </row>
    <row r="215" spans="1:42">
      <c r="A215" s="356" t="s">
        <v>207</v>
      </c>
      <c r="B215" s="323">
        <v>18</v>
      </c>
      <c r="C215" s="323">
        <v>720</v>
      </c>
      <c r="D215" s="323">
        <v>1220</v>
      </c>
      <c r="E215" s="323">
        <v>57</v>
      </c>
      <c r="F215" s="354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323"/>
      <c r="AB215" s="323"/>
      <c r="AC215" s="323"/>
      <c r="AD215" s="323"/>
      <c r="AE215" s="323"/>
      <c r="AF215" s="323"/>
      <c r="AG215" s="323"/>
      <c r="AH215" s="323"/>
      <c r="AI215" s="323"/>
      <c r="AJ215" s="323"/>
      <c r="AK215" s="323"/>
      <c r="AL215" s="326">
        <f t="shared" si="6"/>
        <v>57</v>
      </c>
      <c r="AM215" s="327">
        <f t="shared" si="7"/>
        <v>0.9012384</v>
      </c>
      <c r="AN215" s="327"/>
      <c r="AO215" s="327"/>
      <c r="AP215" s="328"/>
    </row>
    <row r="216" spans="1:42">
      <c r="A216" s="356" t="s">
        <v>207</v>
      </c>
      <c r="B216" s="323">
        <v>18</v>
      </c>
      <c r="C216" s="323">
        <v>680</v>
      </c>
      <c r="D216" s="323">
        <v>1220</v>
      </c>
      <c r="E216" s="323">
        <v>57</v>
      </c>
      <c r="F216" s="354"/>
      <c r="G216" s="323"/>
      <c r="H216" s="323"/>
      <c r="I216" s="323"/>
      <c r="J216" s="323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  <c r="AA216" s="323"/>
      <c r="AB216" s="323"/>
      <c r="AC216" s="323"/>
      <c r="AD216" s="323"/>
      <c r="AE216" s="323"/>
      <c r="AF216" s="323"/>
      <c r="AG216" s="323"/>
      <c r="AH216" s="323"/>
      <c r="AI216" s="323"/>
      <c r="AJ216" s="323"/>
      <c r="AK216" s="323"/>
      <c r="AL216" s="326">
        <f t="shared" si="6"/>
        <v>57</v>
      </c>
      <c r="AM216" s="327">
        <f t="shared" si="7"/>
        <v>0.85116959999999997</v>
      </c>
      <c r="AN216" s="327"/>
      <c r="AO216" s="327"/>
      <c r="AP216" s="328"/>
    </row>
    <row r="217" spans="1:42">
      <c r="A217" s="356" t="s">
        <v>207</v>
      </c>
      <c r="B217" s="323">
        <v>18</v>
      </c>
      <c r="C217" s="323">
        <v>720</v>
      </c>
      <c r="D217" s="323">
        <v>1220</v>
      </c>
      <c r="E217" s="323">
        <v>57</v>
      </c>
      <c r="F217" s="354"/>
      <c r="G217" s="323"/>
      <c r="H217" s="323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  <c r="AA217" s="323"/>
      <c r="AB217" s="323"/>
      <c r="AC217" s="323"/>
      <c r="AD217" s="323"/>
      <c r="AE217" s="323"/>
      <c r="AF217" s="323"/>
      <c r="AG217" s="323"/>
      <c r="AH217" s="323"/>
      <c r="AI217" s="323"/>
      <c r="AJ217" s="323"/>
      <c r="AK217" s="323"/>
      <c r="AL217" s="326">
        <f t="shared" si="6"/>
        <v>57</v>
      </c>
      <c r="AM217" s="327">
        <f t="shared" si="7"/>
        <v>0.9012384</v>
      </c>
      <c r="AN217" s="327"/>
      <c r="AO217" s="327"/>
      <c r="AP217" s="328"/>
    </row>
    <row r="218" spans="1:42">
      <c r="A218" s="356" t="s">
        <v>207</v>
      </c>
      <c r="B218" s="323">
        <v>18</v>
      </c>
      <c r="C218" s="323">
        <v>720</v>
      </c>
      <c r="D218" s="323">
        <v>1220</v>
      </c>
      <c r="E218" s="323">
        <v>57</v>
      </c>
      <c r="F218" s="354"/>
      <c r="G218" s="323"/>
      <c r="H218" s="323"/>
      <c r="I218" s="323"/>
      <c r="J218" s="323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323"/>
      <c r="AB218" s="323"/>
      <c r="AC218" s="323"/>
      <c r="AD218" s="323"/>
      <c r="AE218" s="323"/>
      <c r="AF218" s="323"/>
      <c r="AG218" s="323"/>
      <c r="AH218" s="323"/>
      <c r="AI218" s="323"/>
      <c r="AJ218" s="323"/>
      <c r="AK218" s="323"/>
      <c r="AL218" s="326">
        <f t="shared" si="6"/>
        <v>57</v>
      </c>
      <c r="AM218" s="327">
        <f t="shared" si="7"/>
        <v>0.9012384</v>
      </c>
      <c r="AN218" s="327"/>
      <c r="AO218" s="327"/>
      <c r="AP218" s="328"/>
    </row>
    <row r="219" spans="1:42">
      <c r="A219" s="356" t="s">
        <v>207</v>
      </c>
      <c r="B219" s="323">
        <v>18</v>
      </c>
      <c r="C219" s="323">
        <v>810</v>
      </c>
      <c r="D219" s="323">
        <v>1220</v>
      </c>
      <c r="E219" s="323">
        <v>57</v>
      </c>
      <c r="F219" s="354"/>
      <c r="G219" s="323"/>
      <c r="H219" s="323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323"/>
      <c r="AB219" s="323"/>
      <c r="AC219" s="323"/>
      <c r="AD219" s="323"/>
      <c r="AE219" s="323"/>
      <c r="AF219" s="323"/>
      <c r="AG219" s="323"/>
      <c r="AH219" s="323"/>
      <c r="AI219" s="323"/>
      <c r="AJ219" s="323"/>
      <c r="AK219" s="323"/>
      <c r="AL219" s="326">
        <f t="shared" si="6"/>
        <v>57</v>
      </c>
      <c r="AM219" s="327">
        <f t="shared" si="7"/>
        <v>1.0138932</v>
      </c>
      <c r="AN219" s="323"/>
      <c r="AO219" s="323"/>
      <c r="AP219" s="328"/>
    </row>
    <row r="220" spans="1:42">
      <c r="A220" s="356" t="s">
        <v>207</v>
      </c>
      <c r="B220" s="323">
        <v>18</v>
      </c>
      <c r="C220" s="323">
        <v>680</v>
      </c>
      <c r="D220" s="323">
        <v>1220</v>
      </c>
      <c r="E220" s="323">
        <v>57</v>
      </c>
      <c r="F220" s="354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3"/>
      <c r="AD220" s="323"/>
      <c r="AE220" s="323"/>
      <c r="AF220" s="323"/>
      <c r="AG220" s="323"/>
      <c r="AH220" s="323"/>
      <c r="AI220" s="323"/>
      <c r="AJ220" s="323"/>
      <c r="AK220" s="323"/>
      <c r="AL220" s="326">
        <f t="shared" si="6"/>
        <v>57</v>
      </c>
      <c r="AM220" s="327">
        <f t="shared" si="7"/>
        <v>0.85116959999999997</v>
      </c>
      <c r="AN220" s="323"/>
      <c r="AO220" s="323"/>
      <c r="AP220" s="328"/>
    </row>
    <row r="221" spans="1:42">
      <c r="A221" s="356" t="s">
        <v>207</v>
      </c>
      <c r="B221" s="323">
        <v>18</v>
      </c>
      <c r="C221" s="323">
        <v>680</v>
      </c>
      <c r="D221" s="323">
        <v>1220</v>
      </c>
      <c r="E221" s="323">
        <v>57</v>
      </c>
      <c r="F221" s="354"/>
      <c r="G221" s="323"/>
      <c r="H221" s="323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323"/>
      <c r="AB221" s="323"/>
      <c r="AC221" s="323"/>
      <c r="AD221" s="323"/>
      <c r="AE221" s="323"/>
      <c r="AF221" s="323"/>
      <c r="AG221" s="323"/>
      <c r="AH221" s="323"/>
      <c r="AI221" s="323"/>
      <c r="AJ221" s="323"/>
      <c r="AK221" s="323"/>
      <c r="AL221" s="326">
        <f t="shared" si="6"/>
        <v>57</v>
      </c>
      <c r="AM221" s="327">
        <f t="shared" si="7"/>
        <v>0.85116959999999997</v>
      </c>
      <c r="AN221" s="323"/>
      <c r="AO221" s="323"/>
      <c r="AP221" s="328"/>
    </row>
    <row r="222" spans="1:42">
      <c r="A222" s="356" t="s">
        <v>207</v>
      </c>
      <c r="B222" s="323">
        <v>18</v>
      </c>
      <c r="C222" s="323">
        <v>720</v>
      </c>
      <c r="D222" s="323">
        <v>1220</v>
      </c>
      <c r="E222" s="323">
        <v>57</v>
      </c>
      <c r="F222" s="354"/>
      <c r="G222" s="323"/>
      <c r="H222" s="323"/>
      <c r="I222" s="323"/>
      <c r="J222" s="323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  <c r="AA222" s="323"/>
      <c r="AB222" s="323"/>
      <c r="AC222" s="323"/>
      <c r="AD222" s="323"/>
      <c r="AE222" s="323"/>
      <c r="AF222" s="323"/>
      <c r="AG222" s="323"/>
      <c r="AH222" s="323"/>
      <c r="AI222" s="323"/>
      <c r="AJ222" s="323"/>
      <c r="AK222" s="323"/>
      <c r="AL222" s="326">
        <f t="shared" si="6"/>
        <v>57</v>
      </c>
      <c r="AM222" s="327">
        <f t="shared" si="7"/>
        <v>0.9012384</v>
      </c>
      <c r="AN222" s="323"/>
      <c r="AO222" s="323"/>
      <c r="AP222" s="328"/>
    </row>
    <row r="223" spans="1:42">
      <c r="A223" s="356" t="s">
        <v>207</v>
      </c>
      <c r="B223" s="323">
        <v>18</v>
      </c>
      <c r="C223" s="323">
        <v>720</v>
      </c>
      <c r="D223" s="323">
        <v>1220</v>
      </c>
      <c r="E223" s="323">
        <v>57</v>
      </c>
      <c r="F223" s="354"/>
      <c r="G223" s="323"/>
      <c r="H223" s="323"/>
      <c r="I223" s="323"/>
      <c r="J223" s="323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323"/>
      <c r="AB223" s="323"/>
      <c r="AC223" s="323"/>
      <c r="AD223" s="323"/>
      <c r="AE223" s="323"/>
      <c r="AF223" s="323"/>
      <c r="AG223" s="323"/>
      <c r="AH223" s="323"/>
      <c r="AI223" s="323"/>
      <c r="AJ223" s="323"/>
      <c r="AK223" s="323"/>
      <c r="AL223" s="326">
        <f t="shared" si="6"/>
        <v>57</v>
      </c>
      <c r="AM223" s="327">
        <f t="shared" si="7"/>
        <v>0.9012384</v>
      </c>
      <c r="AN223" s="323"/>
      <c r="AO223" s="323"/>
      <c r="AP223" s="328"/>
    </row>
    <row r="224" spans="1:42">
      <c r="AM224" s="367">
        <f>SUM(AM3:AM223)</f>
        <v>107.52893668913508</v>
      </c>
    </row>
  </sheetData>
  <autoFilter ref="A1:AP223" xr:uid="{4C521CB8-5257-421F-B9DC-E09AB0B96EE6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sortState xmlns:xlrd2="http://schemas.microsoft.com/office/spreadsheetml/2017/richdata2" ref="A4:AP223">
      <sortCondition ref="B1:B223"/>
    </sortState>
  </autoFilter>
  <mergeCells count="12">
    <mergeCell ref="AP1:AP2"/>
    <mergeCell ref="A1:A2"/>
    <mergeCell ref="B1:B2"/>
    <mergeCell ref="C1:C2"/>
    <mergeCell ref="D1:D2"/>
    <mergeCell ref="E1:E2"/>
    <mergeCell ref="F1:F2"/>
    <mergeCell ref="G1:AK1"/>
    <mergeCell ref="AL1:AL2"/>
    <mergeCell ref="AM1:AM2"/>
    <mergeCell ref="AN1:AN2"/>
    <mergeCell ref="AO1:AO2"/>
  </mergeCells>
  <pageMargins left="1.4173228346456692" right="0.23622047244094488" top="0.74803149606299213" bottom="0.74803149606299213" header="0.31496062992125984" footer="0.31496062992125984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7A1E-3C10-4BE2-AC45-101A78398491}">
  <dimension ref="A1:AR215"/>
  <sheetViews>
    <sheetView zoomScale="70" zoomScaleNormal="70" workbookViewId="0">
      <pane xSplit="7" ySplit="1" topLeftCell="H2" activePane="bottomRight" state="frozen"/>
      <selection activeCell="AV254" sqref="AV254"/>
      <selection pane="topRight" activeCell="AV254" sqref="AV254"/>
      <selection pane="bottomLeft" activeCell="AV254" sqref="AV254"/>
      <selection pane="bottomRight" activeCell="AR18" sqref="AR18:AR19"/>
    </sheetView>
  </sheetViews>
  <sheetFormatPr defaultColWidth="8.90625" defaultRowHeight="14.5"/>
  <cols>
    <col min="1" max="1" width="24.6328125" style="321" bestFit="1" customWidth="1"/>
    <col min="2" max="4" width="8.90625" style="321"/>
    <col min="5" max="5" width="9.81640625" style="321" customWidth="1"/>
    <col min="6" max="6" width="14.6328125" style="321" bestFit="1" customWidth="1"/>
    <col min="7" max="7" width="15" style="321" customWidth="1"/>
    <col min="8" max="8" width="8" style="321" hidden="1" customWidth="1"/>
    <col min="9" max="9" width="8.81640625" style="321" hidden="1" customWidth="1"/>
    <col min="10" max="10" width="7.90625" style="321" hidden="1" customWidth="1"/>
    <col min="11" max="35" width="9.81640625" style="321" hidden="1" customWidth="1"/>
    <col min="36" max="37" width="9.90625" style="321" hidden="1" customWidth="1"/>
    <col min="38" max="38" width="10" style="321" hidden="1" customWidth="1"/>
    <col min="39" max="39" width="15.6328125" style="353" bestFit="1" customWidth="1"/>
    <col min="40" max="40" width="10.1796875" style="321" bestFit="1" customWidth="1"/>
    <col min="41" max="41" width="15.6328125" style="321" customWidth="1"/>
    <col min="42" max="42" width="14.90625" style="321" customWidth="1"/>
    <col min="43" max="43" width="19.453125" style="366" customWidth="1"/>
    <col min="44" max="44" width="25.453125" style="321" customWidth="1"/>
    <col min="45" max="16384" width="8.90625" style="321"/>
  </cols>
  <sheetData>
    <row r="1" spans="1:43" ht="25.25" customHeight="1">
      <c r="A1" s="464" t="s">
        <v>19</v>
      </c>
      <c r="B1" s="464" t="s">
        <v>147</v>
      </c>
      <c r="C1" s="464" t="s">
        <v>1</v>
      </c>
      <c r="D1" s="464" t="s">
        <v>2</v>
      </c>
      <c r="E1" s="464" t="s">
        <v>148</v>
      </c>
      <c r="F1" s="349" t="s">
        <v>149</v>
      </c>
      <c r="G1" s="464" t="s">
        <v>150</v>
      </c>
      <c r="H1" s="441" t="s">
        <v>151</v>
      </c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2" t="s">
        <v>152</v>
      </c>
      <c r="AN1" s="443" t="s">
        <v>153</v>
      </c>
      <c r="AO1" s="443" t="s">
        <v>154</v>
      </c>
      <c r="AP1" s="443" t="s">
        <v>155</v>
      </c>
      <c r="AQ1" s="438" t="s">
        <v>156</v>
      </c>
    </row>
    <row r="2" spans="1:43">
      <c r="A2" s="464"/>
      <c r="B2" s="464"/>
      <c r="C2" s="464"/>
      <c r="D2" s="464"/>
      <c r="E2" s="464"/>
      <c r="F2" s="349"/>
      <c r="G2" s="464"/>
      <c r="H2" s="320">
        <v>1</v>
      </c>
      <c r="I2" s="320">
        <v>2</v>
      </c>
      <c r="J2" s="320">
        <v>3</v>
      </c>
      <c r="K2" s="320">
        <v>4</v>
      </c>
      <c r="L2" s="320">
        <v>5</v>
      </c>
      <c r="M2" s="320">
        <v>6</v>
      </c>
      <c r="N2" s="320">
        <v>7</v>
      </c>
      <c r="O2" s="320">
        <v>8</v>
      </c>
      <c r="P2" s="320">
        <v>9</v>
      </c>
      <c r="Q2" s="320">
        <v>10</v>
      </c>
      <c r="R2" s="320">
        <v>11</v>
      </c>
      <c r="S2" s="320">
        <v>12</v>
      </c>
      <c r="T2" s="320">
        <v>13</v>
      </c>
      <c r="U2" s="320">
        <v>14</v>
      </c>
      <c r="V2" s="320">
        <v>15</v>
      </c>
      <c r="W2" s="320">
        <v>16</v>
      </c>
      <c r="X2" s="320">
        <v>17</v>
      </c>
      <c r="Y2" s="320">
        <v>18</v>
      </c>
      <c r="Z2" s="320">
        <v>19</v>
      </c>
      <c r="AA2" s="320">
        <v>20</v>
      </c>
      <c r="AB2" s="320">
        <v>21</v>
      </c>
      <c r="AC2" s="320">
        <v>22</v>
      </c>
      <c r="AD2" s="320">
        <v>23</v>
      </c>
      <c r="AE2" s="320">
        <v>24</v>
      </c>
      <c r="AF2" s="320">
        <v>25</v>
      </c>
      <c r="AG2" s="320">
        <v>26</v>
      </c>
      <c r="AH2" s="320">
        <v>27</v>
      </c>
      <c r="AI2" s="320">
        <v>28</v>
      </c>
      <c r="AJ2" s="320">
        <v>29</v>
      </c>
      <c r="AK2" s="320">
        <v>30</v>
      </c>
      <c r="AL2" s="320">
        <v>31</v>
      </c>
      <c r="AM2" s="442"/>
      <c r="AN2" s="443"/>
      <c r="AO2" s="443"/>
      <c r="AP2" s="443"/>
      <c r="AQ2" s="438"/>
    </row>
    <row r="3" spans="1:43">
      <c r="A3" s="351" t="s">
        <v>214</v>
      </c>
      <c r="B3" s="323">
        <v>5.3</v>
      </c>
      <c r="C3" s="323">
        <v>1220</v>
      </c>
      <c r="D3" s="323">
        <v>2440</v>
      </c>
      <c r="E3" s="323">
        <v>137</v>
      </c>
      <c r="F3" s="323" t="s">
        <v>215</v>
      </c>
      <c r="G3" s="354">
        <v>46098</v>
      </c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6">
        <f>E3-H3-I3-J3-K3-L3-M3-N3-O3-P3-Q3-R3-S3-T3-U3-V3-W3-X3-Y3-Z3-AA3-AB3-AC3-AD3-AE3-AF3-AG3-AH3-AI3-AJ3-AK3-AL3</f>
        <v>137</v>
      </c>
      <c r="AN3" s="327">
        <f>B3*C3*D3*AM3/1000000000</f>
        <v>2.1614544800000002</v>
      </c>
      <c r="AO3" s="327">
        <f t="shared" ref="AO3:AO9" si="0">15.5*31.3303</f>
        <v>485.61965000000004</v>
      </c>
      <c r="AP3" s="327"/>
      <c r="AQ3" s="328">
        <f t="shared" ref="AQ3:AQ15" si="1">AO3*AM3</f>
        <v>66529.892050000009</v>
      </c>
    </row>
    <row r="4" spans="1:43">
      <c r="A4" s="351" t="s">
        <v>214</v>
      </c>
      <c r="B4" s="323">
        <v>5.3</v>
      </c>
      <c r="C4" s="323">
        <v>1220</v>
      </c>
      <c r="D4" s="323">
        <v>2440</v>
      </c>
      <c r="E4" s="323">
        <v>170</v>
      </c>
      <c r="F4" s="323" t="s">
        <v>215</v>
      </c>
      <c r="G4" s="354">
        <v>46098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6">
        <f t="shared" ref="AM4:AM16" si="2">E4-H4-I4-J4-K4-L4-M4-N4-O4-P4-Q4-R4-S4-T4-U4-V4-W4-X4-Y4-Z4-AA4-AB4-AC4-AD4-AE4-AF4-AG4-AH4-AI4-AJ4-AK4-AL4</f>
        <v>170</v>
      </c>
      <c r="AN4" s="327">
        <f t="shared" ref="AN4:AN16" si="3">B4*C4*D4*AM4/1000000000</f>
        <v>2.6820968000000001</v>
      </c>
      <c r="AO4" s="327">
        <f t="shared" si="0"/>
        <v>485.61965000000004</v>
      </c>
      <c r="AP4" s="327"/>
      <c r="AQ4" s="328">
        <f t="shared" si="1"/>
        <v>82555.340500000006</v>
      </c>
    </row>
    <row r="5" spans="1:43">
      <c r="A5" s="351" t="s">
        <v>214</v>
      </c>
      <c r="B5" s="323">
        <v>5.3</v>
      </c>
      <c r="C5" s="323">
        <v>1220</v>
      </c>
      <c r="D5" s="323">
        <v>2440</v>
      </c>
      <c r="E5" s="323">
        <v>170</v>
      </c>
      <c r="F5" s="323" t="s">
        <v>215</v>
      </c>
      <c r="G5" s="354">
        <v>46098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6">
        <f t="shared" si="2"/>
        <v>170</v>
      </c>
      <c r="AN5" s="327">
        <f t="shared" si="3"/>
        <v>2.6820968000000001</v>
      </c>
      <c r="AO5" s="327">
        <f t="shared" si="0"/>
        <v>485.61965000000004</v>
      </c>
      <c r="AP5" s="327"/>
      <c r="AQ5" s="328">
        <f t="shared" si="1"/>
        <v>82555.340500000006</v>
      </c>
    </row>
    <row r="6" spans="1:43">
      <c r="A6" s="351" t="s">
        <v>214</v>
      </c>
      <c r="B6" s="323">
        <v>5.3</v>
      </c>
      <c r="C6" s="323">
        <v>1220</v>
      </c>
      <c r="D6" s="323">
        <v>2440</v>
      </c>
      <c r="E6" s="323">
        <v>170</v>
      </c>
      <c r="F6" s="323" t="s">
        <v>215</v>
      </c>
      <c r="G6" s="354">
        <v>46098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6">
        <f t="shared" si="2"/>
        <v>170</v>
      </c>
      <c r="AN6" s="327">
        <f t="shared" si="3"/>
        <v>2.6820968000000001</v>
      </c>
      <c r="AO6" s="327">
        <f t="shared" si="0"/>
        <v>485.61965000000004</v>
      </c>
      <c r="AP6" s="327"/>
      <c r="AQ6" s="328">
        <f t="shared" si="1"/>
        <v>82555.340500000006</v>
      </c>
    </row>
    <row r="7" spans="1:43">
      <c r="A7" s="351" t="s">
        <v>214</v>
      </c>
      <c r="B7" s="323">
        <v>5.3</v>
      </c>
      <c r="C7" s="323">
        <v>1220</v>
      </c>
      <c r="D7" s="323">
        <v>2440</v>
      </c>
      <c r="E7" s="323">
        <v>170</v>
      </c>
      <c r="F7" s="323" t="s">
        <v>215</v>
      </c>
      <c r="G7" s="354">
        <v>46098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6">
        <f t="shared" si="2"/>
        <v>170</v>
      </c>
      <c r="AN7" s="327">
        <f t="shared" si="3"/>
        <v>2.6820968000000001</v>
      </c>
      <c r="AO7" s="327">
        <f t="shared" si="0"/>
        <v>485.61965000000004</v>
      </c>
      <c r="AP7" s="327"/>
      <c r="AQ7" s="328">
        <f t="shared" si="1"/>
        <v>82555.340500000006</v>
      </c>
    </row>
    <row r="8" spans="1:43">
      <c r="A8" s="351" t="s">
        <v>214</v>
      </c>
      <c r="B8" s="323">
        <v>5.3</v>
      </c>
      <c r="C8" s="323">
        <v>1220</v>
      </c>
      <c r="D8" s="323">
        <v>2440</v>
      </c>
      <c r="E8" s="323">
        <v>170</v>
      </c>
      <c r="F8" s="323" t="s">
        <v>215</v>
      </c>
      <c r="G8" s="354">
        <v>46098</v>
      </c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6">
        <f t="shared" si="2"/>
        <v>170</v>
      </c>
      <c r="AN8" s="327">
        <f t="shared" si="3"/>
        <v>2.6820968000000001</v>
      </c>
      <c r="AO8" s="327">
        <f t="shared" si="0"/>
        <v>485.61965000000004</v>
      </c>
      <c r="AP8" s="327"/>
      <c r="AQ8" s="328">
        <f t="shared" si="1"/>
        <v>82555.340500000006</v>
      </c>
    </row>
    <row r="9" spans="1:43">
      <c r="A9" s="351" t="s">
        <v>214</v>
      </c>
      <c r="B9" s="323">
        <v>5.3</v>
      </c>
      <c r="C9" s="323">
        <v>1220</v>
      </c>
      <c r="D9" s="323">
        <v>2440</v>
      </c>
      <c r="E9" s="323">
        <v>8</v>
      </c>
      <c r="F9" s="323" t="s">
        <v>215</v>
      </c>
      <c r="G9" s="354">
        <v>46098</v>
      </c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3"/>
      <c r="AM9" s="326">
        <f t="shared" si="2"/>
        <v>8</v>
      </c>
      <c r="AN9" s="327">
        <f t="shared" si="3"/>
        <v>0.12621631999999999</v>
      </c>
      <c r="AO9" s="327">
        <f t="shared" si="0"/>
        <v>485.61965000000004</v>
      </c>
      <c r="AP9" s="327"/>
      <c r="AQ9" s="328">
        <f t="shared" si="1"/>
        <v>3884.9572000000003</v>
      </c>
    </row>
    <row r="10" spans="1:43">
      <c r="A10" s="351" t="s">
        <v>216</v>
      </c>
      <c r="B10" s="323">
        <v>6</v>
      </c>
      <c r="C10" s="323">
        <v>1220</v>
      </c>
      <c r="D10" s="323">
        <v>2440</v>
      </c>
      <c r="E10" s="323">
        <v>166</v>
      </c>
      <c r="F10" s="323" t="s">
        <v>215</v>
      </c>
      <c r="G10" s="354">
        <v>46098</v>
      </c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6">
        <f t="shared" si="2"/>
        <v>166</v>
      </c>
      <c r="AN10" s="327">
        <f t="shared" si="3"/>
        <v>2.9648927999999999</v>
      </c>
      <c r="AO10" s="327">
        <f>9.8*31.3303</f>
        <v>307.03694000000002</v>
      </c>
      <c r="AP10" s="327"/>
      <c r="AQ10" s="328">
        <f t="shared" si="1"/>
        <v>50968.132040000004</v>
      </c>
    </row>
    <row r="11" spans="1:43">
      <c r="A11" s="351" t="s">
        <v>216</v>
      </c>
      <c r="B11" s="323">
        <v>9</v>
      </c>
      <c r="C11" s="323">
        <v>1220</v>
      </c>
      <c r="D11" s="323">
        <v>2440</v>
      </c>
      <c r="E11" s="323">
        <v>105</v>
      </c>
      <c r="F11" s="323" t="s">
        <v>215</v>
      </c>
      <c r="G11" s="354">
        <v>46098</v>
      </c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6">
        <f t="shared" si="2"/>
        <v>105</v>
      </c>
      <c r="AN11" s="327">
        <f t="shared" si="3"/>
        <v>2.8130760000000001</v>
      </c>
      <c r="AO11" s="327">
        <f>13*31.3303</f>
        <v>407.29390000000001</v>
      </c>
      <c r="AP11" s="327"/>
      <c r="AQ11" s="328">
        <f t="shared" si="1"/>
        <v>42765.859499999999</v>
      </c>
    </row>
    <row r="12" spans="1:43">
      <c r="A12" s="351" t="s">
        <v>216</v>
      </c>
      <c r="B12" s="323">
        <v>18</v>
      </c>
      <c r="C12" s="323">
        <v>1220</v>
      </c>
      <c r="D12" s="323">
        <v>2440</v>
      </c>
      <c r="E12" s="323">
        <v>53</v>
      </c>
      <c r="F12" s="323" t="s">
        <v>215</v>
      </c>
      <c r="G12" s="354">
        <v>46098</v>
      </c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6">
        <f t="shared" si="2"/>
        <v>53</v>
      </c>
      <c r="AN12" s="327">
        <f t="shared" si="3"/>
        <v>2.8398672</v>
      </c>
      <c r="AO12" s="327">
        <f>13*31.3303</f>
        <v>407.29390000000001</v>
      </c>
      <c r="AP12" s="327"/>
      <c r="AQ12" s="328">
        <f t="shared" si="1"/>
        <v>21586.576700000001</v>
      </c>
    </row>
    <row r="13" spans="1:43">
      <c r="A13" s="351" t="s">
        <v>216</v>
      </c>
      <c r="B13" s="323">
        <v>18</v>
      </c>
      <c r="C13" s="323">
        <v>1220</v>
      </c>
      <c r="D13" s="323">
        <v>2440</v>
      </c>
      <c r="E13" s="323">
        <v>53</v>
      </c>
      <c r="F13" s="323" t="s">
        <v>215</v>
      </c>
      <c r="G13" s="354">
        <v>46098</v>
      </c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6">
        <f t="shared" si="2"/>
        <v>53</v>
      </c>
      <c r="AN13" s="327">
        <f t="shared" si="3"/>
        <v>2.8398672</v>
      </c>
      <c r="AO13" s="327">
        <f>22.5*31.3303</f>
        <v>704.93175000000008</v>
      </c>
      <c r="AP13" s="327"/>
      <c r="AQ13" s="328">
        <f t="shared" si="1"/>
        <v>37361.382750000004</v>
      </c>
    </row>
    <row r="14" spans="1:43">
      <c r="A14" s="351" t="s">
        <v>216</v>
      </c>
      <c r="B14" s="323">
        <v>5.3</v>
      </c>
      <c r="C14" s="323">
        <v>1220</v>
      </c>
      <c r="D14" s="323">
        <v>2440</v>
      </c>
      <c r="E14" s="323">
        <v>200</v>
      </c>
      <c r="F14" s="323" t="s">
        <v>217</v>
      </c>
      <c r="G14" s="354">
        <v>46139</v>
      </c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6">
        <f t="shared" si="2"/>
        <v>200</v>
      </c>
      <c r="AN14" s="327">
        <f t="shared" si="3"/>
        <v>3.155408</v>
      </c>
      <c r="AO14" s="327">
        <f>15.5*31.3303</f>
        <v>485.61965000000004</v>
      </c>
      <c r="AP14" s="327"/>
      <c r="AQ14" s="328">
        <f t="shared" si="1"/>
        <v>97123.930000000008</v>
      </c>
    </row>
    <row r="15" spans="1:43" ht="13.25" customHeight="1">
      <c r="A15" s="351" t="s">
        <v>216</v>
      </c>
      <c r="B15" s="323">
        <v>5.3</v>
      </c>
      <c r="C15" s="323">
        <v>1220</v>
      </c>
      <c r="D15" s="323">
        <v>2440</v>
      </c>
      <c r="E15" s="323">
        <v>200</v>
      </c>
      <c r="F15" s="323" t="s">
        <v>217</v>
      </c>
      <c r="G15" s="354">
        <v>46139</v>
      </c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6">
        <f t="shared" si="2"/>
        <v>200</v>
      </c>
      <c r="AN15" s="327">
        <f t="shared" si="3"/>
        <v>3.155408</v>
      </c>
      <c r="AO15" s="327">
        <f>15.5*31.3303</f>
        <v>485.61965000000004</v>
      </c>
      <c r="AP15" s="327"/>
      <c r="AQ15" s="328">
        <f t="shared" si="1"/>
        <v>97123.930000000008</v>
      </c>
    </row>
    <row r="16" spans="1:43">
      <c r="A16" s="351" t="s">
        <v>216</v>
      </c>
      <c r="B16" s="323">
        <v>12</v>
      </c>
      <c r="C16" s="323">
        <v>1220</v>
      </c>
      <c r="D16" s="323">
        <v>2440</v>
      </c>
      <c r="E16" s="323">
        <v>1400</v>
      </c>
      <c r="F16" s="323" t="s">
        <v>218</v>
      </c>
      <c r="G16" s="354">
        <v>46226</v>
      </c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>
        <v>200</v>
      </c>
      <c r="AF16" s="323"/>
      <c r="AG16" s="323"/>
      <c r="AH16" s="323">
        <v>200</v>
      </c>
      <c r="AI16" s="323"/>
      <c r="AJ16" s="323"/>
      <c r="AK16" s="323">
        <v>200</v>
      </c>
      <c r="AL16" s="323"/>
      <c r="AM16" s="326">
        <f t="shared" si="2"/>
        <v>800</v>
      </c>
      <c r="AN16" s="327">
        <f t="shared" si="3"/>
        <v>28.577279999999998</v>
      </c>
      <c r="AO16" s="327"/>
      <c r="AP16" s="327">
        <v>20.2</v>
      </c>
      <c r="AQ16" s="328">
        <f>AP16*AM16*32.8679</f>
        <v>531145.26399999997</v>
      </c>
    </row>
    <row r="17" spans="1:44">
      <c r="A17" s="368"/>
      <c r="G17" s="369"/>
      <c r="AN17" s="367"/>
      <c r="AO17" s="367"/>
      <c r="AP17" s="367"/>
    </row>
    <row r="18" spans="1:44">
      <c r="A18" s="368"/>
      <c r="G18" s="369" t="s">
        <v>214</v>
      </c>
      <c r="AN18" s="367">
        <f>SUMIF(A3:A16, "MDF-BIRCH", AN3:AN16)</f>
        <v>15.698154799999999</v>
      </c>
      <c r="AO18" s="367"/>
      <c r="AP18" s="367"/>
      <c r="AQ18" s="366">
        <f>SUMIF(A3:A16, "MDF-BIRCH", AQ3:AQ16)</f>
        <v>483191.55174999998</v>
      </c>
      <c r="AR18" s="321">
        <f>AQ18/AN18</f>
        <v>30780.149508399547</v>
      </c>
    </row>
    <row r="19" spans="1:44">
      <c r="A19" s="368"/>
      <c r="G19" s="369" t="s">
        <v>216</v>
      </c>
      <c r="AN19" s="367">
        <f>SUMIF(A3:A16, "PLYWOOD-BIRCH", AN3:AN16)</f>
        <v>46.345799200000002</v>
      </c>
      <c r="AO19" s="367"/>
      <c r="AP19" s="367"/>
      <c r="AQ19" s="366">
        <f>SUMIF(A3:A16, "PLYWOOD-BIRCH", AQ3:AQ16)</f>
        <v>878075.07498999999</v>
      </c>
      <c r="AR19" s="321">
        <f>AQ19/AN19</f>
        <v>18946.16319379384</v>
      </c>
    </row>
    <row r="20" spans="1:44">
      <c r="A20" s="368"/>
      <c r="G20" s="369"/>
      <c r="AN20" s="367">
        <f>SUM(AN18:AN19)</f>
        <v>62.043953999999999</v>
      </c>
      <c r="AO20" s="367"/>
      <c r="AP20" s="367"/>
      <c r="AQ20" s="366">
        <f>SUM(AQ18:AQ19)</f>
        <v>1361266.62674</v>
      </c>
    </row>
    <row r="21" spans="1:44">
      <c r="A21" s="368"/>
      <c r="G21" s="369"/>
      <c r="AN21" s="367"/>
      <c r="AO21" s="367"/>
      <c r="AP21" s="367"/>
    </row>
    <row r="22" spans="1:44">
      <c r="A22" s="368"/>
      <c r="G22" s="369"/>
      <c r="AN22" s="367"/>
      <c r="AO22" s="367"/>
      <c r="AP22" s="367"/>
    </row>
    <row r="23" spans="1:44">
      <c r="A23" s="368"/>
      <c r="G23" s="369"/>
      <c r="AN23" s="367"/>
      <c r="AO23" s="367"/>
      <c r="AP23" s="367"/>
    </row>
    <row r="24" spans="1:44">
      <c r="A24" s="368"/>
      <c r="G24" s="369"/>
      <c r="AN24" s="367"/>
      <c r="AO24" s="367"/>
      <c r="AP24" s="367"/>
    </row>
    <row r="25" spans="1:44">
      <c r="A25" s="368"/>
      <c r="G25" s="369"/>
      <c r="AN25" s="367"/>
      <c r="AO25" s="367"/>
      <c r="AP25" s="367"/>
    </row>
    <row r="26" spans="1:44">
      <c r="A26" s="368"/>
      <c r="G26" s="369"/>
      <c r="AN26" s="367"/>
      <c r="AO26" s="367"/>
      <c r="AP26" s="367"/>
    </row>
    <row r="27" spans="1:44">
      <c r="A27" s="368"/>
      <c r="G27" s="369"/>
      <c r="AN27" s="367"/>
      <c r="AO27" s="367"/>
      <c r="AP27" s="367"/>
    </row>
    <row r="28" spans="1:44">
      <c r="A28" s="368"/>
      <c r="G28" s="369"/>
      <c r="AN28" s="367"/>
      <c r="AO28" s="367"/>
      <c r="AP28" s="367"/>
    </row>
    <row r="29" spans="1:44">
      <c r="A29" s="368"/>
      <c r="G29" s="369"/>
      <c r="AN29" s="367"/>
      <c r="AO29" s="367"/>
      <c r="AP29" s="367"/>
    </row>
    <row r="30" spans="1:44">
      <c r="A30" s="368"/>
      <c r="G30" s="369"/>
      <c r="AN30" s="367"/>
      <c r="AO30" s="367"/>
      <c r="AP30" s="367"/>
    </row>
    <row r="31" spans="1:44">
      <c r="A31" s="368"/>
      <c r="G31" s="369"/>
      <c r="AN31" s="367"/>
      <c r="AO31" s="367"/>
      <c r="AP31" s="367"/>
    </row>
    <row r="32" spans="1:44">
      <c r="A32" s="368"/>
      <c r="G32" s="369"/>
      <c r="AN32" s="367"/>
      <c r="AO32" s="367"/>
      <c r="AP32" s="367"/>
    </row>
    <row r="33" spans="1:42">
      <c r="A33" s="368"/>
      <c r="G33" s="369"/>
      <c r="AN33" s="367"/>
      <c r="AO33" s="367"/>
      <c r="AP33" s="367"/>
    </row>
    <row r="34" spans="1:42">
      <c r="A34" s="368"/>
      <c r="G34" s="369"/>
      <c r="AN34" s="367"/>
      <c r="AO34" s="367"/>
      <c r="AP34" s="367"/>
    </row>
    <row r="35" spans="1:42">
      <c r="A35" s="368"/>
      <c r="G35" s="369"/>
      <c r="AN35" s="367"/>
      <c r="AO35" s="367"/>
      <c r="AP35" s="367"/>
    </row>
    <row r="36" spans="1:42">
      <c r="A36" s="368"/>
      <c r="G36" s="369"/>
      <c r="AN36" s="367"/>
      <c r="AO36" s="367"/>
      <c r="AP36" s="367"/>
    </row>
    <row r="37" spans="1:42">
      <c r="A37" s="368"/>
      <c r="G37" s="369"/>
      <c r="AN37" s="367"/>
      <c r="AO37" s="367"/>
      <c r="AP37" s="367"/>
    </row>
    <row r="38" spans="1:42">
      <c r="A38" s="368"/>
      <c r="G38" s="369"/>
      <c r="AN38" s="367"/>
      <c r="AO38" s="367"/>
      <c r="AP38" s="367"/>
    </row>
    <row r="39" spans="1:42">
      <c r="A39" s="368"/>
      <c r="G39" s="369"/>
      <c r="AN39" s="367"/>
      <c r="AO39" s="367"/>
      <c r="AP39" s="367"/>
    </row>
    <row r="40" spans="1:42">
      <c r="A40" s="368"/>
      <c r="G40" s="369"/>
      <c r="AN40" s="367"/>
      <c r="AO40" s="367"/>
      <c r="AP40" s="367"/>
    </row>
    <row r="41" spans="1:42">
      <c r="A41" s="368"/>
      <c r="G41" s="369"/>
      <c r="AN41" s="367"/>
      <c r="AO41" s="367"/>
      <c r="AP41" s="367"/>
    </row>
    <row r="42" spans="1:42">
      <c r="A42" s="368"/>
      <c r="G42" s="369"/>
      <c r="AN42" s="367"/>
      <c r="AO42" s="367"/>
      <c r="AP42" s="367"/>
    </row>
    <row r="43" spans="1:42">
      <c r="A43" s="368"/>
      <c r="G43" s="369"/>
      <c r="AN43" s="367"/>
    </row>
    <row r="44" spans="1:42">
      <c r="A44" s="368"/>
      <c r="G44" s="369"/>
      <c r="AN44" s="367"/>
    </row>
    <row r="45" spans="1:42">
      <c r="A45" s="368"/>
      <c r="G45" s="369"/>
      <c r="AN45" s="367"/>
    </row>
    <row r="46" spans="1:42">
      <c r="A46" s="368"/>
      <c r="G46" s="369"/>
      <c r="AN46" s="367"/>
    </row>
    <row r="47" spans="1:42">
      <c r="A47" s="368"/>
      <c r="G47" s="369"/>
      <c r="AN47" s="367"/>
    </row>
    <row r="48" spans="1:42">
      <c r="A48" s="368"/>
      <c r="G48" s="369"/>
      <c r="AN48" s="367"/>
    </row>
    <row r="49" spans="1:40">
      <c r="A49" s="368"/>
      <c r="G49" s="369"/>
      <c r="AN49" s="367"/>
    </row>
    <row r="50" spans="1:40">
      <c r="A50" s="368"/>
      <c r="G50" s="369"/>
      <c r="AN50" s="367"/>
    </row>
    <row r="51" spans="1:40">
      <c r="A51" s="368"/>
      <c r="G51" s="369"/>
      <c r="AN51" s="367"/>
    </row>
    <row r="52" spans="1:40">
      <c r="A52" s="368"/>
      <c r="G52" s="369"/>
      <c r="AN52" s="367"/>
    </row>
    <row r="53" spans="1:40">
      <c r="A53" s="368"/>
      <c r="G53" s="369"/>
      <c r="AN53" s="367"/>
    </row>
    <row r="54" spans="1:40">
      <c r="A54" s="368"/>
      <c r="G54" s="369"/>
      <c r="AN54" s="367"/>
    </row>
    <row r="55" spans="1:40">
      <c r="A55" s="368"/>
      <c r="G55" s="369"/>
      <c r="AN55" s="367"/>
    </row>
    <row r="56" spans="1:40">
      <c r="A56" s="368"/>
      <c r="G56" s="369"/>
      <c r="AN56" s="367"/>
    </row>
    <row r="57" spans="1:40">
      <c r="A57" s="368"/>
      <c r="G57" s="369"/>
      <c r="AN57" s="367"/>
    </row>
    <row r="58" spans="1:40">
      <c r="A58" s="368"/>
      <c r="G58" s="369"/>
      <c r="AN58" s="367"/>
    </row>
    <row r="59" spans="1:40">
      <c r="A59" s="368"/>
      <c r="G59" s="369"/>
      <c r="AN59" s="367"/>
    </row>
    <row r="60" spans="1:40">
      <c r="A60" s="368"/>
      <c r="G60" s="369"/>
      <c r="AN60" s="367"/>
    </row>
    <row r="61" spans="1:40">
      <c r="A61" s="368"/>
      <c r="G61" s="369"/>
      <c r="AN61" s="367"/>
    </row>
    <row r="62" spans="1:40">
      <c r="A62" s="368"/>
      <c r="G62" s="369"/>
      <c r="AN62" s="367"/>
    </row>
    <row r="63" spans="1:40">
      <c r="A63" s="368"/>
      <c r="G63" s="369"/>
      <c r="AN63" s="367"/>
    </row>
    <row r="64" spans="1:40">
      <c r="A64" s="368"/>
      <c r="G64" s="369"/>
      <c r="AN64" s="367"/>
    </row>
    <row r="65" spans="1:40">
      <c r="A65" s="368"/>
      <c r="G65" s="369"/>
      <c r="AN65" s="367"/>
    </row>
    <row r="66" spans="1:40">
      <c r="A66" s="368"/>
      <c r="G66" s="369"/>
      <c r="AN66" s="367"/>
    </row>
    <row r="67" spans="1:40">
      <c r="A67" s="368"/>
      <c r="G67" s="369"/>
      <c r="AN67" s="367"/>
    </row>
    <row r="68" spans="1:40">
      <c r="A68" s="368"/>
      <c r="G68" s="369"/>
      <c r="AN68" s="367"/>
    </row>
    <row r="69" spans="1:40">
      <c r="A69" s="368"/>
      <c r="G69" s="369"/>
      <c r="AN69" s="367"/>
    </row>
    <row r="70" spans="1:40">
      <c r="A70" s="368"/>
      <c r="G70" s="369"/>
      <c r="AN70" s="367"/>
    </row>
    <row r="71" spans="1:40">
      <c r="A71" s="368"/>
      <c r="G71" s="369"/>
      <c r="AN71" s="367"/>
    </row>
    <row r="72" spans="1:40">
      <c r="A72" s="368"/>
      <c r="G72" s="369"/>
      <c r="AN72" s="367"/>
    </row>
    <row r="73" spans="1:40">
      <c r="A73" s="368"/>
      <c r="G73" s="369"/>
      <c r="AN73" s="367"/>
    </row>
    <row r="74" spans="1:40">
      <c r="A74" s="368"/>
      <c r="G74" s="369"/>
      <c r="AN74" s="367"/>
    </row>
    <row r="75" spans="1:40">
      <c r="A75" s="368"/>
      <c r="G75" s="369"/>
      <c r="AN75" s="367"/>
    </row>
    <row r="76" spans="1:40">
      <c r="A76" s="368"/>
      <c r="G76" s="369"/>
      <c r="AN76" s="367"/>
    </row>
    <row r="77" spans="1:40">
      <c r="A77" s="368"/>
      <c r="G77" s="369"/>
      <c r="AN77" s="367"/>
    </row>
    <row r="78" spans="1:40">
      <c r="A78" s="368"/>
      <c r="G78" s="369"/>
      <c r="AN78" s="367"/>
    </row>
    <row r="79" spans="1:40">
      <c r="A79" s="368"/>
      <c r="G79" s="369"/>
      <c r="AN79" s="367"/>
    </row>
    <row r="80" spans="1:40">
      <c r="A80" s="368"/>
      <c r="G80" s="369"/>
      <c r="AN80" s="367"/>
    </row>
    <row r="81" spans="1:40">
      <c r="A81" s="368"/>
      <c r="G81" s="369"/>
      <c r="AN81" s="367"/>
    </row>
    <row r="82" spans="1:40">
      <c r="A82" s="368"/>
      <c r="G82" s="369"/>
      <c r="AN82" s="367"/>
    </row>
    <row r="83" spans="1:40">
      <c r="A83" s="368"/>
      <c r="G83" s="369"/>
      <c r="AN83" s="367"/>
    </row>
    <row r="84" spans="1:40">
      <c r="A84" s="368"/>
      <c r="G84" s="369"/>
      <c r="AN84" s="367"/>
    </row>
    <row r="85" spans="1:40">
      <c r="A85" s="368"/>
      <c r="G85" s="369"/>
      <c r="AN85" s="367"/>
    </row>
    <row r="86" spans="1:40">
      <c r="A86" s="368"/>
      <c r="G86" s="369"/>
      <c r="AN86" s="367"/>
    </row>
    <row r="87" spans="1:40">
      <c r="A87" s="368"/>
      <c r="G87" s="369"/>
      <c r="AN87" s="367"/>
    </row>
    <row r="88" spans="1:40">
      <c r="A88" s="368"/>
      <c r="G88" s="369"/>
      <c r="AN88" s="367"/>
    </row>
    <row r="89" spans="1:40">
      <c r="A89" s="368"/>
      <c r="G89" s="369"/>
      <c r="AN89" s="367"/>
    </row>
    <row r="90" spans="1:40">
      <c r="A90" s="368"/>
      <c r="G90" s="369"/>
      <c r="AN90" s="367"/>
    </row>
    <row r="91" spans="1:40">
      <c r="A91" s="368"/>
      <c r="G91" s="369"/>
      <c r="AN91" s="367"/>
    </row>
    <row r="92" spans="1:40">
      <c r="A92" s="368"/>
      <c r="G92" s="369"/>
      <c r="AN92" s="367"/>
    </row>
    <row r="93" spans="1:40">
      <c r="A93" s="368"/>
      <c r="G93" s="369"/>
      <c r="AN93" s="367"/>
    </row>
    <row r="94" spans="1:40">
      <c r="A94" s="368"/>
      <c r="G94" s="369"/>
      <c r="AN94" s="367"/>
    </row>
    <row r="95" spans="1:40">
      <c r="A95" s="368"/>
      <c r="G95" s="369"/>
      <c r="AN95" s="367"/>
    </row>
    <row r="96" spans="1:40">
      <c r="A96" s="368"/>
      <c r="G96" s="369"/>
      <c r="AN96" s="367"/>
    </row>
    <row r="97" spans="1:40">
      <c r="A97" s="368"/>
      <c r="G97" s="369"/>
      <c r="AN97" s="367"/>
    </row>
    <row r="98" spans="1:40">
      <c r="A98" s="368"/>
      <c r="G98" s="369"/>
      <c r="AN98" s="367"/>
    </row>
    <row r="99" spans="1:40">
      <c r="A99" s="368"/>
      <c r="G99" s="369"/>
      <c r="AN99" s="367"/>
    </row>
    <row r="100" spans="1:40">
      <c r="A100" s="368"/>
      <c r="G100" s="369"/>
      <c r="AN100" s="367"/>
    </row>
    <row r="101" spans="1:40">
      <c r="A101" s="368"/>
      <c r="G101" s="369"/>
      <c r="AN101" s="367"/>
    </row>
    <row r="102" spans="1:40">
      <c r="A102" s="368"/>
      <c r="G102" s="369"/>
      <c r="AN102" s="367"/>
    </row>
    <row r="103" spans="1:40">
      <c r="A103" s="368"/>
      <c r="G103" s="369"/>
      <c r="AN103" s="367"/>
    </row>
    <row r="104" spans="1:40">
      <c r="A104" s="368"/>
      <c r="G104" s="369"/>
      <c r="AN104" s="367"/>
    </row>
    <row r="105" spans="1:40">
      <c r="A105" s="368"/>
      <c r="G105" s="369"/>
      <c r="AN105" s="367"/>
    </row>
    <row r="106" spans="1:40">
      <c r="A106" s="368"/>
      <c r="G106" s="369"/>
      <c r="AN106" s="367"/>
    </row>
    <row r="107" spans="1:40">
      <c r="A107" s="368"/>
      <c r="G107" s="369"/>
      <c r="AN107" s="367"/>
    </row>
    <row r="108" spans="1:40">
      <c r="A108" s="368"/>
      <c r="G108" s="369"/>
      <c r="AN108" s="367"/>
    </row>
    <row r="109" spans="1:40">
      <c r="A109" s="368"/>
      <c r="G109" s="369"/>
      <c r="AN109" s="367"/>
    </row>
    <row r="110" spans="1:40">
      <c r="A110" s="368"/>
      <c r="G110" s="369"/>
      <c r="AN110" s="367"/>
    </row>
    <row r="111" spans="1:40">
      <c r="A111" s="368"/>
      <c r="G111" s="369"/>
      <c r="AN111" s="367"/>
    </row>
    <row r="112" spans="1:40">
      <c r="A112" s="368"/>
      <c r="G112" s="369"/>
      <c r="AN112" s="367"/>
    </row>
    <row r="113" spans="1:40">
      <c r="A113" s="368"/>
      <c r="G113" s="369"/>
      <c r="AN113" s="367"/>
    </row>
    <row r="114" spans="1:40">
      <c r="A114" s="368"/>
      <c r="G114" s="369"/>
      <c r="AN114" s="367"/>
    </row>
    <row r="115" spans="1:40">
      <c r="A115" s="368"/>
      <c r="G115" s="369"/>
      <c r="AN115" s="367"/>
    </row>
    <row r="116" spans="1:40">
      <c r="A116" s="368"/>
      <c r="G116" s="369"/>
      <c r="AN116" s="367"/>
    </row>
    <row r="117" spans="1:40">
      <c r="A117" s="368"/>
      <c r="G117" s="369"/>
      <c r="AN117" s="367"/>
    </row>
    <row r="118" spans="1:40">
      <c r="A118" s="368"/>
      <c r="G118" s="369"/>
      <c r="AN118" s="367"/>
    </row>
    <row r="119" spans="1:40">
      <c r="A119" s="368"/>
      <c r="G119" s="369"/>
      <c r="AN119" s="367"/>
    </row>
    <row r="120" spans="1:40">
      <c r="A120" s="368"/>
      <c r="G120" s="369"/>
      <c r="AN120" s="367"/>
    </row>
    <row r="121" spans="1:40">
      <c r="A121" s="368"/>
      <c r="G121" s="369"/>
      <c r="AN121" s="367"/>
    </row>
    <row r="122" spans="1:40">
      <c r="A122" s="368"/>
      <c r="G122" s="369"/>
      <c r="AN122" s="367"/>
    </row>
    <row r="123" spans="1:40">
      <c r="A123" s="368"/>
      <c r="G123" s="369"/>
      <c r="AN123" s="367"/>
    </row>
    <row r="124" spans="1:40">
      <c r="A124" s="368"/>
      <c r="G124" s="369"/>
      <c r="AN124" s="367"/>
    </row>
    <row r="125" spans="1:40">
      <c r="A125" s="368"/>
      <c r="G125" s="369"/>
      <c r="AN125" s="367"/>
    </row>
    <row r="126" spans="1:40">
      <c r="A126" s="368"/>
      <c r="G126" s="369"/>
      <c r="AN126" s="367"/>
    </row>
    <row r="127" spans="1:40">
      <c r="A127" s="368"/>
      <c r="G127" s="369"/>
      <c r="AN127" s="367"/>
    </row>
    <row r="128" spans="1:40">
      <c r="A128" s="368"/>
      <c r="G128" s="369"/>
      <c r="AN128" s="367"/>
    </row>
    <row r="129" spans="1:40">
      <c r="A129" s="368"/>
      <c r="G129" s="369"/>
      <c r="AN129" s="367"/>
    </row>
    <row r="130" spans="1:40">
      <c r="A130" s="368"/>
      <c r="G130" s="369"/>
      <c r="AN130" s="367"/>
    </row>
    <row r="131" spans="1:40">
      <c r="A131" s="368"/>
      <c r="G131" s="369"/>
      <c r="AN131" s="367"/>
    </row>
    <row r="132" spans="1:40">
      <c r="A132" s="368"/>
      <c r="G132" s="369"/>
      <c r="AN132" s="367"/>
    </row>
    <row r="133" spans="1:40">
      <c r="A133" s="368"/>
      <c r="G133" s="369"/>
      <c r="AN133" s="367"/>
    </row>
    <row r="134" spans="1:40">
      <c r="A134" s="368"/>
      <c r="G134" s="369"/>
      <c r="AN134" s="367"/>
    </row>
    <row r="135" spans="1:40">
      <c r="A135" s="368"/>
      <c r="G135" s="369"/>
      <c r="AN135" s="367"/>
    </row>
    <row r="136" spans="1:40">
      <c r="A136" s="368"/>
      <c r="G136" s="369"/>
      <c r="AN136" s="367"/>
    </row>
    <row r="137" spans="1:40">
      <c r="A137" s="368"/>
      <c r="G137" s="369"/>
      <c r="AN137" s="367"/>
    </row>
    <row r="138" spans="1:40">
      <c r="A138" s="368"/>
      <c r="G138" s="369"/>
      <c r="AN138" s="367"/>
    </row>
    <row r="139" spans="1:40">
      <c r="A139" s="368"/>
      <c r="G139" s="369"/>
      <c r="AN139" s="367"/>
    </row>
    <row r="140" spans="1:40">
      <c r="A140" s="368"/>
      <c r="G140" s="369"/>
      <c r="AN140" s="367"/>
    </row>
    <row r="141" spans="1:40">
      <c r="A141" s="368"/>
      <c r="G141" s="369"/>
      <c r="AN141" s="367"/>
    </row>
    <row r="142" spans="1:40">
      <c r="A142" s="368"/>
      <c r="G142" s="369"/>
      <c r="AN142" s="367"/>
    </row>
    <row r="143" spans="1:40">
      <c r="A143" s="368"/>
      <c r="G143" s="369"/>
      <c r="AN143" s="367"/>
    </row>
    <row r="144" spans="1:40">
      <c r="A144" s="368"/>
      <c r="G144" s="369"/>
      <c r="AN144" s="367"/>
    </row>
    <row r="145" spans="1:40">
      <c r="A145" s="368"/>
      <c r="G145" s="369"/>
      <c r="AN145" s="367"/>
    </row>
    <row r="146" spans="1:40">
      <c r="A146" s="368"/>
      <c r="G146" s="369"/>
      <c r="AN146" s="367"/>
    </row>
    <row r="147" spans="1:40">
      <c r="A147" s="368"/>
      <c r="G147" s="369"/>
      <c r="AN147" s="367"/>
    </row>
    <row r="148" spans="1:40">
      <c r="A148" s="368"/>
      <c r="G148" s="369"/>
      <c r="AN148" s="367"/>
    </row>
    <row r="149" spans="1:40">
      <c r="A149" s="368"/>
      <c r="G149" s="369"/>
      <c r="AN149" s="367"/>
    </row>
    <row r="150" spans="1:40">
      <c r="A150" s="368"/>
      <c r="G150" s="369"/>
      <c r="AN150" s="367"/>
    </row>
    <row r="151" spans="1:40">
      <c r="A151" s="368"/>
      <c r="G151" s="369"/>
      <c r="AN151" s="367"/>
    </row>
    <row r="152" spans="1:40">
      <c r="A152" s="368"/>
      <c r="G152" s="369"/>
      <c r="AN152" s="367"/>
    </row>
    <row r="153" spans="1:40">
      <c r="A153" s="368"/>
      <c r="G153" s="369"/>
      <c r="AN153" s="367"/>
    </row>
    <row r="154" spans="1:40">
      <c r="A154" s="368"/>
      <c r="G154" s="369"/>
      <c r="AN154" s="367"/>
    </row>
    <row r="155" spans="1:40">
      <c r="A155" s="368"/>
      <c r="G155" s="369"/>
      <c r="AN155" s="367"/>
    </row>
    <row r="156" spans="1:40">
      <c r="A156" s="368"/>
      <c r="G156" s="369"/>
      <c r="AN156" s="367"/>
    </row>
    <row r="157" spans="1:40">
      <c r="A157" s="368"/>
      <c r="G157" s="369"/>
      <c r="AN157" s="367"/>
    </row>
    <row r="158" spans="1:40">
      <c r="A158" s="368"/>
      <c r="G158" s="369"/>
      <c r="AN158" s="367"/>
    </row>
    <row r="159" spans="1:40">
      <c r="A159" s="368"/>
      <c r="G159" s="369"/>
      <c r="AN159" s="367"/>
    </row>
    <row r="160" spans="1:40">
      <c r="A160" s="368"/>
      <c r="G160" s="369"/>
      <c r="AN160" s="367"/>
    </row>
    <row r="161" spans="1:42">
      <c r="A161" s="368"/>
      <c r="G161" s="369"/>
      <c r="AN161" s="367"/>
    </row>
    <row r="162" spans="1:42">
      <c r="A162" s="368"/>
      <c r="G162" s="369"/>
      <c r="AN162" s="367"/>
    </row>
    <row r="163" spans="1:42">
      <c r="A163" s="368"/>
      <c r="G163" s="369"/>
      <c r="AN163" s="367"/>
    </row>
    <row r="164" spans="1:42">
      <c r="A164" s="368"/>
      <c r="G164" s="369"/>
      <c r="AN164" s="367"/>
    </row>
    <row r="165" spans="1:42">
      <c r="A165" s="368"/>
      <c r="G165" s="369"/>
      <c r="AN165" s="367"/>
    </row>
    <row r="166" spans="1:42">
      <c r="A166" s="368"/>
      <c r="G166" s="369"/>
      <c r="AN166" s="367"/>
    </row>
    <row r="167" spans="1:42">
      <c r="A167" s="368"/>
      <c r="G167" s="369"/>
      <c r="AN167" s="367"/>
    </row>
    <row r="168" spans="1:42">
      <c r="A168" s="368"/>
      <c r="G168" s="369"/>
      <c r="AN168" s="367"/>
    </row>
    <row r="169" spans="1:42">
      <c r="A169" s="368"/>
      <c r="G169" s="369"/>
      <c r="AN169" s="367"/>
    </row>
    <row r="170" spans="1:42">
      <c r="A170" s="368"/>
      <c r="G170" s="369"/>
      <c r="AN170" s="367"/>
    </row>
    <row r="171" spans="1:42">
      <c r="A171" s="368"/>
      <c r="G171" s="369"/>
      <c r="AN171" s="367"/>
    </row>
    <row r="172" spans="1:42">
      <c r="A172" s="368"/>
      <c r="G172" s="369"/>
      <c r="AN172" s="367"/>
    </row>
    <row r="173" spans="1:42">
      <c r="A173" s="368"/>
      <c r="G173" s="369"/>
      <c r="AN173" s="367"/>
    </row>
    <row r="174" spans="1:42">
      <c r="A174" s="368"/>
      <c r="G174" s="369"/>
      <c r="AN174" s="367"/>
      <c r="AO174" s="367"/>
      <c r="AP174" s="367"/>
    </row>
    <row r="175" spans="1:42">
      <c r="A175" s="368"/>
      <c r="G175" s="369"/>
      <c r="AN175" s="367"/>
      <c r="AO175" s="367"/>
      <c r="AP175" s="367"/>
    </row>
    <row r="176" spans="1:42">
      <c r="A176" s="368"/>
      <c r="G176" s="369"/>
      <c r="AN176" s="367"/>
      <c r="AO176" s="367"/>
      <c r="AP176" s="367"/>
    </row>
    <row r="177" spans="1:42">
      <c r="A177" s="368"/>
      <c r="G177" s="369"/>
      <c r="AN177" s="367"/>
      <c r="AO177" s="367"/>
      <c r="AP177" s="367"/>
    </row>
    <row r="178" spans="1:42">
      <c r="A178" s="368"/>
      <c r="G178" s="369"/>
      <c r="AN178" s="367"/>
      <c r="AO178" s="367"/>
      <c r="AP178" s="367"/>
    </row>
    <row r="179" spans="1:42">
      <c r="A179" s="368"/>
      <c r="G179" s="369"/>
      <c r="AN179" s="367"/>
      <c r="AO179" s="367"/>
      <c r="AP179" s="367"/>
    </row>
    <row r="180" spans="1:42">
      <c r="A180" s="368"/>
      <c r="G180" s="369"/>
      <c r="AN180" s="367"/>
    </row>
    <row r="181" spans="1:42">
      <c r="A181" s="368"/>
      <c r="G181" s="369"/>
      <c r="AN181" s="367"/>
    </row>
    <row r="182" spans="1:42">
      <c r="A182" s="368"/>
      <c r="G182" s="369"/>
      <c r="AN182" s="367"/>
    </row>
    <row r="183" spans="1:42">
      <c r="A183" s="368"/>
      <c r="G183" s="369"/>
      <c r="AN183" s="367"/>
    </row>
    <row r="184" spans="1:42">
      <c r="A184" s="368"/>
      <c r="G184" s="369"/>
      <c r="AN184" s="367"/>
    </row>
    <row r="185" spans="1:42">
      <c r="A185" s="368"/>
      <c r="G185" s="369"/>
      <c r="AN185" s="367"/>
    </row>
    <row r="186" spans="1:42">
      <c r="A186" s="368"/>
      <c r="G186" s="369"/>
      <c r="AN186" s="367"/>
    </row>
    <row r="187" spans="1:42">
      <c r="A187" s="368"/>
      <c r="G187" s="369"/>
      <c r="AN187" s="367"/>
    </row>
    <row r="188" spans="1:42">
      <c r="A188" s="368"/>
      <c r="G188" s="369"/>
      <c r="AN188" s="367"/>
    </row>
    <row r="189" spans="1:42">
      <c r="A189" s="368"/>
      <c r="G189" s="369"/>
      <c r="AN189" s="367"/>
    </row>
    <row r="190" spans="1:42">
      <c r="A190" s="368"/>
      <c r="G190" s="369"/>
      <c r="AN190" s="367"/>
    </row>
    <row r="191" spans="1:42">
      <c r="A191" s="368"/>
      <c r="G191" s="369"/>
      <c r="AN191" s="367"/>
    </row>
    <row r="192" spans="1:42">
      <c r="A192" s="370"/>
      <c r="G192" s="369"/>
      <c r="AN192" s="367"/>
    </row>
    <row r="193" spans="1:42">
      <c r="A193" s="370"/>
      <c r="G193" s="369"/>
      <c r="AN193" s="367"/>
    </row>
    <row r="194" spans="1:42">
      <c r="A194" s="370"/>
      <c r="G194" s="369"/>
      <c r="AN194" s="367"/>
    </row>
    <row r="195" spans="1:42">
      <c r="A195" s="370"/>
      <c r="G195" s="369"/>
      <c r="AN195" s="367"/>
    </row>
    <row r="196" spans="1:42">
      <c r="A196" s="370"/>
      <c r="G196" s="369"/>
      <c r="AN196" s="367"/>
    </row>
    <row r="197" spans="1:42">
      <c r="A197" s="370"/>
      <c r="G197" s="369"/>
      <c r="AN197" s="367"/>
    </row>
    <row r="198" spans="1:42">
      <c r="A198" s="370"/>
      <c r="G198" s="369"/>
      <c r="AN198" s="367"/>
    </row>
    <row r="199" spans="1:42">
      <c r="A199" s="370"/>
      <c r="G199" s="369"/>
      <c r="AN199" s="367"/>
    </row>
    <row r="200" spans="1:42">
      <c r="A200" s="370"/>
      <c r="G200" s="369"/>
      <c r="AN200" s="367"/>
    </row>
    <row r="201" spans="1:42">
      <c r="A201" s="370"/>
      <c r="G201" s="369"/>
      <c r="AN201" s="367"/>
    </row>
    <row r="202" spans="1:42">
      <c r="A202" s="370"/>
      <c r="G202" s="369"/>
      <c r="AN202" s="367"/>
      <c r="AO202" s="367"/>
      <c r="AP202" s="367"/>
    </row>
    <row r="203" spans="1:42">
      <c r="A203" s="370"/>
      <c r="G203" s="369"/>
      <c r="AN203" s="367"/>
      <c r="AO203" s="367"/>
      <c r="AP203" s="367"/>
    </row>
    <row r="204" spans="1:42">
      <c r="A204" s="370"/>
      <c r="G204" s="369"/>
      <c r="AN204" s="367"/>
      <c r="AO204" s="367"/>
      <c r="AP204" s="367"/>
    </row>
    <row r="205" spans="1:42">
      <c r="A205" s="370"/>
      <c r="G205" s="369"/>
      <c r="AN205" s="367"/>
      <c r="AO205" s="367"/>
      <c r="AP205" s="367"/>
    </row>
    <row r="206" spans="1:42">
      <c r="A206" s="370"/>
      <c r="G206" s="369"/>
      <c r="AN206" s="367"/>
      <c r="AO206" s="367"/>
      <c r="AP206" s="367"/>
    </row>
    <row r="207" spans="1:42">
      <c r="A207" s="370"/>
      <c r="G207" s="369"/>
      <c r="AN207" s="367"/>
      <c r="AO207" s="367"/>
      <c r="AP207" s="367"/>
    </row>
    <row r="208" spans="1:42">
      <c r="A208" s="370"/>
      <c r="G208" s="369"/>
      <c r="AN208" s="367"/>
      <c r="AO208" s="367"/>
      <c r="AP208" s="367"/>
    </row>
    <row r="209" spans="1:42">
      <c r="A209" s="370"/>
      <c r="G209" s="369"/>
      <c r="AN209" s="367"/>
      <c r="AO209" s="367"/>
      <c r="AP209" s="367"/>
    </row>
    <row r="210" spans="1:42">
      <c r="A210" s="370"/>
      <c r="G210" s="369"/>
      <c r="AN210" s="367"/>
      <c r="AO210" s="367"/>
      <c r="AP210" s="367"/>
    </row>
    <row r="211" spans="1:42">
      <c r="A211" s="370"/>
      <c r="G211" s="369"/>
      <c r="AN211" s="367"/>
    </row>
    <row r="212" spans="1:42">
      <c r="A212" s="370"/>
      <c r="G212" s="369"/>
      <c r="AN212" s="367"/>
    </row>
    <row r="213" spans="1:42">
      <c r="A213" s="370"/>
      <c r="G213" s="369"/>
      <c r="AN213" s="367"/>
    </row>
    <row r="214" spans="1:42">
      <c r="A214" s="370"/>
      <c r="G214" s="369"/>
      <c r="AN214" s="367"/>
    </row>
    <row r="215" spans="1:42">
      <c r="A215" s="370"/>
      <c r="G215" s="369"/>
      <c r="AN215" s="367"/>
    </row>
  </sheetData>
  <autoFilter ref="A1:AQ215" xr:uid="{4C521CB8-5257-421F-B9DC-E09AB0B96EE6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sortState xmlns:xlrd2="http://schemas.microsoft.com/office/spreadsheetml/2017/richdata2" ref="A4:AQ215">
      <sortCondition ref="B1:B215"/>
    </sortState>
  </autoFilter>
  <mergeCells count="12">
    <mergeCell ref="AQ1:AQ2"/>
    <mergeCell ref="A1:A2"/>
    <mergeCell ref="B1:B2"/>
    <mergeCell ref="C1:C2"/>
    <mergeCell ref="D1:D2"/>
    <mergeCell ref="E1:E2"/>
    <mergeCell ref="G1:G2"/>
    <mergeCell ref="H1:AL1"/>
    <mergeCell ref="AM1:AM2"/>
    <mergeCell ref="AN1:AN2"/>
    <mergeCell ref="AO1:AO2"/>
    <mergeCell ref="AP1:AP2"/>
  </mergeCells>
  <pageMargins left="1.4173228346456692" right="0.23622047244094488" top="0.74803149606299213" bottom="0.74803149606299213" header="0.31496062992125984" footer="0.31496062992125984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00"/>
  </sheetPr>
  <dimension ref="A1:Z1004"/>
  <sheetViews>
    <sheetView topLeftCell="A34" zoomScale="85" zoomScaleNormal="85" workbookViewId="0">
      <selection activeCell="K46" sqref="K46"/>
    </sheetView>
  </sheetViews>
  <sheetFormatPr defaultColWidth="14.453125" defaultRowHeight="15" customHeight="1"/>
  <cols>
    <col min="1" max="1" width="12.453125" customWidth="1"/>
    <col min="2" max="2" width="15" customWidth="1"/>
    <col min="3" max="3" width="12.90625" customWidth="1"/>
    <col min="4" max="4" width="13.08984375" customWidth="1"/>
    <col min="5" max="5" width="12.90625" customWidth="1"/>
    <col min="6" max="6" width="12.36328125" customWidth="1"/>
    <col min="12" max="12" width="19.453125" customWidth="1"/>
    <col min="13" max="13" width="24.453125" customWidth="1"/>
    <col min="14" max="26" width="8.6328125" customWidth="1"/>
  </cols>
  <sheetData>
    <row r="1" spans="1:14" ht="37.5" customHeight="1">
      <c r="A1" s="471" t="s">
        <v>3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1"/>
    </row>
    <row r="2" spans="1:14" ht="30.75" customHeight="1">
      <c r="A2" s="468" t="s">
        <v>4</v>
      </c>
      <c r="B2" s="468" t="s">
        <v>5</v>
      </c>
      <c r="C2" s="2" t="s">
        <v>6</v>
      </c>
      <c r="D2" s="473" t="s">
        <v>7</v>
      </c>
      <c r="E2" s="466"/>
      <c r="F2" s="467"/>
      <c r="G2" s="474" t="s">
        <v>8</v>
      </c>
      <c r="H2" s="3" t="s">
        <v>9</v>
      </c>
      <c r="I2" s="468" t="s">
        <v>10</v>
      </c>
      <c r="J2" s="468" t="s">
        <v>11</v>
      </c>
      <c r="K2" s="468" t="s">
        <v>12</v>
      </c>
      <c r="L2" s="468" t="s">
        <v>13</v>
      </c>
      <c r="M2" s="470" t="s">
        <v>14</v>
      </c>
    </row>
    <row r="3" spans="1:14" ht="27" customHeight="1">
      <c r="A3" s="469"/>
      <c r="B3" s="469"/>
      <c r="C3" s="4" t="s">
        <v>0</v>
      </c>
      <c r="D3" s="4" t="s">
        <v>0</v>
      </c>
      <c r="E3" s="4" t="s">
        <v>1</v>
      </c>
      <c r="F3" s="4" t="s">
        <v>2</v>
      </c>
      <c r="G3" s="469"/>
      <c r="H3" s="5" t="s">
        <v>15</v>
      </c>
      <c r="I3" s="469"/>
      <c r="J3" s="469"/>
      <c r="K3" s="469"/>
      <c r="L3" s="469"/>
      <c r="M3" s="469"/>
    </row>
    <row r="4" spans="1:14" ht="31.5" customHeight="1">
      <c r="A4" s="6" t="s">
        <v>16</v>
      </c>
      <c r="B4" s="7"/>
      <c r="C4" s="8"/>
      <c r="D4" s="8">
        <v>15.875</v>
      </c>
      <c r="E4" s="9">
        <f>2*25.4</f>
        <v>50.8</v>
      </c>
      <c r="F4" s="10">
        <v>390</v>
      </c>
      <c r="G4" s="10">
        <v>1255</v>
      </c>
      <c r="H4" s="11"/>
      <c r="I4" s="12">
        <f t="shared" ref="I4:I39" si="0">D4*E4*F4*G4/1000000000</f>
        <v>0.3947169525</v>
      </c>
      <c r="J4" s="13">
        <f t="shared" ref="J4:J39" si="1">I4*35.315</f>
        <v>13.939429177537498</v>
      </c>
      <c r="K4" s="14">
        <v>15000</v>
      </c>
      <c r="L4" s="15">
        <f t="shared" ref="L4:L39" si="2">I4*K4</f>
        <v>5920.7542874999999</v>
      </c>
      <c r="M4" s="16"/>
      <c r="N4" s="17" t="s">
        <v>17</v>
      </c>
    </row>
    <row r="5" spans="1:14" ht="31.5" customHeight="1" thickBot="1">
      <c r="A5" s="6" t="s">
        <v>16</v>
      </c>
      <c r="B5" s="7"/>
      <c r="C5" s="8"/>
      <c r="D5" s="8">
        <v>15.875</v>
      </c>
      <c r="E5" s="9">
        <f>2.5*25.4</f>
        <v>63.5</v>
      </c>
      <c r="F5" s="10">
        <v>490</v>
      </c>
      <c r="G5" s="10">
        <v>14270</v>
      </c>
      <c r="H5" s="11"/>
      <c r="I5" s="12">
        <f t="shared" si="0"/>
        <v>7.0486754187500003</v>
      </c>
      <c r="J5" s="13">
        <f t="shared" si="1"/>
        <v>248.92397241315624</v>
      </c>
      <c r="K5" s="14">
        <v>15000</v>
      </c>
      <c r="L5" s="15">
        <f t="shared" si="2"/>
        <v>105730.13128125001</v>
      </c>
      <c r="M5" s="16"/>
      <c r="N5" s="17" t="s">
        <v>17</v>
      </c>
    </row>
    <row r="6" spans="1:14" ht="31.5" customHeight="1" thickBot="1">
      <c r="A6" s="6" t="s">
        <v>16</v>
      </c>
      <c r="B6" s="7"/>
      <c r="C6" s="8"/>
      <c r="D6" s="8">
        <v>15.875</v>
      </c>
      <c r="E6" s="9">
        <f>3*25.4</f>
        <v>76.199999999999989</v>
      </c>
      <c r="F6" s="10">
        <v>490</v>
      </c>
      <c r="G6" s="10">
        <v>1280</v>
      </c>
      <c r="H6" s="11"/>
      <c r="I6" s="12">
        <f t="shared" si="0"/>
        <v>0.75870815999999985</v>
      </c>
      <c r="J6" s="13">
        <f t="shared" si="1"/>
        <v>26.793778670399995</v>
      </c>
      <c r="K6" s="14">
        <v>15000</v>
      </c>
      <c r="L6" s="15">
        <f t="shared" si="2"/>
        <v>11380.622399999998</v>
      </c>
      <c r="M6" s="16"/>
      <c r="N6" s="17" t="s">
        <v>17</v>
      </c>
    </row>
    <row r="7" spans="1:14" ht="31.5" customHeight="1">
      <c r="A7" s="6" t="s">
        <v>16</v>
      </c>
      <c r="B7" s="7"/>
      <c r="C7" s="8"/>
      <c r="D7" s="8">
        <v>15.875</v>
      </c>
      <c r="E7" s="9">
        <f>3*25.4</f>
        <v>76.199999999999989</v>
      </c>
      <c r="F7" s="10">
        <v>490</v>
      </c>
      <c r="G7" s="10">
        <v>190</v>
      </c>
      <c r="H7" s="11"/>
      <c r="I7" s="12">
        <f t="shared" si="0"/>
        <v>0.11262074249999998</v>
      </c>
      <c r="J7" s="13">
        <f t="shared" si="1"/>
        <v>3.9772015213874989</v>
      </c>
      <c r="K7" s="14">
        <v>15000</v>
      </c>
      <c r="L7" s="15">
        <f t="shared" si="2"/>
        <v>1689.3111374999996</v>
      </c>
      <c r="M7" s="16"/>
      <c r="N7" s="17" t="s">
        <v>17</v>
      </c>
    </row>
    <row r="8" spans="1:14" ht="31.5" customHeight="1">
      <c r="A8" s="6" t="s">
        <v>16</v>
      </c>
      <c r="B8" s="7"/>
      <c r="C8" s="8"/>
      <c r="D8" s="8">
        <v>15.875</v>
      </c>
      <c r="E8" s="9">
        <f t="shared" ref="E8:E9" si="3">2*25.4</f>
        <v>50.8</v>
      </c>
      <c r="F8" s="10">
        <v>320</v>
      </c>
      <c r="G8" s="10">
        <v>2400</v>
      </c>
      <c r="H8" s="11"/>
      <c r="I8" s="12">
        <f t="shared" si="0"/>
        <v>0.61935359999999984</v>
      </c>
      <c r="J8" s="13">
        <f t="shared" si="1"/>
        <v>21.872472383999995</v>
      </c>
      <c r="K8" s="14">
        <v>15000</v>
      </c>
      <c r="L8" s="15">
        <f t="shared" si="2"/>
        <v>9290.3039999999983</v>
      </c>
      <c r="M8" s="16"/>
      <c r="N8" s="17" t="s">
        <v>17</v>
      </c>
    </row>
    <row r="9" spans="1:14" ht="31.5" customHeight="1">
      <c r="A9" s="6" t="s">
        <v>16</v>
      </c>
      <c r="B9" s="7"/>
      <c r="C9" s="8"/>
      <c r="D9" s="8">
        <v>15.875</v>
      </c>
      <c r="E9" s="9">
        <f t="shared" si="3"/>
        <v>50.8</v>
      </c>
      <c r="F9" s="10">
        <v>320</v>
      </c>
      <c r="G9" s="10">
        <v>800</v>
      </c>
      <c r="H9" s="11"/>
      <c r="I9" s="12">
        <f t="shared" si="0"/>
        <v>0.20645119999999997</v>
      </c>
      <c r="J9" s="13">
        <f t="shared" si="1"/>
        <v>7.2908241279999988</v>
      </c>
      <c r="K9" s="14">
        <v>15000</v>
      </c>
      <c r="L9" s="15">
        <f t="shared" si="2"/>
        <v>3096.7679999999996</v>
      </c>
      <c r="M9" s="16"/>
      <c r="N9" s="17" t="s">
        <v>17</v>
      </c>
    </row>
    <row r="10" spans="1:14" ht="31.5" customHeight="1">
      <c r="A10" s="6" t="s">
        <v>16</v>
      </c>
      <c r="B10" s="7"/>
      <c r="C10" s="8"/>
      <c r="D10" s="8">
        <v>15.875</v>
      </c>
      <c r="E10" s="9">
        <f>3*25.4</f>
        <v>76.199999999999989</v>
      </c>
      <c r="F10" s="10">
        <v>490</v>
      </c>
      <c r="G10" s="10">
        <v>1240</v>
      </c>
      <c r="H10" s="11"/>
      <c r="I10" s="12">
        <f t="shared" si="0"/>
        <v>0.73499852999999993</v>
      </c>
      <c r="J10" s="13">
        <f t="shared" si="1"/>
        <v>25.956473086949995</v>
      </c>
      <c r="K10" s="14">
        <v>15000</v>
      </c>
      <c r="L10" s="15">
        <f t="shared" si="2"/>
        <v>11024.977949999999</v>
      </c>
      <c r="M10" s="16"/>
      <c r="N10" s="17" t="s">
        <v>17</v>
      </c>
    </row>
    <row r="11" spans="1:14" ht="31.5" customHeight="1">
      <c r="A11" s="6" t="s">
        <v>16</v>
      </c>
      <c r="B11" s="7"/>
      <c r="C11" s="8"/>
      <c r="D11" s="8">
        <v>15.875</v>
      </c>
      <c r="E11" s="9">
        <f t="shared" ref="E11:E16" si="4">2.5*25.4</f>
        <v>63.5</v>
      </c>
      <c r="F11" s="10">
        <v>320</v>
      </c>
      <c r="G11" s="10">
        <v>900</v>
      </c>
      <c r="H11" s="11"/>
      <c r="I11" s="12">
        <f t="shared" si="0"/>
        <v>0.29032200000000002</v>
      </c>
      <c r="J11" s="13">
        <f t="shared" si="1"/>
        <v>10.252721429999999</v>
      </c>
      <c r="K11" s="14">
        <v>15000</v>
      </c>
      <c r="L11" s="15">
        <f t="shared" si="2"/>
        <v>4354.83</v>
      </c>
      <c r="M11" s="16"/>
      <c r="N11" s="17" t="s">
        <v>17</v>
      </c>
    </row>
    <row r="12" spans="1:14" ht="31.5" customHeight="1">
      <c r="A12" s="6" t="s">
        <v>16</v>
      </c>
      <c r="B12" s="7"/>
      <c r="C12" s="8"/>
      <c r="D12" s="8">
        <v>15.875</v>
      </c>
      <c r="E12" s="9">
        <f t="shared" si="4"/>
        <v>63.5</v>
      </c>
      <c r="F12" s="10">
        <v>320</v>
      </c>
      <c r="G12" s="10">
        <v>1000</v>
      </c>
      <c r="H12" s="11"/>
      <c r="I12" s="12">
        <f t="shared" si="0"/>
        <v>0.32257999999999998</v>
      </c>
      <c r="J12" s="13">
        <f t="shared" si="1"/>
        <v>11.391912699999999</v>
      </c>
      <c r="K12" s="14">
        <v>15000</v>
      </c>
      <c r="L12" s="15">
        <f t="shared" si="2"/>
        <v>4838.7</v>
      </c>
      <c r="M12" s="16"/>
      <c r="N12" s="17" t="s">
        <v>17</v>
      </c>
    </row>
    <row r="13" spans="1:14" ht="31.5" customHeight="1" thickBot="1">
      <c r="A13" s="6" t="s">
        <v>16</v>
      </c>
      <c r="B13" s="7"/>
      <c r="C13" s="8"/>
      <c r="D13" s="8">
        <v>15.875</v>
      </c>
      <c r="E13" s="9">
        <f>2*25.4</f>
        <v>50.8</v>
      </c>
      <c r="F13" s="10">
        <v>320</v>
      </c>
      <c r="G13" s="10">
        <v>1000</v>
      </c>
      <c r="H13" s="11"/>
      <c r="I13" s="12">
        <f t="shared" si="0"/>
        <v>0.25806399999999996</v>
      </c>
      <c r="J13" s="13">
        <f t="shared" si="1"/>
        <v>9.113530159999998</v>
      </c>
      <c r="K13" s="14">
        <v>15000</v>
      </c>
      <c r="L13" s="15">
        <f t="shared" si="2"/>
        <v>3870.9599999999996</v>
      </c>
      <c r="M13" s="16"/>
      <c r="N13" s="17" t="s">
        <v>17</v>
      </c>
    </row>
    <row r="14" spans="1:14" ht="31.5" customHeight="1" thickBot="1">
      <c r="A14" s="6" t="s">
        <v>16</v>
      </c>
      <c r="B14" s="7"/>
      <c r="C14" s="8"/>
      <c r="D14" s="8">
        <v>15.875</v>
      </c>
      <c r="E14" s="9">
        <f t="shared" si="4"/>
        <v>63.5</v>
      </c>
      <c r="F14" s="10">
        <v>320</v>
      </c>
      <c r="G14" s="10">
        <v>1348</v>
      </c>
      <c r="H14" s="11"/>
      <c r="I14" s="12">
        <f t="shared" si="0"/>
        <v>0.43483783999999998</v>
      </c>
      <c r="J14" s="13">
        <f t="shared" si="1"/>
        <v>15.356298319599999</v>
      </c>
      <c r="K14" s="14">
        <v>15000</v>
      </c>
      <c r="L14" s="15">
        <f t="shared" si="2"/>
        <v>6522.5675999999994</v>
      </c>
      <c r="M14" s="16"/>
      <c r="N14" s="17"/>
    </row>
    <row r="15" spans="1:14" ht="31.5" customHeight="1" thickBot="1">
      <c r="A15" s="6" t="s">
        <v>16</v>
      </c>
      <c r="B15" s="7"/>
      <c r="C15" s="8"/>
      <c r="D15" s="8">
        <v>15.875</v>
      </c>
      <c r="E15" s="9">
        <f t="shared" si="4"/>
        <v>63.5</v>
      </c>
      <c r="F15" s="10">
        <v>320</v>
      </c>
      <c r="G15" s="10">
        <v>2100</v>
      </c>
      <c r="H15" s="11"/>
      <c r="I15" s="12">
        <f t="shared" si="0"/>
        <v>0.67741799999999996</v>
      </c>
      <c r="J15" s="13">
        <f t="shared" si="1"/>
        <v>23.923016669999996</v>
      </c>
      <c r="K15" s="14">
        <v>15000</v>
      </c>
      <c r="L15" s="15">
        <f t="shared" si="2"/>
        <v>10161.269999999999</v>
      </c>
      <c r="M15" s="16"/>
      <c r="N15" s="17"/>
    </row>
    <row r="16" spans="1:14" ht="31.5" customHeight="1" thickBot="1">
      <c r="A16" s="6" t="s">
        <v>16</v>
      </c>
      <c r="B16" s="7"/>
      <c r="C16" s="8"/>
      <c r="D16" s="8">
        <v>15.875</v>
      </c>
      <c r="E16" s="9">
        <f t="shared" si="4"/>
        <v>63.5</v>
      </c>
      <c r="F16" s="10">
        <v>300</v>
      </c>
      <c r="G16" s="10">
        <v>1400</v>
      </c>
      <c r="H16" s="11"/>
      <c r="I16" s="12">
        <f t="shared" si="0"/>
        <v>0.42338625000000002</v>
      </c>
      <c r="J16" s="13">
        <f t="shared" si="1"/>
        <v>14.951885418749999</v>
      </c>
      <c r="K16" s="14">
        <v>15000</v>
      </c>
      <c r="L16" s="15">
        <f t="shared" si="2"/>
        <v>6350.7937500000007</v>
      </c>
      <c r="M16" s="16"/>
      <c r="N16" s="17"/>
    </row>
    <row r="17" spans="1:14" ht="31.5" customHeight="1" thickBot="1">
      <c r="A17" s="6" t="s">
        <v>16</v>
      </c>
      <c r="B17" s="7"/>
      <c r="C17" s="8"/>
      <c r="D17" s="8">
        <v>15.875</v>
      </c>
      <c r="E17" s="9">
        <f t="shared" ref="E17:E23" si="5">2*25.4</f>
        <v>50.8</v>
      </c>
      <c r="F17" s="10">
        <v>300</v>
      </c>
      <c r="G17" s="10">
        <v>2250</v>
      </c>
      <c r="H17" s="11"/>
      <c r="I17" s="12">
        <f t="shared" si="0"/>
        <v>0.54435374999999986</v>
      </c>
      <c r="J17" s="13">
        <f t="shared" si="1"/>
        <v>19.223852681249994</v>
      </c>
      <c r="K17" s="14">
        <v>15000</v>
      </c>
      <c r="L17" s="15">
        <f t="shared" si="2"/>
        <v>8165.3062499999978</v>
      </c>
      <c r="M17" s="16"/>
      <c r="N17" s="17"/>
    </row>
    <row r="18" spans="1:14" ht="31.5" customHeight="1" thickBot="1">
      <c r="A18" s="6" t="s">
        <v>16</v>
      </c>
      <c r="B18" s="7"/>
      <c r="C18" s="8"/>
      <c r="D18" s="8">
        <v>15.875</v>
      </c>
      <c r="E18" s="9">
        <f t="shared" si="5"/>
        <v>50.8</v>
      </c>
      <c r="F18" s="10">
        <v>300</v>
      </c>
      <c r="G18" s="10">
        <v>1600</v>
      </c>
      <c r="H18" s="11"/>
      <c r="I18" s="12">
        <f t="shared" si="0"/>
        <v>0.38709599999999994</v>
      </c>
      <c r="J18" s="13">
        <f t="shared" si="1"/>
        <v>13.670295239999996</v>
      </c>
      <c r="K18" s="14">
        <v>15000</v>
      </c>
      <c r="L18" s="15">
        <f t="shared" si="2"/>
        <v>5806.4399999999987</v>
      </c>
      <c r="M18" s="16"/>
      <c r="N18" s="17"/>
    </row>
    <row r="19" spans="1:14" ht="31.5" customHeight="1" thickBot="1">
      <c r="A19" s="6" t="s">
        <v>16</v>
      </c>
      <c r="B19" s="7"/>
      <c r="C19" s="8"/>
      <c r="D19" s="8">
        <v>15.875</v>
      </c>
      <c r="E19" s="9">
        <f t="shared" ref="E19" si="6">2.5*25.4</f>
        <v>63.5</v>
      </c>
      <c r="F19" s="10">
        <v>300</v>
      </c>
      <c r="G19" s="10">
        <v>1400</v>
      </c>
      <c r="H19" s="11"/>
      <c r="I19" s="12">
        <f t="shared" si="0"/>
        <v>0.42338625000000002</v>
      </c>
      <c r="J19" s="13">
        <f t="shared" si="1"/>
        <v>14.951885418749999</v>
      </c>
      <c r="K19" s="14">
        <v>15000</v>
      </c>
      <c r="L19" s="15">
        <f t="shared" si="2"/>
        <v>6350.7937500000007</v>
      </c>
      <c r="M19" s="16"/>
      <c r="N19" s="17"/>
    </row>
    <row r="20" spans="1:14" ht="31.5" customHeight="1" thickBot="1">
      <c r="A20" s="6" t="s">
        <v>16</v>
      </c>
      <c r="B20" s="7"/>
      <c r="C20" s="8"/>
      <c r="D20" s="8">
        <v>15.875</v>
      </c>
      <c r="E20" s="9">
        <f t="shared" si="5"/>
        <v>50.8</v>
      </c>
      <c r="F20" s="10">
        <v>300</v>
      </c>
      <c r="G20" s="10">
        <v>2450</v>
      </c>
      <c r="H20" s="11"/>
      <c r="I20" s="12">
        <f t="shared" si="0"/>
        <v>0.59274074999999993</v>
      </c>
      <c r="J20" s="13">
        <f t="shared" si="1"/>
        <v>20.932639586249994</v>
      </c>
      <c r="K20" s="14">
        <v>15000</v>
      </c>
      <c r="L20" s="15">
        <f t="shared" si="2"/>
        <v>8891.1112499999981</v>
      </c>
      <c r="M20" s="16"/>
      <c r="N20" s="17"/>
    </row>
    <row r="21" spans="1:14" ht="31.5" customHeight="1" thickBot="1">
      <c r="A21" s="6" t="s">
        <v>16</v>
      </c>
      <c r="B21" s="7"/>
      <c r="C21" s="8"/>
      <c r="D21" s="8">
        <v>15.875</v>
      </c>
      <c r="E21" s="9">
        <f t="shared" si="5"/>
        <v>50.8</v>
      </c>
      <c r="F21" s="10">
        <v>300</v>
      </c>
      <c r="G21" s="10">
        <v>2250</v>
      </c>
      <c r="H21" s="11"/>
      <c r="I21" s="12">
        <f t="shared" si="0"/>
        <v>0.54435374999999986</v>
      </c>
      <c r="J21" s="13">
        <f t="shared" si="1"/>
        <v>19.223852681249994</v>
      </c>
      <c r="K21" s="14">
        <v>15000</v>
      </c>
      <c r="L21" s="15">
        <f t="shared" si="2"/>
        <v>8165.3062499999978</v>
      </c>
      <c r="M21" s="16"/>
      <c r="N21" s="17"/>
    </row>
    <row r="22" spans="1:14" ht="31.5" customHeight="1" thickBot="1">
      <c r="A22" s="6" t="s">
        <v>16</v>
      </c>
      <c r="B22" s="7"/>
      <c r="C22" s="8"/>
      <c r="D22" s="8">
        <v>15.875</v>
      </c>
      <c r="E22" s="9">
        <f t="shared" ref="E22" si="7">2.5*25.4</f>
        <v>63.5</v>
      </c>
      <c r="F22" s="10">
        <v>300</v>
      </c>
      <c r="G22" s="10">
        <v>640</v>
      </c>
      <c r="H22" s="11"/>
      <c r="I22" s="12">
        <f t="shared" si="0"/>
        <v>0.193548</v>
      </c>
      <c r="J22" s="13">
        <f t="shared" si="1"/>
        <v>6.8351476199999999</v>
      </c>
      <c r="K22" s="14">
        <v>15000</v>
      </c>
      <c r="L22" s="15">
        <f t="shared" si="2"/>
        <v>2903.22</v>
      </c>
      <c r="M22" s="16"/>
      <c r="N22" s="17"/>
    </row>
    <row r="23" spans="1:14" ht="31.5" customHeight="1" thickBot="1">
      <c r="A23" s="6" t="s">
        <v>16</v>
      </c>
      <c r="B23" s="7"/>
      <c r="C23" s="8"/>
      <c r="D23" s="8">
        <v>15.875</v>
      </c>
      <c r="E23" s="9">
        <f t="shared" si="5"/>
        <v>50.8</v>
      </c>
      <c r="F23" s="10">
        <v>300</v>
      </c>
      <c r="G23" s="10">
        <v>2400</v>
      </c>
      <c r="H23" s="11"/>
      <c r="I23" s="12">
        <f t="shared" si="0"/>
        <v>0.58064399999999983</v>
      </c>
      <c r="J23" s="13">
        <f t="shared" si="1"/>
        <v>20.505442859999992</v>
      </c>
      <c r="K23" s="14">
        <v>15000</v>
      </c>
      <c r="L23" s="15">
        <f t="shared" si="2"/>
        <v>8709.659999999998</v>
      </c>
      <c r="M23" s="16"/>
      <c r="N23" s="17"/>
    </row>
    <row r="24" spans="1:14" ht="31.5" customHeight="1" thickBot="1">
      <c r="A24" s="6" t="s">
        <v>16</v>
      </c>
      <c r="B24" s="7"/>
      <c r="C24" s="8"/>
      <c r="D24" s="8">
        <v>15.875</v>
      </c>
      <c r="E24" s="9">
        <f t="shared" ref="E24:E26" si="8">2.5*25.4</f>
        <v>63.5</v>
      </c>
      <c r="F24" s="10">
        <v>300</v>
      </c>
      <c r="G24" s="10">
        <v>1900</v>
      </c>
      <c r="H24" s="11"/>
      <c r="I24" s="12">
        <f t="shared" si="0"/>
        <v>0.57459562500000005</v>
      </c>
      <c r="J24" s="13">
        <f t="shared" si="1"/>
        <v>20.291844496875001</v>
      </c>
      <c r="K24" s="14">
        <v>15000</v>
      </c>
      <c r="L24" s="15">
        <f t="shared" si="2"/>
        <v>8618.9343750000007</v>
      </c>
      <c r="M24" s="16"/>
      <c r="N24" s="17"/>
    </row>
    <row r="25" spans="1:14" ht="31.5" customHeight="1" thickBot="1">
      <c r="A25" s="6" t="s">
        <v>16</v>
      </c>
      <c r="B25" s="7"/>
      <c r="C25" s="8"/>
      <c r="D25" s="8">
        <v>15.875</v>
      </c>
      <c r="E25" s="9">
        <f t="shared" si="8"/>
        <v>63.5</v>
      </c>
      <c r="F25" s="10">
        <v>540</v>
      </c>
      <c r="G25" s="10">
        <v>1475</v>
      </c>
      <c r="H25" s="11"/>
      <c r="I25" s="12">
        <f t="shared" si="0"/>
        <v>0.80292178125000002</v>
      </c>
      <c r="J25" s="13">
        <f t="shared" si="1"/>
        <v>28.355182704843749</v>
      </c>
      <c r="K25" s="14">
        <v>15000</v>
      </c>
      <c r="L25" s="15">
        <f t="shared" si="2"/>
        <v>12043.826718750001</v>
      </c>
      <c r="M25" s="16"/>
      <c r="N25" s="17"/>
    </row>
    <row r="26" spans="1:14" ht="31.5" customHeight="1" thickBot="1">
      <c r="A26" s="6" t="s">
        <v>16</v>
      </c>
      <c r="B26" s="7"/>
      <c r="C26" s="8"/>
      <c r="D26" s="8">
        <v>15.875</v>
      </c>
      <c r="E26" s="9">
        <f t="shared" si="8"/>
        <v>63.5</v>
      </c>
      <c r="F26" s="10">
        <v>490</v>
      </c>
      <c r="G26" s="10">
        <v>680</v>
      </c>
      <c r="H26" s="11"/>
      <c r="I26" s="12">
        <f t="shared" si="0"/>
        <v>0.33588642499999999</v>
      </c>
      <c r="J26" s="13">
        <f t="shared" si="1"/>
        <v>11.861829098874999</v>
      </c>
      <c r="K26" s="14">
        <v>15000</v>
      </c>
      <c r="L26" s="15">
        <f t="shared" si="2"/>
        <v>5038.2963749999999</v>
      </c>
      <c r="M26" s="16"/>
      <c r="N26" s="17"/>
    </row>
    <row r="27" spans="1:14" ht="31.5" customHeight="1">
      <c r="A27" s="6" t="s">
        <v>16</v>
      </c>
      <c r="B27" s="7"/>
      <c r="C27" s="8"/>
      <c r="D27" s="8">
        <v>15.875</v>
      </c>
      <c r="E27" s="9">
        <f t="shared" ref="E27:E28" si="9">2*25.4</f>
        <v>50.8</v>
      </c>
      <c r="F27" s="10">
        <v>490</v>
      </c>
      <c r="G27" s="10">
        <v>730</v>
      </c>
      <c r="H27" s="11"/>
      <c r="I27" s="12">
        <f t="shared" si="0"/>
        <v>0.28846716499999991</v>
      </c>
      <c r="J27" s="13">
        <f t="shared" si="1"/>
        <v>10.187217931974997</v>
      </c>
      <c r="K27" s="14">
        <v>15000</v>
      </c>
      <c r="L27" s="15">
        <f t="shared" si="2"/>
        <v>4327.0074749999985</v>
      </c>
      <c r="M27" s="16"/>
      <c r="N27" s="17"/>
    </row>
    <row r="28" spans="1:14" ht="31.5" customHeight="1" thickBot="1">
      <c r="A28" s="6" t="s">
        <v>16</v>
      </c>
      <c r="B28" s="7"/>
      <c r="C28" s="8"/>
      <c r="D28" s="8">
        <v>15.875</v>
      </c>
      <c r="E28" s="9">
        <f t="shared" si="9"/>
        <v>50.8</v>
      </c>
      <c r="F28" s="10">
        <v>490</v>
      </c>
      <c r="G28" s="10">
        <v>1640</v>
      </c>
      <c r="H28" s="11"/>
      <c r="I28" s="12">
        <f t="shared" si="0"/>
        <v>0.64806321999999983</v>
      </c>
      <c r="J28" s="13">
        <f t="shared" si="1"/>
        <v>22.886352614299991</v>
      </c>
      <c r="K28" s="14">
        <v>15000</v>
      </c>
      <c r="L28" s="15">
        <f t="shared" si="2"/>
        <v>9720.9482999999982</v>
      </c>
      <c r="M28" s="16"/>
      <c r="N28" s="17"/>
    </row>
    <row r="29" spans="1:14" ht="31.5" customHeight="1" thickBot="1">
      <c r="A29" s="6" t="s">
        <v>16</v>
      </c>
      <c r="B29" s="7"/>
      <c r="C29" s="8"/>
      <c r="D29" s="8">
        <v>15.875</v>
      </c>
      <c r="E29" s="9">
        <f t="shared" ref="E29:E30" si="10">2.5*25.4</f>
        <v>63.5</v>
      </c>
      <c r="F29" s="10">
        <v>1100</v>
      </c>
      <c r="G29" s="10">
        <v>711</v>
      </c>
      <c r="H29" s="11"/>
      <c r="I29" s="12">
        <f t="shared" si="0"/>
        <v>0.78840568124999999</v>
      </c>
      <c r="J29" s="13">
        <f t="shared" si="1"/>
        <v>27.842546633343748</v>
      </c>
      <c r="K29" s="14">
        <v>15000</v>
      </c>
      <c r="L29" s="15">
        <f t="shared" si="2"/>
        <v>11826.08521875</v>
      </c>
      <c r="M29" s="16"/>
      <c r="N29" s="17"/>
    </row>
    <row r="30" spans="1:14" ht="31.5" customHeight="1" thickBot="1">
      <c r="A30" s="6" t="s">
        <v>16</v>
      </c>
      <c r="B30" s="7"/>
      <c r="C30" s="8"/>
      <c r="D30" s="8">
        <v>15.875</v>
      </c>
      <c r="E30" s="9">
        <f t="shared" si="10"/>
        <v>63.5</v>
      </c>
      <c r="F30" s="10">
        <v>1100</v>
      </c>
      <c r="G30" s="10">
        <v>478</v>
      </c>
      <c r="H30" s="11"/>
      <c r="I30" s="12">
        <f t="shared" si="0"/>
        <v>0.5300392625</v>
      </c>
      <c r="J30" s="13">
        <f t="shared" si="1"/>
        <v>18.718336555187499</v>
      </c>
      <c r="K30" s="14">
        <v>15000</v>
      </c>
      <c r="L30" s="15">
        <f t="shared" si="2"/>
        <v>7950.5889374999997</v>
      </c>
      <c r="M30" s="16"/>
      <c r="N30" s="17"/>
    </row>
    <row r="31" spans="1:14" ht="31.5" customHeight="1" thickBot="1">
      <c r="A31" s="6" t="s">
        <v>16</v>
      </c>
      <c r="B31" s="7"/>
      <c r="C31" s="8"/>
      <c r="D31" s="8">
        <v>15.875</v>
      </c>
      <c r="E31" s="9">
        <f t="shared" ref="E31" si="11">2*25.4</f>
        <v>50.8</v>
      </c>
      <c r="F31" s="10">
        <v>1100</v>
      </c>
      <c r="G31" s="10">
        <v>855</v>
      </c>
      <c r="H31" s="11"/>
      <c r="I31" s="12">
        <f t="shared" si="0"/>
        <v>0.75846622499999983</v>
      </c>
      <c r="J31" s="13">
        <f t="shared" si="1"/>
        <v>26.785234735874994</v>
      </c>
      <c r="K31" s="14">
        <v>15000</v>
      </c>
      <c r="L31" s="15">
        <f t="shared" si="2"/>
        <v>11376.993374999998</v>
      </c>
      <c r="M31" s="16"/>
      <c r="N31" s="17"/>
    </row>
    <row r="32" spans="1:14" ht="31.5" customHeight="1" thickBot="1">
      <c r="A32" s="6" t="s">
        <v>16</v>
      </c>
      <c r="B32" s="7"/>
      <c r="C32" s="8"/>
      <c r="D32" s="8">
        <v>15.875</v>
      </c>
      <c r="E32" s="9">
        <f>3*25.4</f>
        <v>76.199999999999989</v>
      </c>
      <c r="F32" s="10">
        <v>1100</v>
      </c>
      <c r="G32" s="10">
        <v>485</v>
      </c>
      <c r="H32" s="11"/>
      <c r="I32" s="12">
        <f t="shared" si="0"/>
        <v>0.6453616124999999</v>
      </c>
      <c r="J32" s="13">
        <f t="shared" si="1"/>
        <v>22.790945345437496</v>
      </c>
      <c r="K32" s="14">
        <v>15000</v>
      </c>
      <c r="L32" s="15">
        <f t="shared" si="2"/>
        <v>9680.4241874999989</v>
      </c>
      <c r="M32" s="16"/>
      <c r="N32" s="17"/>
    </row>
    <row r="33" spans="1:26" ht="31.5" customHeight="1" thickBot="1">
      <c r="A33" s="6" t="s">
        <v>16</v>
      </c>
      <c r="B33" s="7"/>
      <c r="C33" s="8"/>
      <c r="D33" s="8">
        <v>15.875</v>
      </c>
      <c r="E33" s="9">
        <f t="shared" ref="E33" si="12">2.5*25.4</f>
        <v>63.5</v>
      </c>
      <c r="F33" s="10">
        <v>1100</v>
      </c>
      <c r="G33" s="10">
        <v>478</v>
      </c>
      <c r="H33" s="11"/>
      <c r="I33" s="12">
        <f t="shared" si="0"/>
        <v>0.5300392625</v>
      </c>
      <c r="J33" s="13">
        <f t="shared" si="1"/>
        <v>18.718336555187499</v>
      </c>
      <c r="K33" s="14">
        <v>15000</v>
      </c>
      <c r="L33" s="15">
        <f t="shared" si="2"/>
        <v>7950.5889374999997</v>
      </c>
      <c r="M33" s="16"/>
      <c r="N33" s="17"/>
    </row>
    <row r="34" spans="1:26" ht="31.5" customHeight="1" thickBot="1">
      <c r="A34" s="6" t="s">
        <v>16</v>
      </c>
      <c r="B34" s="7"/>
      <c r="C34" s="8"/>
      <c r="D34" s="8">
        <v>15.875</v>
      </c>
      <c r="E34" s="9">
        <f>3*25.4</f>
        <v>76.199999999999989</v>
      </c>
      <c r="F34" s="10">
        <v>1100</v>
      </c>
      <c r="G34" s="10">
        <v>231</v>
      </c>
      <c r="H34" s="11"/>
      <c r="I34" s="12">
        <f t="shared" si="0"/>
        <v>0.30737841749999995</v>
      </c>
      <c r="J34" s="13">
        <f t="shared" si="1"/>
        <v>10.855068814012498</v>
      </c>
      <c r="K34" s="14">
        <v>15000</v>
      </c>
      <c r="L34" s="15">
        <f t="shared" si="2"/>
        <v>4610.6762624999992</v>
      </c>
      <c r="M34" s="16"/>
      <c r="N34" s="17"/>
    </row>
    <row r="35" spans="1:26" ht="31.5" customHeight="1" thickBot="1">
      <c r="A35" s="6" t="s">
        <v>16</v>
      </c>
      <c r="B35" s="7"/>
      <c r="C35" s="8"/>
      <c r="D35" s="8">
        <v>15.875</v>
      </c>
      <c r="E35" s="9">
        <f t="shared" ref="E35:E37" si="13">2*25.4</f>
        <v>50.8</v>
      </c>
      <c r="F35" s="10">
        <v>1100</v>
      </c>
      <c r="G35" s="10">
        <v>5896</v>
      </c>
      <c r="H35" s="11"/>
      <c r="I35" s="12">
        <f t="shared" si="0"/>
        <v>5.2303121199999989</v>
      </c>
      <c r="J35" s="13">
        <f t="shared" si="1"/>
        <v>184.70847251779995</v>
      </c>
      <c r="K35" s="14">
        <v>15000</v>
      </c>
      <c r="L35" s="15">
        <f t="shared" si="2"/>
        <v>78454.681799999977</v>
      </c>
      <c r="M35" s="16"/>
      <c r="N35" s="17"/>
    </row>
    <row r="36" spans="1:26" ht="31.5" customHeight="1" thickBot="1">
      <c r="A36" s="6" t="s">
        <v>16</v>
      </c>
      <c r="B36" s="7"/>
      <c r="C36" s="8"/>
      <c r="D36" s="8">
        <v>15.875</v>
      </c>
      <c r="E36" s="9">
        <f>3*25.4</f>
        <v>76.199999999999989</v>
      </c>
      <c r="F36" s="10">
        <v>1100</v>
      </c>
      <c r="G36" s="10">
        <v>516</v>
      </c>
      <c r="H36" s="11"/>
      <c r="I36" s="12">
        <f t="shared" si="0"/>
        <v>0.68661152999999986</v>
      </c>
      <c r="J36" s="13">
        <f t="shared" si="1"/>
        <v>24.247686181949994</v>
      </c>
      <c r="K36" s="14">
        <v>15000</v>
      </c>
      <c r="L36" s="15">
        <f t="shared" si="2"/>
        <v>10299.172949999998</v>
      </c>
      <c r="M36" s="16"/>
      <c r="N36" s="17"/>
    </row>
    <row r="37" spans="1:26" ht="31.5" customHeight="1" thickBot="1">
      <c r="A37" s="6" t="s">
        <v>16</v>
      </c>
      <c r="B37" s="7"/>
      <c r="C37" s="8"/>
      <c r="D37" s="8">
        <v>15.875</v>
      </c>
      <c r="E37" s="9">
        <f t="shared" si="13"/>
        <v>50.8</v>
      </c>
      <c r="F37" s="10">
        <v>1100</v>
      </c>
      <c r="G37" s="10">
        <v>573</v>
      </c>
      <c r="H37" s="11"/>
      <c r="I37" s="12">
        <f t="shared" si="0"/>
        <v>0.50830543499999992</v>
      </c>
      <c r="J37" s="13">
        <f t="shared" si="1"/>
        <v>17.950806437024998</v>
      </c>
      <c r="K37" s="14">
        <v>15000</v>
      </c>
      <c r="L37" s="15">
        <f t="shared" si="2"/>
        <v>7624.5815249999987</v>
      </c>
      <c r="M37" s="16"/>
      <c r="N37" s="17"/>
    </row>
    <row r="38" spans="1:26" ht="31.5" customHeight="1" thickBot="1">
      <c r="A38" s="6" t="s">
        <v>16</v>
      </c>
      <c r="B38" s="7"/>
      <c r="C38" s="8"/>
      <c r="D38" s="8">
        <v>15.875</v>
      </c>
      <c r="E38" s="9">
        <f t="shared" ref="E38:E39" si="14">2.5*25.4</f>
        <v>63.5</v>
      </c>
      <c r="F38" s="10">
        <v>540</v>
      </c>
      <c r="G38" s="10">
        <v>1440</v>
      </c>
      <c r="H38" s="11"/>
      <c r="I38" s="12">
        <f t="shared" si="0"/>
        <v>0.78386940000000005</v>
      </c>
      <c r="J38" s="13">
        <f t="shared" si="1"/>
        <v>27.682347861</v>
      </c>
      <c r="K38" s="14">
        <v>15000</v>
      </c>
      <c r="L38" s="15">
        <f t="shared" si="2"/>
        <v>11758.041000000001</v>
      </c>
      <c r="M38" s="16"/>
      <c r="N38" s="17"/>
    </row>
    <row r="39" spans="1:26" ht="31.5" customHeight="1" thickBot="1">
      <c r="A39" s="6" t="s">
        <v>16</v>
      </c>
      <c r="B39" s="7"/>
      <c r="C39" s="8"/>
      <c r="D39" s="8">
        <v>15.875</v>
      </c>
      <c r="E39" s="9">
        <f t="shared" si="14"/>
        <v>63.5</v>
      </c>
      <c r="F39" s="10">
        <v>540</v>
      </c>
      <c r="G39" s="10">
        <v>840</v>
      </c>
      <c r="H39" s="11"/>
      <c r="I39" s="12">
        <f t="shared" si="0"/>
        <v>0.45725715</v>
      </c>
      <c r="J39" s="13">
        <f t="shared" si="1"/>
        <v>16.148036252249998</v>
      </c>
      <c r="K39" s="14">
        <v>15000</v>
      </c>
      <c r="L39" s="15">
        <f t="shared" si="2"/>
        <v>6858.85725</v>
      </c>
      <c r="M39" s="16"/>
      <c r="N39" s="17" t="s">
        <v>17</v>
      </c>
    </row>
    <row r="40" spans="1:26" ht="31.5" customHeight="1">
      <c r="A40" s="465" t="s">
        <v>18</v>
      </c>
      <c r="B40" s="466"/>
      <c r="C40" s="466"/>
      <c r="D40" s="466"/>
      <c r="E40" s="466"/>
      <c r="F40" s="467"/>
      <c r="G40" s="18">
        <f>SUM(G4:G39)</f>
        <v>61101</v>
      </c>
      <c r="H40" s="18"/>
      <c r="I40" s="19">
        <f>SUM(I4:I39)</f>
        <v>29.424235506250007</v>
      </c>
      <c r="J40" s="20">
        <f>SUM(J4:J39)</f>
        <v>1039.1168769032188</v>
      </c>
      <c r="K40" s="21"/>
      <c r="L40" s="22">
        <f>SUM(L4:L39)</f>
        <v>441363.53259374999</v>
      </c>
      <c r="M40" s="23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4.25" customHeight="1">
      <c r="G41" s="25" t="s">
        <v>19</v>
      </c>
      <c r="H41" s="25"/>
      <c r="L41" s="26"/>
    </row>
    <row r="42" spans="1:26" ht="14.25" customHeight="1">
      <c r="G42" s="25"/>
      <c r="H42" s="25"/>
      <c r="L42" s="26"/>
    </row>
    <row r="43" spans="1:26" ht="14.25" customHeight="1">
      <c r="G43" s="25"/>
      <c r="H43" s="25"/>
    </row>
    <row r="44" spans="1:26" ht="14.25" customHeight="1">
      <c r="G44" s="25"/>
      <c r="H44" s="25"/>
    </row>
    <row r="45" spans="1:26" ht="14.25" customHeight="1">
      <c r="H45" s="25"/>
    </row>
    <row r="46" spans="1:26" ht="14.25" customHeight="1">
      <c r="G46" s="25"/>
      <c r="H46" s="25"/>
    </row>
    <row r="47" spans="1:26" ht="14.25" customHeight="1">
      <c r="G47" s="25"/>
      <c r="H47" s="25"/>
    </row>
    <row r="48" spans="1:26" ht="14.25" customHeight="1">
      <c r="G48" s="25"/>
      <c r="H48" s="25"/>
    </row>
    <row r="49" spans="7:8" ht="14.25" customHeight="1">
      <c r="G49" s="25"/>
      <c r="H49" s="25"/>
    </row>
    <row r="50" spans="7:8" ht="14.25" customHeight="1">
      <c r="G50" s="25"/>
      <c r="H50" s="25"/>
    </row>
    <row r="51" spans="7:8" ht="14.25" customHeight="1">
      <c r="G51" s="25"/>
      <c r="H51" s="25"/>
    </row>
    <row r="52" spans="7:8" ht="14.25" customHeight="1">
      <c r="G52" s="25"/>
      <c r="H52" s="25"/>
    </row>
    <row r="53" spans="7:8" ht="14.25" customHeight="1">
      <c r="G53" s="25"/>
      <c r="H53" s="25"/>
    </row>
    <row r="54" spans="7:8" ht="14.25" customHeight="1">
      <c r="G54" s="25"/>
      <c r="H54" s="25"/>
    </row>
    <row r="55" spans="7:8" ht="14.25" customHeight="1">
      <c r="G55" s="25"/>
      <c r="H55" s="25"/>
    </row>
    <row r="56" spans="7:8" ht="14.25" customHeight="1">
      <c r="G56" s="25"/>
      <c r="H56" s="25"/>
    </row>
    <row r="57" spans="7:8" ht="14.25" customHeight="1">
      <c r="G57" s="25"/>
      <c r="H57" s="25"/>
    </row>
    <row r="58" spans="7:8" ht="14.25" customHeight="1">
      <c r="G58" s="25"/>
      <c r="H58" s="25"/>
    </row>
    <row r="59" spans="7:8" ht="14.25" customHeight="1">
      <c r="G59" s="25"/>
      <c r="H59" s="25"/>
    </row>
    <row r="60" spans="7:8" ht="14.25" customHeight="1">
      <c r="G60" s="25"/>
      <c r="H60" s="25"/>
    </row>
    <row r="61" spans="7:8" ht="14.25" customHeight="1">
      <c r="G61" s="25"/>
      <c r="H61" s="25"/>
    </row>
    <row r="62" spans="7:8" ht="14.25" customHeight="1">
      <c r="G62" s="25"/>
      <c r="H62" s="25"/>
    </row>
    <row r="63" spans="7:8" ht="14.25" customHeight="1">
      <c r="G63" s="25"/>
      <c r="H63" s="25"/>
    </row>
    <row r="64" spans="7:8" ht="14.25" customHeight="1">
      <c r="G64" s="25"/>
      <c r="H64" s="25"/>
    </row>
    <row r="65" spans="7:8" ht="14.25" customHeight="1">
      <c r="G65" s="25"/>
      <c r="H65" s="25"/>
    </row>
    <row r="66" spans="7:8" ht="14.25" customHeight="1">
      <c r="G66" s="25"/>
      <c r="H66" s="25"/>
    </row>
    <row r="67" spans="7:8" ht="14.25" customHeight="1">
      <c r="G67" s="25"/>
      <c r="H67" s="25"/>
    </row>
    <row r="68" spans="7:8" ht="14.25" customHeight="1">
      <c r="G68" s="25"/>
      <c r="H68" s="25"/>
    </row>
    <row r="69" spans="7:8" ht="14.25" customHeight="1">
      <c r="G69" s="25"/>
      <c r="H69" s="25"/>
    </row>
    <row r="70" spans="7:8" ht="14.25" customHeight="1">
      <c r="G70" s="25"/>
      <c r="H70" s="25"/>
    </row>
    <row r="71" spans="7:8" ht="14.25" customHeight="1">
      <c r="G71" s="25"/>
      <c r="H71" s="25"/>
    </row>
    <row r="72" spans="7:8" ht="14.25" customHeight="1">
      <c r="G72" s="25"/>
      <c r="H72" s="25"/>
    </row>
    <row r="73" spans="7:8" ht="14.25" customHeight="1">
      <c r="G73" s="25"/>
      <c r="H73" s="25"/>
    </row>
    <row r="74" spans="7:8" ht="14.25" customHeight="1">
      <c r="G74" s="25"/>
      <c r="H74" s="25"/>
    </row>
    <row r="75" spans="7:8" ht="14.25" customHeight="1">
      <c r="G75" s="25"/>
      <c r="H75" s="25"/>
    </row>
    <row r="76" spans="7:8" ht="14.25" customHeight="1">
      <c r="G76" s="25"/>
      <c r="H76" s="25"/>
    </row>
    <row r="77" spans="7:8" ht="14.25" customHeight="1">
      <c r="G77" s="25"/>
      <c r="H77" s="25"/>
    </row>
    <row r="78" spans="7:8" ht="14.25" customHeight="1">
      <c r="G78" s="25"/>
      <c r="H78" s="25"/>
    </row>
    <row r="79" spans="7:8" ht="14.25" customHeight="1">
      <c r="G79" s="25"/>
      <c r="H79" s="25"/>
    </row>
    <row r="80" spans="7:8" ht="14.25" customHeight="1">
      <c r="G80" s="25"/>
      <c r="H80" s="25"/>
    </row>
    <row r="81" spans="7:8" ht="14.25" customHeight="1">
      <c r="G81" s="25"/>
      <c r="H81" s="25"/>
    </row>
    <row r="82" spans="7:8" ht="14.25" customHeight="1">
      <c r="G82" s="25"/>
      <c r="H82" s="25"/>
    </row>
    <row r="83" spans="7:8" ht="14.25" customHeight="1">
      <c r="G83" s="25"/>
      <c r="H83" s="25"/>
    </row>
    <row r="84" spans="7:8" ht="14.25" customHeight="1">
      <c r="G84" s="25"/>
      <c r="H84" s="25"/>
    </row>
    <row r="85" spans="7:8" ht="14.25" customHeight="1">
      <c r="G85" s="25"/>
      <c r="H85" s="25"/>
    </row>
    <row r="86" spans="7:8" ht="14.25" customHeight="1">
      <c r="G86" s="25"/>
      <c r="H86" s="25"/>
    </row>
    <row r="87" spans="7:8" ht="14.25" customHeight="1">
      <c r="G87" s="25"/>
      <c r="H87" s="25"/>
    </row>
    <row r="88" spans="7:8" ht="14.25" customHeight="1">
      <c r="G88" s="25"/>
      <c r="H88" s="25"/>
    </row>
    <row r="89" spans="7:8" ht="14.25" customHeight="1">
      <c r="G89" s="25"/>
      <c r="H89" s="25"/>
    </row>
    <row r="90" spans="7:8" ht="14.25" customHeight="1">
      <c r="G90" s="25"/>
      <c r="H90" s="25"/>
    </row>
    <row r="91" spans="7:8" ht="14.25" customHeight="1">
      <c r="G91" s="25"/>
      <c r="H91" s="25"/>
    </row>
    <row r="92" spans="7:8" ht="14.25" customHeight="1">
      <c r="G92" s="25"/>
      <c r="H92" s="25"/>
    </row>
    <row r="93" spans="7:8" ht="14.25" customHeight="1">
      <c r="G93" s="25"/>
      <c r="H93" s="25"/>
    </row>
    <row r="94" spans="7:8" ht="14.25" customHeight="1">
      <c r="G94" s="25"/>
      <c r="H94" s="25"/>
    </row>
    <row r="95" spans="7:8" ht="14.25" customHeight="1">
      <c r="G95" s="25"/>
      <c r="H95" s="25"/>
    </row>
    <row r="96" spans="7:8" ht="14.25" customHeight="1">
      <c r="G96" s="25"/>
      <c r="H96" s="25"/>
    </row>
    <row r="97" spans="7:8" ht="14.25" customHeight="1">
      <c r="G97" s="25"/>
      <c r="H97" s="25"/>
    </row>
    <row r="98" spans="7:8" ht="14.25" customHeight="1">
      <c r="G98" s="25"/>
      <c r="H98" s="25"/>
    </row>
    <row r="99" spans="7:8" ht="14.25" customHeight="1">
      <c r="G99" s="25"/>
      <c r="H99" s="25"/>
    </row>
    <row r="100" spans="7:8" ht="14.25" customHeight="1">
      <c r="G100" s="25"/>
      <c r="H100" s="25"/>
    </row>
    <row r="101" spans="7:8" ht="14.25" customHeight="1">
      <c r="G101" s="25"/>
      <c r="H101" s="25"/>
    </row>
    <row r="102" spans="7:8" ht="14.25" customHeight="1">
      <c r="G102" s="25"/>
      <c r="H102" s="25"/>
    </row>
    <row r="103" spans="7:8" ht="14.25" customHeight="1">
      <c r="G103" s="25"/>
      <c r="H103" s="25"/>
    </row>
    <row r="104" spans="7:8" ht="14.25" customHeight="1">
      <c r="G104" s="25"/>
      <c r="H104" s="25"/>
    </row>
    <row r="105" spans="7:8" ht="14.25" customHeight="1">
      <c r="G105" s="25"/>
      <c r="H105" s="25"/>
    </row>
    <row r="106" spans="7:8" ht="14.25" customHeight="1">
      <c r="G106" s="25"/>
      <c r="H106" s="25"/>
    </row>
    <row r="107" spans="7:8" ht="14.25" customHeight="1">
      <c r="G107" s="25"/>
      <c r="H107" s="25"/>
    </row>
    <row r="108" spans="7:8" ht="14.25" customHeight="1">
      <c r="G108" s="25"/>
      <c r="H108" s="25"/>
    </row>
    <row r="109" spans="7:8" ht="14.25" customHeight="1">
      <c r="G109" s="25"/>
      <c r="H109" s="25"/>
    </row>
    <row r="110" spans="7:8" ht="14.25" customHeight="1">
      <c r="G110" s="25"/>
      <c r="H110" s="25"/>
    </row>
    <row r="111" spans="7:8" ht="14.25" customHeight="1">
      <c r="G111" s="25"/>
      <c r="H111" s="25"/>
    </row>
    <row r="112" spans="7:8" ht="14.25" customHeight="1">
      <c r="G112" s="25"/>
      <c r="H112" s="25"/>
    </row>
    <row r="113" spans="7:8" ht="14.25" customHeight="1">
      <c r="G113" s="25"/>
      <c r="H113" s="25"/>
    </row>
    <row r="114" spans="7:8" ht="14.25" customHeight="1">
      <c r="G114" s="25"/>
      <c r="H114" s="25"/>
    </row>
    <row r="115" spans="7:8" ht="14.25" customHeight="1">
      <c r="G115" s="25"/>
      <c r="H115" s="25"/>
    </row>
    <row r="116" spans="7:8" ht="14.25" customHeight="1">
      <c r="G116" s="25"/>
      <c r="H116" s="25"/>
    </row>
    <row r="117" spans="7:8" ht="14.25" customHeight="1">
      <c r="G117" s="25"/>
      <c r="H117" s="25"/>
    </row>
    <row r="118" spans="7:8" ht="14.25" customHeight="1">
      <c r="G118" s="25"/>
      <c r="H118" s="25"/>
    </row>
    <row r="119" spans="7:8" ht="14.25" customHeight="1">
      <c r="G119" s="25"/>
      <c r="H119" s="25"/>
    </row>
    <row r="120" spans="7:8" ht="14.25" customHeight="1">
      <c r="G120" s="25"/>
      <c r="H120" s="25"/>
    </row>
    <row r="121" spans="7:8" ht="14.25" customHeight="1">
      <c r="G121" s="25"/>
      <c r="H121" s="25"/>
    </row>
    <row r="122" spans="7:8" ht="14.25" customHeight="1">
      <c r="G122" s="25"/>
      <c r="H122" s="25"/>
    </row>
    <row r="123" spans="7:8" ht="14.25" customHeight="1">
      <c r="G123" s="25"/>
      <c r="H123" s="25"/>
    </row>
    <row r="124" spans="7:8" ht="14.25" customHeight="1">
      <c r="G124" s="25"/>
      <c r="H124" s="25"/>
    </row>
    <row r="125" spans="7:8" ht="14.25" customHeight="1">
      <c r="G125" s="25"/>
      <c r="H125" s="25"/>
    </row>
    <row r="126" spans="7:8" ht="14.25" customHeight="1">
      <c r="G126" s="25"/>
      <c r="H126" s="25"/>
    </row>
    <row r="127" spans="7:8" ht="14.25" customHeight="1">
      <c r="G127" s="25"/>
      <c r="H127" s="25"/>
    </row>
    <row r="128" spans="7:8" ht="14.25" customHeight="1">
      <c r="G128" s="25"/>
      <c r="H128" s="25"/>
    </row>
    <row r="129" spans="7:8" ht="14.25" customHeight="1">
      <c r="G129" s="25"/>
      <c r="H129" s="25"/>
    </row>
    <row r="130" spans="7:8" ht="14.25" customHeight="1">
      <c r="G130" s="25"/>
      <c r="H130" s="25"/>
    </row>
    <row r="131" spans="7:8" ht="14.25" customHeight="1">
      <c r="G131" s="25"/>
      <c r="H131" s="25"/>
    </row>
    <row r="132" spans="7:8" ht="14.25" customHeight="1">
      <c r="G132" s="25"/>
      <c r="H132" s="25"/>
    </row>
    <row r="133" spans="7:8" ht="14.25" customHeight="1">
      <c r="G133" s="25"/>
      <c r="H133" s="25"/>
    </row>
    <row r="134" spans="7:8" ht="14.25" customHeight="1">
      <c r="G134" s="25"/>
      <c r="H134" s="25"/>
    </row>
    <row r="135" spans="7:8" ht="14.25" customHeight="1">
      <c r="G135" s="25"/>
      <c r="H135" s="25"/>
    </row>
    <row r="136" spans="7:8" ht="14.25" customHeight="1">
      <c r="G136" s="25"/>
      <c r="H136" s="25"/>
    </row>
    <row r="137" spans="7:8" ht="14.25" customHeight="1">
      <c r="G137" s="25"/>
      <c r="H137" s="25"/>
    </row>
    <row r="138" spans="7:8" ht="14.25" customHeight="1">
      <c r="G138" s="25"/>
      <c r="H138" s="25"/>
    </row>
    <row r="139" spans="7:8" ht="14.25" customHeight="1">
      <c r="G139" s="25"/>
      <c r="H139" s="25"/>
    </row>
    <row r="140" spans="7:8" ht="14.25" customHeight="1">
      <c r="G140" s="25"/>
      <c r="H140" s="25"/>
    </row>
    <row r="141" spans="7:8" ht="14.25" customHeight="1">
      <c r="G141" s="25"/>
      <c r="H141" s="25"/>
    </row>
    <row r="142" spans="7:8" ht="14.25" customHeight="1">
      <c r="G142" s="25"/>
      <c r="H142" s="25"/>
    </row>
    <row r="143" spans="7:8" ht="14.25" customHeight="1">
      <c r="G143" s="25"/>
      <c r="H143" s="25"/>
    </row>
    <row r="144" spans="7:8" ht="14.25" customHeight="1">
      <c r="G144" s="25"/>
      <c r="H144" s="25"/>
    </row>
    <row r="145" spans="7:8" ht="14.25" customHeight="1">
      <c r="G145" s="25"/>
      <c r="H145" s="25"/>
    </row>
    <row r="146" spans="7:8" ht="14.25" customHeight="1">
      <c r="G146" s="25"/>
      <c r="H146" s="25"/>
    </row>
    <row r="147" spans="7:8" ht="14.25" customHeight="1">
      <c r="G147" s="25"/>
      <c r="H147" s="25"/>
    </row>
    <row r="148" spans="7:8" ht="14.25" customHeight="1">
      <c r="G148" s="25"/>
      <c r="H148" s="25"/>
    </row>
    <row r="149" spans="7:8" ht="14.25" customHeight="1">
      <c r="G149" s="25"/>
      <c r="H149" s="25"/>
    </row>
    <row r="150" spans="7:8" ht="14.25" customHeight="1">
      <c r="G150" s="25"/>
      <c r="H150" s="25"/>
    </row>
    <row r="151" spans="7:8" ht="14.25" customHeight="1">
      <c r="G151" s="25"/>
      <c r="H151" s="25"/>
    </row>
    <row r="152" spans="7:8" ht="14.25" customHeight="1">
      <c r="G152" s="25"/>
      <c r="H152" s="25"/>
    </row>
    <row r="153" spans="7:8" ht="14.25" customHeight="1">
      <c r="G153" s="25"/>
      <c r="H153" s="25"/>
    </row>
    <row r="154" spans="7:8" ht="14.25" customHeight="1">
      <c r="G154" s="25"/>
      <c r="H154" s="25"/>
    </row>
    <row r="155" spans="7:8" ht="14.25" customHeight="1">
      <c r="G155" s="25"/>
      <c r="H155" s="25"/>
    </row>
    <row r="156" spans="7:8" ht="14.25" customHeight="1">
      <c r="G156" s="25"/>
      <c r="H156" s="25"/>
    </row>
    <row r="157" spans="7:8" ht="14.25" customHeight="1">
      <c r="G157" s="25"/>
      <c r="H157" s="25"/>
    </row>
    <row r="158" spans="7:8" ht="14.25" customHeight="1">
      <c r="G158" s="25"/>
      <c r="H158" s="25"/>
    </row>
    <row r="159" spans="7:8" ht="14.25" customHeight="1">
      <c r="G159" s="25"/>
      <c r="H159" s="25"/>
    </row>
    <row r="160" spans="7:8" ht="14.25" customHeight="1">
      <c r="G160" s="25"/>
      <c r="H160" s="25"/>
    </row>
    <row r="161" spans="7:8" ht="14.25" customHeight="1">
      <c r="G161" s="25"/>
      <c r="H161" s="25"/>
    </row>
    <row r="162" spans="7:8" ht="14.25" customHeight="1">
      <c r="G162" s="25"/>
      <c r="H162" s="25"/>
    </row>
    <row r="163" spans="7:8" ht="14.25" customHeight="1">
      <c r="G163" s="25"/>
      <c r="H163" s="25"/>
    </row>
    <row r="164" spans="7:8" ht="14.25" customHeight="1">
      <c r="G164" s="25"/>
      <c r="H164" s="25"/>
    </row>
    <row r="165" spans="7:8" ht="14.25" customHeight="1">
      <c r="G165" s="25"/>
      <c r="H165" s="25"/>
    </row>
    <row r="166" spans="7:8" ht="14.25" customHeight="1">
      <c r="G166" s="25"/>
      <c r="H166" s="25"/>
    </row>
    <row r="167" spans="7:8" ht="14.25" customHeight="1">
      <c r="G167" s="25"/>
      <c r="H167" s="25"/>
    </row>
    <row r="168" spans="7:8" ht="14.25" customHeight="1">
      <c r="G168" s="25"/>
      <c r="H168" s="25"/>
    </row>
    <row r="169" spans="7:8" ht="14.25" customHeight="1">
      <c r="G169" s="25"/>
      <c r="H169" s="25"/>
    </row>
    <row r="170" spans="7:8" ht="14.25" customHeight="1">
      <c r="G170" s="25"/>
      <c r="H170" s="25"/>
    </row>
    <row r="171" spans="7:8" ht="14.25" customHeight="1">
      <c r="G171" s="25"/>
      <c r="H171" s="25"/>
    </row>
    <row r="172" spans="7:8" ht="14.25" customHeight="1">
      <c r="G172" s="25"/>
      <c r="H172" s="25"/>
    </row>
    <row r="173" spans="7:8" ht="14.25" customHeight="1">
      <c r="G173" s="25"/>
      <c r="H173" s="25"/>
    </row>
    <row r="174" spans="7:8" ht="14.25" customHeight="1">
      <c r="G174" s="25"/>
      <c r="H174" s="25"/>
    </row>
    <row r="175" spans="7:8" ht="14.25" customHeight="1">
      <c r="G175" s="25"/>
      <c r="H175" s="25"/>
    </row>
    <row r="176" spans="7:8" ht="14.25" customHeight="1">
      <c r="G176" s="25"/>
      <c r="H176" s="25"/>
    </row>
    <row r="177" spans="7:8" ht="14.25" customHeight="1">
      <c r="G177" s="25"/>
      <c r="H177" s="25"/>
    </row>
    <row r="178" spans="7:8" ht="14.25" customHeight="1">
      <c r="G178" s="25"/>
      <c r="H178" s="25"/>
    </row>
    <row r="179" spans="7:8" ht="14.25" customHeight="1">
      <c r="G179" s="25"/>
      <c r="H179" s="25"/>
    </row>
    <row r="180" spans="7:8" ht="14.25" customHeight="1">
      <c r="G180" s="25"/>
      <c r="H180" s="25"/>
    </row>
    <row r="181" spans="7:8" ht="14.25" customHeight="1">
      <c r="G181" s="25"/>
      <c r="H181" s="25"/>
    </row>
    <row r="182" spans="7:8" ht="14.25" customHeight="1">
      <c r="G182" s="25"/>
      <c r="H182" s="25"/>
    </row>
    <row r="183" spans="7:8" ht="14.25" customHeight="1">
      <c r="G183" s="25"/>
      <c r="H183" s="25"/>
    </row>
    <row r="184" spans="7:8" ht="14.25" customHeight="1">
      <c r="G184" s="25"/>
      <c r="H184" s="25"/>
    </row>
    <row r="185" spans="7:8" ht="14.25" customHeight="1">
      <c r="G185" s="25"/>
      <c r="H185" s="25"/>
    </row>
    <row r="186" spans="7:8" ht="14.25" customHeight="1">
      <c r="G186" s="25"/>
      <c r="H186" s="25"/>
    </row>
    <row r="187" spans="7:8" ht="14.25" customHeight="1">
      <c r="G187" s="25"/>
      <c r="H187" s="25"/>
    </row>
    <row r="188" spans="7:8" ht="14.25" customHeight="1">
      <c r="G188" s="25"/>
      <c r="H188" s="25"/>
    </row>
    <row r="189" spans="7:8" ht="14.25" customHeight="1">
      <c r="G189" s="25"/>
      <c r="H189" s="25"/>
    </row>
    <row r="190" spans="7:8" ht="14.25" customHeight="1">
      <c r="G190" s="25"/>
      <c r="H190" s="25"/>
    </row>
    <row r="191" spans="7:8" ht="14.25" customHeight="1">
      <c r="G191" s="25"/>
      <c r="H191" s="25"/>
    </row>
    <row r="192" spans="7:8" ht="14.25" customHeight="1">
      <c r="G192" s="25"/>
      <c r="H192" s="25"/>
    </row>
    <row r="193" spans="7:8" ht="14.25" customHeight="1">
      <c r="G193" s="25"/>
      <c r="H193" s="25"/>
    </row>
    <row r="194" spans="7:8" ht="14.25" customHeight="1">
      <c r="G194" s="25"/>
      <c r="H194" s="25"/>
    </row>
    <row r="195" spans="7:8" ht="14.25" customHeight="1">
      <c r="G195" s="25"/>
      <c r="H195" s="25"/>
    </row>
    <row r="196" spans="7:8" ht="14.25" customHeight="1">
      <c r="G196" s="25"/>
      <c r="H196" s="25"/>
    </row>
    <row r="197" spans="7:8" ht="14.25" customHeight="1">
      <c r="G197" s="25"/>
      <c r="H197" s="25"/>
    </row>
    <row r="198" spans="7:8" ht="14.25" customHeight="1">
      <c r="G198" s="25"/>
      <c r="H198" s="25"/>
    </row>
    <row r="199" spans="7:8" ht="14.25" customHeight="1">
      <c r="G199" s="25"/>
      <c r="H199" s="25"/>
    </row>
    <row r="200" spans="7:8" ht="14.25" customHeight="1">
      <c r="G200" s="25"/>
      <c r="H200" s="25"/>
    </row>
    <row r="201" spans="7:8" ht="14.25" customHeight="1">
      <c r="G201" s="25"/>
      <c r="H201" s="25"/>
    </row>
    <row r="202" spans="7:8" ht="14.25" customHeight="1">
      <c r="G202" s="25"/>
      <c r="H202" s="25"/>
    </row>
    <row r="203" spans="7:8" ht="14.25" customHeight="1">
      <c r="G203" s="25"/>
      <c r="H203" s="25"/>
    </row>
    <row r="204" spans="7:8" ht="14.25" customHeight="1">
      <c r="G204" s="25"/>
      <c r="H204" s="25"/>
    </row>
    <row r="205" spans="7:8" ht="14.25" customHeight="1">
      <c r="G205" s="25"/>
      <c r="H205" s="25"/>
    </row>
    <row r="206" spans="7:8" ht="14.25" customHeight="1">
      <c r="G206" s="25"/>
      <c r="H206" s="25"/>
    </row>
    <row r="207" spans="7:8" ht="14.25" customHeight="1">
      <c r="G207" s="25"/>
      <c r="H207" s="25"/>
    </row>
    <row r="208" spans="7:8" ht="14.25" customHeight="1">
      <c r="G208" s="25"/>
      <c r="H208" s="25"/>
    </row>
    <row r="209" spans="7:8" ht="14.25" customHeight="1">
      <c r="G209" s="25"/>
      <c r="H209" s="25"/>
    </row>
    <row r="210" spans="7:8" ht="14.25" customHeight="1">
      <c r="G210" s="25"/>
      <c r="H210" s="25"/>
    </row>
    <row r="211" spans="7:8" ht="14.25" customHeight="1">
      <c r="G211" s="25"/>
      <c r="H211" s="25"/>
    </row>
    <row r="212" spans="7:8" ht="14.25" customHeight="1">
      <c r="G212" s="25"/>
      <c r="H212" s="25"/>
    </row>
    <row r="213" spans="7:8" ht="14.25" customHeight="1">
      <c r="G213" s="25"/>
      <c r="H213" s="25"/>
    </row>
    <row r="214" spans="7:8" ht="14.25" customHeight="1">
      <c r="G214" s="25"/>
      <c r="H214" s="25"/>
    </row>
    <row r="215" spans="7:8" ht="14.25" customHeight="1">
      <c r="G215" s="25"/>
      <c r="H215" s="25"/>
    </row>
    <row r="216" spans="7:8" ht="14.25" customHeight="1">
      <c r="G216" s="25"/>
      <c r="H216" s="25"/>
    </row>
    <row r="217" spans="7:8" ht="14.25" customHeight="1">
      <c r="G217" s="25"/>
      <c r="H217" s="25"/>
    </row>
    <row r="218" spans="7:8" ht="14.25" customHeight="1">
      <c r="G218" s="25"/>
      <c r="H218" s="25"/>
    </row>
    <row r="219" spans="7:8" ht="14.25" customHeight="1">
      <c r="G219" s="25"/>
      <c r="H219" s="25"/>
    </row>
    <row r="220" spans="7:8" ht="14.25" customHeight="1">
      <c r="G220" s="25"/>
      <c r="H220" s="25"/>
    </row>
    <row r="221" spans="7:8" ht="14.25" customHeight="1">
      <c r="G221" s="25"/>
      <c r="H221" s="25"/>
    </row>
    <row r="222" spans="7:8" ht="14.25" customHeight="1">
      <c r="G222" s="25"/>
      <c r="H222" s="25"/>
    </row>
    <row r="223" spans="7:8" ht="14.25" customHeight="1">
      <c r="G223" s="25"/>
      <c r="H223" s="25"/>
    </row>
    <row r="224" spans="7:8" ht="14.25" customHeight="1">
      <c r="G224" s="25"/>
      <c r="H224" s="25"/>
    </row>
    <row r="225" spans="7:8" ht="14.25" customHeight="1">
      <c r="G225" s="25"/>
      <c r="H225" s="25"/>
    </row>
    <row r="226" spans="7:8" ht="14.25" customHeight="1">
      <c r="G226" s="25"/>
      <c r="H226" s="25"/>
    </row>
    <row r="227" spans="7:8" ht="14.25" customHeight="1">
      <c r="G227" s="25"/>
      <c r="H227" s="25"/>
    </row>
    <row r="228" spans="7:8" ht="14.25" customHeight="1">
      <c r="G228" s="25"/>
      <c r="H228" s="25"/>
    </row>
    <row r="229" spans="7:8" ht="14.25" customHeight="1">
      <c r="G229" s="25"/>
      <c r="H229" s="25"/>
    </row>
    <row r="230" spans="7:8" ht="14.25" customHeight="1">
      <c r="G230" s="25"/>
      <c r="H230" s="25"/>
    </row>
    <row r="231" spans="7:8" ht="14.25" customHeight="1">
      <c r="G231" s="25"/>
      <c r="H231" s="25"/>
    </row>
    <row r="232" spans="7:8" ht="14.25" customHeight="1">
      <c r="G232" s="25"/>
      <c r="H232" s="25"/>
    </row>
    <row r="233" spans="7:8" ht="14.25" customHeight="1">
      <c r="G233" s="25"/>
      <c r="H233" s="25"/>
    </row>
    <row r="234" spans="7:8" ht="14.25" customHeight="1">
      <c r="G234" s="25"/>
      <c r="H234" s="25"/>
    </row>
    <row r="235" spans="7:8" ht="14.25" customHeight="1">
      <c r="G235" s="25"/>
      <c r="H235" s="25"/>
    </row>
    <row r="236" spans="7:8" ht="14.25" customHeight="1">
      <c r="G236" s="25"/>
      <c r="H236" s="25"/>
    </row>
    <row r="237" spans="7:8" ht="14.25" customHeight="1">
      <c r="G237" s="25"/>
      <c r="H237" s="25"/>
    </row>
    <row r="238" spans="7:8" ht="14.25" customHeight="1">
      <c r="G238" s="25"/>
      <c r="H238" s="25"/>
    </row>
    <row r="239" spans="7:8" ht="14.25" customHeight="1">
      <c r="G239" s="25"/>
      <c r="H239" s="25"/>
    </row>
    <row r="240" spans="7:8" ht="14.25" customHeight="1">
      <c r="G240" s="25"/>
      <c r="H240" s="25"/>
    </row>
    <row r="241" spans="7:8" ht="14.25" customHeight="1">
      <c r="G241" s="25"/>
      <c r="H241" s="25"/>
    </row>
    <row r="242" spans="7:8" ht="15.75" customHeight="1"/>
    <row r="243" spans="7:8" ht="15.75" customHeight="1"/>
    <row r="244" spans="7:8" ht="15.75" customHeight="1"/>
    <row r="245" spans="7:8" ht="15.75" customHeight="1"/>
    <row r="246" spans="7:8" ht="15.75" customHeight="1"/>
    <row r="247" spans="7:8" ht="15.75" customHeight="1"/>
    <row r="248" spans="7:8" ht="15.75" customHeight="1"/>
    <row r="249" spans="7:8" ht="15.75" customHeight="1"/>
    <row r="250" spans="7:8" ht="15.75" customHeight="1"/>
    <row r="251" spans="7:8" ht="15.75" customHeight="1"/>
    <row r="252" spans="7:8" ht="15.75" customHeight="1"/>
    <row r="253" spans="7:8" ht="15.75" customHeight="1"/>
    <row r="254" spans="7:8" ht="15.75" customHeight="1"/>
    <row r="255" spans="7:8" ht="15.75" customHeight="1"/>
    <row r="256" spans="7: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1">
    <mergeCell ref="A40:F40"/>
    <mergeCell ref="K2:K3"/>
    <mergeCell ref="L2:L3"/>
    <mergeCell ref="M2:M3"/>
    <mergeCell ref="A1:L1"/>
    <mergeCell ref="A2:A3"/>
    <mergeCell ref="B2:B3"/>
    <mergeCell ref="D2:F2"/>
    <mergeCell ref="G2:G3"/>
    <mergeCell ref="I2:I3"/>
    <mergeCell ref="J2:J3"/>
  </mergeCells>
  <conditionalFormatting sqref="I2:L2 I4:L40">
    <cfRule type="cellIs" dxfId="13" priority="1" operator="equal">
      <formula>"สั่งซื้อเพิ่ม"</formula>
    </cfRule>
  </conditionalFormatting>
  <pageMargins left="0" right="0" top="0.19685039370078741" bottom="0" header="0" footer="0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CC00"/>
  </sheetPr>
  <dimension ref="A1:Z935"/>
  <sheetViews>
    <sheetView topLeftCell="A32" zoomScale="85" zoomScaleNormal="85" workbookViewId="0">
      <selection activeCell="G55" sqref="G55"/>
    </sheetView>
  </sheetViews>
  <sheetFormatPr defaultColWidth="14.453125" defaultRowHeight="15" customHeight="1"/>
  <cols>
    <col min="1" max="1" width="8.6328125" customWidth="1"/>
    <col min="2" max="2" width="15" customWidth="1"/>
    <col min="3" max="3" width="11.54296875" customWidth="1"/>
    <col min="4" max="6" width="8.6328125" customWidth="1"/>
    <col min="10" max="10" width="20.36328125" customWidth="1"/>
    <col min="11" max="11" width="19.08984375" customWidth="1"/>
    <col min="13" max="13" width="24.453125" customWidth="1"/>
    <col min="15" max="26" width="8.90625" customWidth="1"/>
  </cols>
  <sheetData>
    <row r="1" spans="1:26" ht="33.75" customHeight="1">
      <c r="A1" s="478" t="s">
        <v>20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27" customHeight="1">
      <c r="A2" s="475" t="s">
        <v>4</v>
      </c>
      <c r="B2" s="475" t="s">
        <v>5</v>
      </c>
      <c r="C2" s="28" t="s">
        <v>6</v>
      </c>
      <c r="D2" s="476" t="s">
        <v>7</v>
      </c>
      <c r="E2" s="466"/>
      <c r="F2" s="467"/>
      <c r="G2" s="479" t="s">
        <v>8</v>
      </c>
      <c r="H2" s="29" t="s">
        <v>9</v>
      </c>
      <c r="I2" s="481" t="s">
        <v>10</v>
      </c>
      <c r="J2" s="475" t="s">
        <v>11</v>
      </c>
      <c r="K2" s="475" t="s">
        <v>12</v>
      </c>
      <c r="L2" s="475" t="s">
        <v>13</v>
      </c>
      <c r="M2" s="483" t="s">
        <v>14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7" customHeight="1">
      <c r="A3" s="469"/>
      <c r="B3" s="469"/>
      <c r="C3" s="31" t="s">
        <v>0</v>
      </c>
      <c r="D3" s="31" t="s">
        <v>0</v>
      </c>
      <c r="E3" s="31" t="s">
        <v>1</v>
      </c>
      <c r="F3" s="31" t="s">
        <v>2</v>
      </c>
      <c r="G3" s="480"/>
      <c r="H3" s="32" t="s">
        <v>21</v>
      </c>
      <c r="I3" s="482"/>
      <c r="J3" s="469"/>
      <c r="K3" s="469"/>
      <c r="L3" s="469"/>
      <c r="M3" s="469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7" customHeight="1">
      <c r="A4" s="33" t="s">
        <v>16</v>
      </c>
      <c r="B4" s="34"/>
      <c r="C4" s="33"/>
      <c r="D4" s="34">
        <v>15.875</v>
      </c>
      <c r="E4" s="34">
        <v>75</v>
      </c>
      <c r="F4" s="34">
        <v>540</v>
      </c>
      <c r="G4" s="35">
        <v>1074</v>
      </c>
      <c r="H4" s="36"/>
      <c r="I4" s="37">
        <f t="shared" ref="I4:I35" si="0">D4*E4*F4*G4/1000000000</f>
        <v>0.69051487499999997</v>
      </c>
      <c r="J4" s="37">
        <f t="shared" ref="J4:J35" si="1">I4*35.315</f>
        <v>24.385532810624998</v>
      </c>
      <c r="K4" s="38">
        <v>16000</v>
      </c>
      <c r="L4" s="39">
        <f t="shared" ref="L4:L35" si="2">I4*K4</f>
        <v>11048.237999999999</v>
      </c>
      <c r="M4" s="40" t="s">
        <v>22</v>
      </c>
      <c r="N4" s="41" t="s">
        <v>23</v>
      </c>
      <c r="O4" s="42"/>
      <c r="P4" s="42"/>
      <c r="Q4" s="42"/>
      <c r="R4" s="42"/>
      <c r="S4" s="42"/>
      <c r="T4" s="42"/>
      <c r="U4" s="42"/>
      <c r="V4" s="43"/>
      <c r="W4" s="43"/>
      <c r="X4" s="43"/>
      <c r="Y4" s="43"/>
      <c r="Z4" s="43"/>
    </row>
    <row r="5" spans="1:26" ht="27" customHeight="1">
      <c r="A5" s="33" t="s">
        <v>16</v>
      </c>
      <c r="B5" s="34"/>
      <c r="C5" s="33"/>
      <c r="D5" s="34">
        <v>15.875</v>
      </c>
      <c r="E5" s="34">
        <v>52</v>
      </c>
      <c r="F5" s="34">
        <v>560</v>
      </c>
      <c r="G5" s="35">
        <v>929</v>
      </c>
      <c r="H5" s="44"/>
      <c r="I5" s="37">
        <f t="shared" si="0"/>
        <v>0.42945812</v>
      </c>
      <c r="J5" s="37">
        <f t="shared" si="1"/>
        <v>15.166313507799998</v>
      </c>
      <c r="K5" s="38">
        <v>16000</v>
      </c>
      <c r="L5" s="39">
        <f t="shared" si="2"/>
        <v>6871.3299200000001</v>
      </c>
      <c r="M5" s="40" t="s">
        <v>22</v>
      </c>
      <c r="N5" s="41" t="s">
        <v>23</v>
      </c>
      <c r="O5" s="42"/>
      <c r="P5" s="42"/>
      <c r="Q5" s="42"/>
      <c r="R5" s="42"/>
      <c r="S5" s="42"/>
      <c r="T5" s="42"/>
      <c r="U5" s="42"/>
      <c r="V5" s="43"/>
      <c r="W5" s="43"/>
      <c r="X5" s="43"/>
      <c r="Y5" s="43"/>
      <c r="Z5" s="43"/>
    </row>
    <row r="6" spans="1:26" ht="27" customHeight="1">
      <c r="A6" s="34" t="s">
        <v>16</v>
      </c>
      <c r="B6" s="34"/>
      <c r="C6" s="34"/>
      <c r="D6" s="34">
        <v>15.875</v>
      </c>
      <c r="E6" s="34">
        <v>62</v>
      </c>
      <c r="F6" s="34">
        <v>560</v>
      </c>
      <c r="G6" s="35">
        <v>779</v>
      </c>
      <c r="H6" s="45"/>
      <c r="I6" s="46">
        <f t="shared" si="0"/>
        <v>0.42936922</v>
      </c>
      <c r="J6" s="46">
        <f t="shared" si="1"/>
        <v>15.163174004299998</v>
      </c>
      <c r="K6" s="47">
        <v>16000</v>
      </c>
      <c r="L6" s="48">
        <f t="shared" si="2"/>
        <v>6869.9075199999997</v>
      </c>
      <c r="M6" s="40" t="s">
        <v>22</v>
      </c>
      <c r="N6" s="41" t="s">
        <v>23</v>
      </c>
      <c r="O6" s="49"/>
      <c r="P6" s="49"/>
      <c r="Q6" s="49"/>
      <c r="R6" s="49"/>
      <c r="S6" s="49"/>
      <c r="T6" s="49"/>
      <c r="U6" s="49"/>
      <c r="V6" s="50"/>
      <c r="W6" s="50"/>
      <c r="X6" s="43"/>
      <c r="Y6" s="43"/>
      <c r="Z6" s="43"/>
    </row>
    <row r="7" spans="1:26" ht="27" customHeight="1">
      <c r="A7" s="33" t="s">
        <v>16</v>
      </c>
      <c r="B7" s="34"/>
      <c r="C7" s="33"/>
      <c r="D7" s="34">
        <v>15.875</v>
      </c>
      <c r="E7" s="34">
        <v>62</v>
      </c>
      <c r="F7" s="34">
        <v>490</v>
      </c>
      <c r="G7" s="35">
        <v>1787</v>
      </c>
      <c r="H7" s="36"/>
      <c r="I7" s="37">
        <f t="shared" si="0"/>
        <v>0.86183882749999996</v>
      </c>
      <c r="J7" s="37">
        <f t="shared" si="1"/>
        <v>30.435838193162496</v>
      </c>
      <c r="K7" s="38">
        <v>16000</v>
      </c>
      <c r="L7" s="39">
        <f t="shared" si="2"/>
        <v>13789.42124</v>
      </c>
      <c r="M7" s="40" t="s">
        <v>22</v>
      </c>
      <c r="N7" s="41" t="s">
        <v>23</v>
      </c>
      <c r="O7" s="42"/>
      <c r="P7" s="42"/>
      <c r="Q7" s="42"/>
      <c r="R7" s="42"/>
      <c r="S7" s="42"/>
      <c r="T7" s="42"/>
      <c r="U7" s="42"/>
      <c r="V7" s="43"/>
      <c r="W7" s="43"/>
      <c r="X7" s="43"/>
      <c r="Y7" s="43"/>
      <c r="Z7" s="43"/>
    </row>
    <row r="8" spans="1:26" ht="27" customHeight="1">
      <c r="A8" s="33" t="s">
        <v>16</v>
      </c>
      <c r="B8" s="34"/>
      <c r="C8" s="33"/>
      <c r="D8" s="34">
        <v>15.875</v>
      </c>
      <c r="E8" s="34">
        <v>62</v>
      </c>
      <c r="F8" s="34">
        <v>560</v>
      </c>
      <c r="G8" s="35">
        <v>1559</v>
      </c>
      <c r="H8" s="44"/>
      <c r="I8" s="37">
        <f t="shared" si="0"/>
        <v>0.85928961999999998</v>
      </c>
      <c r="J8" s="37">
        <f t="shared" si="1"/>
        <v>30.345812930299996</v>
      </c>
      <c r="K8" s="38">
        <v>16000</v>
      </c>
      <c r="L8" s="39">
        <f t="shared" si="2"/>
        <v>13748.63392</v>
      </c>
      <c r="M8" s="40" t="s">
        <v>22</v>
      </c>
      <c r="N8" s="41" t="s">
        <v>23</v>
      </c>
      <c r="O8" s="42"/>
      <c r="P8" s="42"/>
      <c r="Q8" s="42"/>
      <c r="R8" s="42"/>
      <c r="S8" s="42"/>
      <c r="T8" s="42"/>
      <c r="U8" s="42"/>
      <c r="V8" s="43"/>
      <c r="W8" s="43"/>
      <c r="X8" s="43"/>
      <c r="Y8" s="43"/>
      <c r="Z8" s="43"/>
    </row>
    <row r="9" spans="1:26" ht="27" customHeight="1">
      <c r="A9" s="34" t="s">
        <v>16</v>
      </c>
      <c r="B9" s="34"/>
      <c r="C9" s="34"/>
      <c r="D9" s="34">
        <v>15.875</v>
      </c>
      <c r="E9" s="34">
        <v>62</v>
      </c>
      <c r="F9" s="34">
        <v>560</v>
      </c>
      <c r="G9" s="35">
        <v>508</v>
      </c>
      <c r="H9" s="45"/>
      <c r="I9" s="46">
        <f t="shared" si="0"/>
        <v>0.27999943999999999</v>
      </c>
      <c r="J9" s="46">
        <f t="shared" si="1"/>
        <v>9.8881802235999992</v>
      </c>
      <c r="K9" s="47">
        <v>16000</v>
      </c>
      <c r="L9" s="48">
        <f t="shared" si="2"/>
        <v>4479.9910399999999</v>
      </c>
      <c r="M9" s="40" t="s">
        <v>22</v>
      </c>
      <c r="N9" s="41" t="s">
        <v>23</v>
      </c>
      <c r="O9" s="49"/>
      <c r="P9" s="49"/>
      <c r="Q9" s="49"/>
      <c r="R9" s="49"/>
      <c r="S9" s="49"/>
      <c r="T9" s="49"/>
      <c r="U9" s="49"/>
      <c r="V9" s="50"/>
      <c r="W9" s="50"/>
      <c r="X9" s="43"/>
      <c r="Y9" s="43"/>
      <c r="Z9" s="43"/>
    </row>
    <row r="10" spans="1:26" ht="27" customHeight="1">
      <c r="A10" s="34" t="s">
        <v>16</v>
      </c>
      <c r="B10" s="34"/>
      <c r="C10" s="34"/>
      <c r="D10" s="34">
        <v>15.875</v>
      </c>
      <c r="E10" s="34">
        <v>62</v>
      </c>
      <c r="F10" s="34">
        <v>540</v>
      </c>
      <c r="G10" s="35">
        <v>832</v>
      </c>
      <c r="H10" s="45"/>
      <c r="I10" s="46">
        <f t="shared" si="0"/>
        <v>0.44220384000000001</v>
      </c>
      <c r="J10" s="46">
        <f t="shared" si="1"/>
        <v>15.6164286096</v>
      </c>
      <c r="K10" s="47">
        <v>16000</v>
      </c>
      <c r="L10" s="48">
        <f t="shared" si="2"/>
        <v>7075.2614400000002</v>
      </c>
      <c r="M10" s="40" t="s">
        <v>22</v>
      </c>
      <c r="N10" s="41" t="s">
        <v>23</v>
      </c>
      <c r="O10" s="49"/>
      <c r="P10" s="49"/>
      <c r="Q10" s="49"/>
      <c r="R10" s="49"/>
      <c r="S10" s="49"/>
      <c r="T10" s="49"/>
      <c r="U10" s="49"/>
      <c r="V10" s="50"/>
      <c r="W10" s="50"/>
      <c r="X10" s="43"/>
      <c r="Y10" s="43"/>
      <c r="Z10" s="43"/>
    </row>
    <row r="11" spans="1:26" ht="27" customHeight="1">
      <c r="A11" s="34" t="s">
        <v>16</v>
      </c>
      <c r="B11" s="34"/>
      <c r="C11" s="34"/>
      <c r="D11" s="34">
        <v>15.875</v>
      </c>
      <c r="E11" s="34">
        <v>52</v>
      </c>
      <c r="F11" s="34">
        <v>490</v>
      </c>
      <c r="G11" s="35">
        <v>1017</v>
      </c>
      <c r="H11" s="45"/>
      <c r="I11" s="46">
        <f t="shared" si="0"/>
        <v>0.41137141500000002</v>
      </c>
      <c r="J11" s="46">
        <f t="shared" si="1"/>
        <v>14.527581520725001</v>
      </c>
      <c r="K11" s="47">
        <v>16000</v>
      </c>
      <c r="L11" s="48">
        <f t="shared" si="2"/>
        <v>6581.9426400000002</v>
      </c>
      <c r="M11" s="40" t="s">
        <v>22</v>
      </c>
      <c r="N11" s="41" t="s">
        <v>23</v>
      </c>
      <c r="O11" s="49"/>
      <c r="P11" s="49"/>
      <c r="Q11" s="49"/>
      <c r="R11" s="49"/>
      <c r="S11" s="49"/>
      <c r="T11" s="49"/>
      <c r="U11" s="49"/>
      <c r="V11" s="50"/>
      <c r="W11" s="50"/>
      <c r="X11" s="43"/>
      <c r="Y11" s="43"/>
      <c r="Z11" s="43"/>
    </row>
    <row r="12" spans="1:26" ht="27" customHeight="1">
      <c r="A12" s="34" t="s">
        <v>16</v>
      </c>
      <c r="B12" s="34"/>
      <c r="C12" s="34"/>
      <c r="D12" s="34">
        <v>15.875</v>
      </c>
      <c r="E12" s="34">
        <v>75</v>
      </c>
      <c r="F12" s="34">
        <v>390</v>
      </c>
      <c r="G12" s="35">
        <v>381</v>
      </c>
      <c r="H12" s="45"/>
      <c r="I12" s="46">
        <f t="shared" si="0"/>
        <v>0.17691496875000001</v>
      </c>
      <c r="J12" s="46">
        <f t="shared" si="1"/>
        <v>6.2477521214062497</v>
      </c>
      <c r="K12" s="47">
        <v>16000</v>
      </c>
      <c r="L12" s="48">
        <f t="shared" si="2"/>
        <v>2830.6395000000002</v>
      </c>
      <c r="M12" s="40" t="s">
        <v>22</v>
      </c>
      <c r="N12" s="41" t="s">
        <v>23</v>
      </c>
      <c r="O12" s="49"/>
      <c r="P12" s="49"/>
      <c r="Q12" s="49"/>
      <c r="R12" s="49"/>
      <c r="S12" s="49"/>
      <c r="T12" s="49"/>
      <c r="U12" s="49"/>
      <c r="V12" s="50"/>
      <c r="W12" s="50"/>
      <c r="X12" s="43"/>
      <c r="Y12" s="43"/>
      <c r="Z12" s="43"/>
    </row>
    <row r="13" spans="1:26" ht="27" customHeight="1">
      <c r="A13" s="34" t="s">
        <v>16</v>
      </c>
      <c r="B13" s="34"/>
      <c r="C13" s="34"/>
      <c r="D13" s="34">
        <v>15.875</v>
      </c>
      <c r="E13" s="34">
        <v>72</v>
      </c>
      <c r="F13" s="34">
        <v>490</v>
      </c>
      <c r="G13" s="35">
        <v>281</v>
      </c>
      <c r="H13" s="45"/>
      <c r="I13" s="46">
        <f t="shared" si="0"/>
        <v>0.15737967</v>
      </c>
      <c r="J13" s="46">
        <f t="shared" si="1"/>
        <v>5.5578630460499996</v>
      </c>
      <c r="K13" s="47">
        <v>16000</v>
      </c>
      <c r="L13" s="48">
        <f t="shared" si="2"/>
        <v>2518.0747200000001</v>
      </c>
      <c r="M13" s="40" t="s">
        <v>22</v>
      </c>
      <c r="N13" s="41" t="s">
        <v>23</v>
      </c>
      <c r="O13" s="49"/>
      <c r="P13" s="49"/>
      <c r="Q13" s="49"/>
      <c r="R13" s="49"/>
      <c r="S13" s="49"/>
      <c r="T13" s="49"/>
      <c r="U13" s="49"/>
      <c r="V13" s="50"/>
      <c r="W13" s="50"/>
      <c r="X13" s="43"/>
      <c r="Y13" s="43"/>
      <c r="Z13" s="43"/>
    </row>
    <row r="14" spans="1:26" ht="27" customHeight="1">
      <c r="A14" s="34" t="s">
        <v>16</v>
      </c>
      <c r="B14" s="34"/>
      <c r="C14" s="34"/>
      <c r="D14" s="34">
        <v>15.875</v>
      </c>
      <c r="E14" s="34">
        <v>62</v>
      </c>
      <c r="F14" s="34">
        <v>560</v>
      </c>
      <c r="G14" s="35">
        <v>786</v>
      </c>
      <c r="H14" s="45"/>
      <c r="I14" s="46">
        <f t="shared" si="0"/>
        <v>0.43322748</v>
      </c>
      <c r="J14" s="46">
        <f t="shared" si="1"/>
        <v>15.299428456199999</v>
      </c>
      <c r="K14" s="47">
        <v>16000</v>
      </c>
      <c r="L14" s="48">
        <f t="shared" si="2"/>
        <v>6931.6396800000002</v>
      </c>
      <c r="M14" s="40" t="s">
        <v>22</v>
      </c>
      <c r="N14" s="41" t="s">
        <v>23</v>
      </c>
      <c r="O14" s="49"/>
      <c r="P14" s="49"/>
      <c r="Q14" s="49"/>
      <c r="R14" s="49"/>
      <c r="S14" s="49"/>
      <c r="T14" s="49"/>
      <c r="U14" s="49"/>
      <c r="V14" s="50"/>
      <c r="W14" s="50"/>
      <c r="X14" s="202"/>
      <c r="Y14" s="202"/>
      <c r="Z14" s="202"/>
    </row>
    <row r="15" spans="1:26" ht="27" customHeight="1">
      <c r="A15" s="34" t="s">
        <v>16</v>
      </c>
      <c r="B15" s="34"/>
      <c r="C15" s="34"/>
      <c r="D15" s="34">
        <v>15.875</v>
      </c>
      <c r="E15" s="34">
        <v>62</v>
      </c>
      <c r="F15" s="34">
        <v>490</v>
      </c>
      <c r="G15" s="35">
        <v>1023</v>
      </c>
      <c r="H15" s="45"/>
      <c r="I15" s="46">
        <f t="shared" si="0"/>
        <v>0.49337499750000002</v>
      </c>
      <c r="J15" s="46">
        <f t="shared" si="1"/>
        <v>17.4235380367125</v>
      </c>
      <c r="K15" s="47">
        <v>16000</v>
      </c>
      <c r="L15" s="48">
        <f t="shared" si="2"/>
        <v>7893.9999600000001</v>
      </c>
      <c r="M15" s="40" t="s">
        <v>22</v>
      </c>
      <c r="N15" s="41" t="s">
        <v>23</v>
      </c>
      <c r="O15" s="49"/>
      <c r="P15" s="49"/>
      <c r="Q15" s="49"/>
      <c r="R15" s="49"/>
      <c r="S15" s="49"/>
      <c r="T15" s="49"/>
      <c r="U15" s="49"/>
      <c r="V15" s="50"/>
      <c r="W15" s="50"/>
      <c r="X15" s="202"/>
      <c r="Y15" s="202"/>
      <c r="Z15" s="202"/>
    </row>
    <row r="16" spans="1:26" ht="27" customHeight="1">
      <c r="A16" s="34" t="s">
        <v>16</v>
      </c>
      <c r="B16" s="34"/>
      <c r="C16" s="34"/>
      <c r="D16" s="34">
        <v>15.875</v>
      </c>
      <c r="E16" s="34">
        <v>52</v>
      </c>
      <c r="F16" s="34">
        <v>390</v>
      </c>
      <c r="G16" s="35">
        <v>1374</v>
      </c>
      <c r="H16" s="45"/>
      <c r="I16" s="46">
        <f t="shared" si="0"/>
        <v>0.44235243000000002</v>
      </c>
      <c r="J16" s="46">
        <f t="shared" si="1"/>
        <v>15.62167606545</v>
      </c>
      <c r="K16" s="47">
        <v>16000</v>
      </c>
      <c r="L16" s="48">
        <f t="shared" si="2"/>
        <v>7077.6388800000004</v>
      </c>
      <c r="M16" s="40" t="s">
        <v>22</v>
      </c>
      <c r="N16" s="41" t="s">
        <v>23</v>
      </c>
      <c r="O16" s="49"/>
      <c r="P16" s="49"/>
      <c r="Q16" s="49"/>
      <c r="R16" s="49"/>
      <c r="S16" s="49"/>
      <c r="T16" s="49"/>
      <c r="U16" s="49"/>
      <c r="V16" s="50"/>
      <c r="W16" s="50"/>
      <c r="X16" s="202"/>
      <c r="Y16" s="202"/>
      <c r="Z16" s="202"/>
    </row>
    <row r="17" spans="1:26" ht="27" customHeight="1">
      <c r="A17" s="34" t="s">
        <v>16</v>
      </c>
      <c r="B17" s="34"/>
      <c r="C17" s="34"/>
      <c r="D17" s="34">
        <v>15.875</v>
      </c>
      <c r="E17" s="34">
        <v>75</v>
      </c>
      <c r="F17" s="34">
        <v>320</v>
      </c>
      <c r="G17" s="35">
        <v>1480</v>
      </c>
      <c r="H17" s="45"/>
      <c r="I17" s="46">
        <f t="shared" si="0"/>
        <v>0.56388000000000005</v>
      </c>
      <c r="J17" s="46">
        <f t="shared" si="1"/>
        <v>19.913422199999999</v>
      </c>
      <c r="K17" s="47">
        <v>16000</v>
      </c>
      <c r="L17" s="48">
        <f t="shared" si="2"/>
        <v>9022.08</v>
      </c>
      <c r="M17" s="40" t="s">
        <v>22</v>
      </c>
      <c r="N17" s="41" t="s">
        <v>23</v>
      </c>
      <c r="O17" s="49"/>
      <c r="P17" s="49"/>
      <c r="Q17" s="49"/>
      <c r="R17" s="49"/>
      <c r="S17" s="49"/>
      <c r="T17" s="49"/>
      <c r="U17" s="49"/>
      <c r="V17" s="50"/>
      <c r="W17" s="50"/>
      <c r="X17" s="202"/>
      <c r="Y17" s="202"/>
      <c r="Z17" s="202"/>
    </row>
    <row r="18" spans="1:26" ht="27" customHeight="1">
      <c r="A18" s="34" t="s">
        <v>16</v>
      </c>
      <c r="B18" s="34"/>
      <c r="C18" s="34"/>
      <c r="D18" s="34">
        <v>15.875</v>
      </c>
      <c r="E18" s="34">
        <v>75</v>
      </c>
      <c r="F18" s="34">
        <v>320</v>
      </c>
      <c r="G18" s="35">
        <v>1049</v>
      </c>
      <c r="H18" s="45"/>
      <c r="I18" s="46">
        <f t="shared" si="0"/>
        <v>0.399669</v>
      </c>
      <c r="J18" s="46">
        <f t="shared" si="1"/>
        <v>14.114310734999998</v>
      </c>
      <c r="K18" s="47">
        <v>16000</v>
      </c>
      <c r="L18" s="48">
        <f t="shared" si="2"/>
        <v>6394.7039999999997</v>
      </c>
      <c r="M18" s="40" t="s">
        <v>22</v>
      </c>
      <c r="N18" s="41" t="s">
        <v>23</v>
      </c>
      <c r="O18" s="49"/>
      <c r="P18" s="49"/>
      <c r="Q18" s="49"/>
      <c r="R18" s="49"/>
      <c r="S18" s="49"/>
      <c r="T18" s="49"/>
      <c r="U18" s="49"/>
      <c r="V18" s="50"/>
      <c r="W18" s="50"/>
      <c r="X18" s="202"/>
      <c r="Y18" s="202"/>
      <c r="Z18" s="202"/>
    </row>
    <row r="19" spans="1:26" ht="27" customHeight="1">
      <c r="A19" s="34" t="s">
        <v>16</v>
      </c>
      <c r="B19" s="34"/>
      <c r="C19" s="34"/>
      <c r="D19" s="34">
        <v>15.875</v>
      </c>
      <c r="E19" s="34">
        <v>48</v>
      </c>
      <c r="F19" s="34">
        <v>490</v>
      </c>
      <c r="G19" s="35">
        <v>760</v>
      </c>
      <c r="H19" s="45"/>
      <c r="I19" s="46">
        <f t="shared" si="0"/>
        <v>0.28376879999999999</v>
      </c>
      <c r="J19" s="46">
        <f t="shared" si="1"/>
        <v>10.021295171999999</v>
      </c>
      <c r="K19" s="47">
        <v>16000</v>
      </c>
      <c r="L19" s="48">
        <f t="shared" si="2"/>
        <v>4540.3008</v>
      </c>
      <c r="M19" s="40" t="s">
        <v>22</v>
      </c>
      <c r="N19" s="41" t="s">
        <v>23</v>
      </c>
      <c r="O19" s="49"/>
      <c r="P19" s="49"/>
      <c r="Q19" s="49"/>
      <c r="R19" s="49"/>
      <c r="S19" s="49"/>
      <c r="T19" s="49"/>
      <c r="U19" s="49"/>
      <c r="V19" s="50"/>
      <c r="W19" s="50"/>
      <c r="X19" s="202"/>
      <c r="Y19" s="202"/>
      <c r="Z19" s="202"/>
    </row>
    <row r="20" spans="1:26" ht="27" customHeight="1">
      <c r="A20" s="34" t="s">
        <v>16</v>
      </c>
      <c r="B20" s="34"/>
      <c r="C20" s="34"/>
      <c r="D20" s="34">
        <v>15.875</v>
      </c>
      <c r="E20" s="34">
        <v>52</v>
      </c>
      <c r="F20" s="34">
        <v>320</v>
      </c>
      <c r="G20" s="35">
        <v>3170</v>
      </c>
      <c r="H20" s="45"/>
      <c r="I20" s="46">
        <f t="shared" si="0"/>
        <v>0.8373872</v>
      </c>
      <c r="J20" s="46">
        <f t="shared" si="1"/>
        <v>29.572328967999997</v>
      </c>
      <c r="K20" s="47">
        <v>16000</v>
      </c>
      <c r="L20" s="48">
        <f t="shared" si="2"/>
        <v>13398.1952</v>
      </c>
      <c r="M20" s="40" t="s">
        <v>22</v>
      </c>
      <c r="N20" s="41" t="s">
        <v>23</v>
      </c>
      <c r="O20" s="49"/>
      <c r="P20" s="49"/>
      <c r="Q20" s="49"/>
      <c r="R20" s="49"/>
      <c r="S20" s="49"/>
      <c r="T20" s="49"/>
      <c r="U20" s="49"/>
      <c r="V20" s="50"/>
      <c r="W20" s="50"/>
      <c r="X20" s="202"/>
      <c r="Y20" s="202"/>
      <c r="Z20" s="202"/>
    </row>
    <row r="21" spans="1:26" ht="27" customHeight="1">
      <c r="A21" s="34" t="s">
        <v>16</v>
      </c>
      <c r="B21" s="34"/>
      <c r="C21" s="34"/>
      <c r="D21" s="34">
        <v>15.875</v>
      </c>
      <c r="E21" s="34">
        <v>62</v>
      </c>
      <c r="F21" s="34">
        <v>490</v>
      </c>
      <c r="G21" s="35">
        <v>1532</v>
      </c>
      <c r="H21" s="45"/>
      <c r="I21" s="46">
        <f t="shared" si="0"/>
        <v>0.73885679000000004</v>
      </c>
      <c r="J21" s="46">
        <f t="shared" si="1"/>
        <v>26.092727538849999</v>
      </c>
      <c r="K21" s="47">
        <v>16000</v>
      </c>
      <c r="L21" s="48">
        <f t="shared" si="2"/>
        <v>11821.708640000001</v>
      </c>
      <c r="M21" s="40" t="s">
        <v>22</v>
      </c>
      <c r="N21" s="41" t="s">
        <v>23</v>
      </c>
      <c r="O21" s="49"/>
      <c r="P21" s="49"/>
      <c r="Q21" s="49"/>
      <c r="R21" s="49"/>
      <c r="S21" s="49"/>
      <c r="T21" s="49"/>
      <c r="U21" s="49"/>
      <c r="V21" s="50"/>
      <c r="W21" s="50"/>
      <c r="X21" s="202"/>
      <c r="Y21" s="202"/>
      <c r="Z21" s="202"/>
    </row>
    <row r="22" spans="1:26" ht="27" customHeight="1">
      <c r="A22" s="34" t="s">
        <v>16</v>
      </c>
      <c r="B22" s="34"/>
      <c r="C22" s="34"/>
      <c r="D22" s="34">
        <v>15.875</v>
      </c>
      <c r="E22" s="34">
        <v>62</v>
      </c>
      <c r="F22" s="34">
        <v>490</v>
      </c>
      <c r="G22" s="35">
        <v>1648</v>
      </c>
      <c r="H22" s="45"/>
      <c r="I22" s="46">
        <f t="shared" si="0"/>
        <v>0.79480156000000002</v>
      </c>
      <c r="J22" s="46">
        <f t="shared" si="1"/>
        <v>28.068417091399997</v>
      </c>
      <c r="K22" s="47">
        <v>16000</v>
      </c>
      <c r="L22" s="48">
        <f t="shared" si="2"/>
        <v>12716.82496</v>
      </c>
      <c r="M22" s="40" t="s">
        <v>22</v>
      </c>
      <c r="N22" s="41" t="s">
        <v>23</v>
      </c>
      <c r="O22" s="49"/>
      <c r="P22" s="49"/>
      <c r="Q22" s="49"/>
      <c r="R22" s="49"/>
      <c r="S22" s="49"/>
      <c r="T22" s="49"/>
      <c r="U22" s="49"/>
      <c r="V22" s="50"/>
      <c r="W22" s="50"/>
      <c r="X22" s="202"/>
      <c r="Y22" s="202"/>
      <c r="Z22" s="202"/>
    </row>
    <row r="23" spans="1:26" ht="27" customHeight="1">
      <c r="A23" s="34" t="s">
        <v>16</v>
      </c>
      <c r="B23" s="34"/>
      <c r="C23" s="34"/>
      <c r="D23" s="34">
        <v>15.875</v>
      </c>
      <c r="E23" s="34">
        <v>62</v>
      </c>
      <c r="F23" s="34">
        <v>390</v>
      </c>
      <c r="G23" s="35">
        <v>482</v>
      </c>
      <c r="H23" s="45"/>
      <c r="I23" s="46">
        <f t="shared" si="0"/>
        <v>0.18501931499999999</v>
      </c>
      <c r="J23" s="46">
        <f t="shared" si="1"/>
        <v>6.5339571092249988</v>
      </c>
      <c r="K23" s="47">
        <v>16000</v>
      </c>
      <c r="L23" s="48">
        <f t="shared" si="2"/>
        <v>2960.3090399999996</v>
      </c>
      <c r="M23" s="40" t="s">
        <v>22</v>
      </c>
      <c r="N23" s="41" t="s">
        <v>23</v>
      </c>
      <c r="O23" s="49"/>
      <c r="P23" s="49"/>
      <c r="Q23" s="49"/>
      <c r="R23" s="49"/>
      <c r="S23" s="49"/>
      <c r="T23" s="49"/>
      <c r="U23" s="49"/>
      <c r="V23" s="50"/>
      <c r="W23" s="50"/>
      <c r="X23" s="202"/>
      <c r="Y23" s="202"/>
      <c r="Z23" s="202"/>
    </row>
    <row r="24" spans="1:26" ht="27" customHeight="1">
      <c r="A24" s="34" t="s">
        <v>16</v>
      </c>
      <c r="B24" s="34"/>
      <c r="C24" s="34"/>
      <c r="D24" s="34">
        <v>15.875</v>
      </c>
      <c r="E24" s="34">
        <v>75</v>
      </c>
      <c r="F24" s="34">
        <v>320</v>
      </c>
      <c r="G24" s="35">
        <v>2391</v>
      </c>
      <c r="H24" s="45"/>
      <c r="I24" s="46">
        <f t="shared" si="0"/>
        <v>0.91097099999999998</v>
      </c>
      <c r="J24" s="46">
        <f t="shared" si="1"/>
        <v>32.170940864999999</v>
      </c>
      <c r="K24" s="47">
        <v>16000</v>
      </c>
      <c r="L24" s="48">
        <f t="shared" si="2"/>
        <v>14575.536</v>
      </c>
      <c r="M24" s="40" t="s">
        <v>22</v>
      </c>
      <c r="N24" s="41" t="s">
        <v>23</v>
      </c>
      <c r="O24" s="49"/>
      <c r="P24" s="49"/>
      <c r="Q24" s="49"/>
      <c r="R24" s="49"/>
      <c r="S24" s="49"/>
      <c r="T24" s="49"/>
      <c r="U24" s="49"/>
      <c r="V24" s="50"/>
      <c r="W24" s="50"/>
      <c r="X24" s="202"/>
      <c r="Y24" s="202"/>
      <c r="Z24" s="202"/>
    </row>
    <row r="25" spans="1:26" ht="27" customHeight="1">
      <c r="A25" s="34" t="s">
        <v>16</v>
      </c>
      <c r="B25" s="34"/>
      <c r="C25" s="34"/>
      <c r="D25" s="34">
        <v>15.875</v>
      </c>
      <c r="E25" s="34">
        <v>52</v>
      </c>
      <c r="F25" s="34">
        <v>320</v>
      </c>
      <c r="G25" s="35">
        <v>2080</v>
      </c>
      <c r="H25" s="45"/>
      <c r="I25" s="46">
        <f t="shared" si="0"/>
        <v>0.54945279999999996</v>
      </c>
      <c r="J25" s="46">
        <f t="shared" si="1"/>
        <v>19.403925631999996</v>
      </c>
      <c r="K25" s="47">
        <v>16000</v>
      </c>
      <c r="L25" s="48">
        <f t="shared" si="2"/>
        <v>8791.2447999999986</v>
      </c>
      <c r="M25" s="40" t="s">
        <v>22</v>
      </c>
      <c r="N25" s="41" t="s">
        <v>23</v>
      </c>
      <c r="O25" s="49"/>
      <c r="P25" s="49"/>
      <c r="Q25" s="49"/>
      <c r="R25" s="49"/>
      <c r="S25" s="49"/>
      <c r="T25" s="49"/>
      <c r="U25" s="49"/>
      <c r="V25" s="50"/>
      <c r="W25" s="50"/>
      <c r="X25" s="202"/>
      <c r="Y25" s="202"/>
      <c r="Z25" s="202"/>
    </row>
    <row r="26" spans="1:26" ht="27" customHeight="1">
      <c r="A26" s="34" t="s">
        <v>16</v>
      </c>
      <c r="B26" s="34"/>
      <c r="C26" s="34"/>
      <c r="D26" s="34">
        <v>15.875</v>
      </c>
      <c r="E26" s="34">
        <v>62</v>
      </c>
      <c r="F26" s="34">
        <v>320</v>
      </c>
      <c r="G26" s="35">
        <v>959</v>
      </c>
      <c r="H26" s="45"/>
      <c r="I26" s="46">
        <f t="shared" si="0"/>
        <v>0.30204663999999998</v>
      </c>
      <c r="J26" s="46">
        <f t="shared" si="1"/>
        <v>10.666777091599998</v>
      </c>
      <c r="K26" s="47">
        <v>16000</v>
      </c>
      <c r="L26" s="48">
        <f t="shared" si="2"/>
        <v>4832.7462399999995</v>
      </c>
      <c r="M26" s="40" t="s">
        <v>22</v>
      </c>
      <c r="N26" s="41" t="s">
        <v>23</v>
      </c>
      <c r="O26" s="49"/>
      <c r="P26" s="49"/>
      <c r="Q26" s="49"/>
      <c r="R26" s="49"/>
      <c r="S26" s="49"/>
      <c r="T26" s="49"/>
      <c r="U26" s="49"/>
      <c r="V26" s="50"/>
      <c r="W26" s="50"/>
      <c r="X26" s="43"/>
      <c r="Y26" s="43"/>
      <c r="Z26" s="43"/>
    </row>
    <row r="27" spans="1:26" ht="27" customHeight="1">
      <c r="A27" s="34" t="s">
        <v>16</v>
      </c>
      <c r="B27" s="34"/>
      <c r="C27" s="34"/>
      <c r="D27" s="34">
        <v>15.875</v>
      </c>
      <c r="E27" s="34">
        <v>72</v>
      </c>
      <c r="F27" s="34">
        <v>490</v>
      </c>
      <c r="G27" s="35">
        <v>157</v>
      </c>
      <c r="H27" s="45"/>
      <c r="I27" s="46">
        <f t="shared" si="0"/>
        <v>8.7930990000000001E-2</v>
      </c>
      <c r="J27" s="46">
        <f t="shared" si="1"/>
        <v>3.1052829118499998</v>
      </c>
      <c r="K27" s="47">
        <v>16000</v>
      </c>
      <c r="L27" s="48">
        <f t="shared" si="2"/>
        <v>1406.8958399999999</v>
      </c>
      <c r="M27" s="40" t="s">
        <v>22</v>
      </c>
      <c r="N27" s="41" t="s">
        <v>23</v>
      </c>
      <c r="O27" s="49"/>
      <c r="P27" s="49"/>
      <c r="Q27" s="49"/>
      <c r="R27" s="49"/>
      <c r="S27" s="49"/>
      <c r="T27" s="49"/>
      <c r="U27" s="49"/>
      <c r="V27" s="50"/>
      <c r="W27" s="50"/>
      <c r="X27" s="43"/>
      <c r="Y27" s="43"/>
      <c r="Z27" s="43"/>
    </row>
    <row r="28" spans="1:26" ht="27" customHeight="1">
      <c r="A28" s="33" t="s">
        <v>16</v>
      </c>
      <c r="B28" s="34"/>
      <c r="C28" s="33"/>
      <c r="D28" s="34">
        <v>15.875</v>
      </c>
      <c r="E28" s="34">
        <v>52</v>
      </c>
      <c r="F28" s="34">
        <v>390</v>
      </c>
      <c r="G28" s="35">
        <v>808</v>
      </c>
      <c r="H28" s="36"/>
      <c r="I28" s="37">
        <f t="shared" si="0"/>
        <v>0.26013155999999998</v>
      </c>
      <c r="J28" s="37">
        <f t="shared" si="1"/>
        <v>9.186546041399998</v>
      </c>
      <c r="K28" s="38">
        <v>16000</v>
      </c>
      <c r="L28" s="39">
        <f t="shared" si="2"/>
        <v>4162.1049599999997</v>
      </c>
      <c r="M28" s="40" t="s">
        <v>22</v>
      </c>
      <c r="N28" s="41" t="s">
        <v>23</v>
      </c>
      <c r="O28" s="42"/>
      <c r="P28" s="42"/>
      <c r="Q28" s="42"/>
      <c r="R28" s="42"/>
      <c r="S28" s="42"/>
      <c r="T28" s="42"/>
      <c r="U28" s="42"/>
      <c r="V28" s="43"/>
      <c r="W28" s="43"/>
      <c r="X28" s="43"/>
      <c r="Y28" s="43"/>
      <c r="Z28" s="43"/>
    </row>
    <row r="29" spans="1:26" ht="27" customHeight="1">
      <c r="A29" s="33" t="s">
        <v>16</v>
      </c>
      <c r="B29" s="34"/>
      <c r="C29" s="33"/>
      <c r="D29" s="34">
        <v>15.875</v>
      </c>
      <c r="E29" s="34">
        <v>52</v>
      </c>
      <c r="F29" s="34">
        <v>320</v>
      </c>
      <c r="G29" s="35">
        <v>1095</v>
      </c>
      <c r="H29" s="44"/>
      <c r="I29" s="37">
        <f t="shared" si="0"/>
        <v>0.28925519999999999</v>
      </c>
      <c r="J29" s="37">
        <f t="shared" si="1"/>
        <v>10.215047387999999</v>
      </c>
      <c r="K29" s="38">
        <v>16000</v>
      </c>
      <c r="L29" s="39">
        <f t="shared" si="2"/>
        <v>4628.0832</v>
      </c>
      <c r="M29" s="40" t="s">
        <v>22</v>
      </c>
      <c r="N29" s="41" t="s">
        <v>23</v>
      </c>
      <c r="O29" s="42"/>
      <c r="P29" s="42"/>
      <c r="Q29" s="42"/>
      <c r="R29" s="42"/>
      <c r="S29" s="42"/>
      <c r="T29" s="42"/>
      <c r="U29" s="42"/>
      <c r="V29" s="43"/>
      <c r="W29" s="43"/>
      <c r="X29" s="43"/>
      <c r="Y29" s="43"/>
      <c r="Z29" s="43"/>
    </row>
    <row r="30" spans="1:26" ht="27" customHeight="1">
      <c r="A30" s="34" t="s">
        <v>16</v>
      </c>
      <c r="B30" s="34"/>
      <c r="C30" s="34"/>
      <c r="D30" s="34">
        <v>15.875</v>
      </c>
      <c r="E30" s="34">
        <v>52</v>
      </c>
      <c r="F30" s="34">
        <v>490</v>
      </c>
      <c r="G30" s="35">
        <v>1940</v>
      </c>
      <c r="H30" s="45"/>
      <c r="I30" s="46">
        <f t="shared" si="0"/>
        <v>0.78472030000000004</v>
      </c>
      <c r="J30" s="46">
        <f t="shared" si="1"/>
        <v>27.712397394499998</v>
      </c>
      <c r="K30" s="47">
        <v>16000</v>
      </c>
      <c r="L30" s="48">
        <f t="shared" si="2"/>
        <v>12555.524800000001</v>
      </c>
      <c r="M30" s="40" t="s">
        <v>22</v>
      </c>
      <c r="N30" s="41" t="s">
        <v>23</v>
      </c>
      <c r="O30" s="49"/>
      <c r="P30" s="49"/>
      <c r="Q30" s="49"/>
      <c r="R30" s="49"/>
      <c r="S30" s="49"/>
      <c r="T30" s="49"/>
      <c r="U30" s="49"/>
      <c r="V30" s="50"/>
      <c r="W30" s="50"/>
      <c r="X30" s="43"/>
      <c r="Y30" s="43"/>
      <c r="Z30" s="43"/>
    </row>
    <row r="31" spans="1:26" ht="27" customHeight="1">
      <c r="A31" s="34" t="s">
        <v>16</v>
      </c>
      <c r="B31" s="34"/>
      <c r="C31" s="34"/>
      <c r="D31" s="34">
        <v>15.875</v>
      </c>
      <c r="E31" s="34">
        <v>75</v>
      </c>
      <c r="F31" s="34">
        <v>490</v>
      </c>
      <c r="G31" s="35">
        <v>194</v>
      </c>
      <c r="H31" s="45"/>
      <c r="I31" s="46">
        <f t="shared" si="0"/>
        <v>0.11318081250000001</v>
      </c>
      <c r="J31" s="46">
        <f t="shared" si="1"/>
        <v>3.9969803934375001</v>
      </c>
      <c r="K31" s="47">
        <v>16000</v>
      </c>
      <c r="L31" s="48">
        <f t="shared" si="2"/>
        <v>1810.893</v>
      </c>
      <c r="M31" s="40" t="s">
        <v>22</v>
      </c>
      <c r="N31" s="41" t="s">
        <v>23</v>
      </c>
      <c r="O31" s="49"/>
      <c r="P31" s="49"/>
      <c r="Q31" s="49"/>
      <c r="R31" s="49"/>
      <c r="S31" s="49"/>
      <c r="T31" s="49"/>
      <c r="U31" s="49"/>
      <c r="V31" s="50"/>
      <c r="W31" s="50"/>
      <c r="X31" s="43"/>
      <c r="Y31" s="43"/>
      <c r="Z31" s="43"/>
    </row>
    <row r="32" spans="1:26" ht="27" customHeight="1">
      <c r="A32" s="34" t="s">
        <v>16</v>
      </c>
      <c r="B32" s="34"/>
      <c r="C32" s="34"/>
      <c r="D32" s="34">
        <v>15.875</v>
      </c>
      <c r="E32" s="34">
        <v>75</v>
      </c>
      <c r="F32" s="34">
        <v>490</v>
      </c>
      <c r="G32" s="35">
        <v>651</v>
      </c>
      <c r="H32" s="45"/>
      <c r="I32" s="46">
        <f t="shared" si="0"/>
        <v>0.37979746874999998</v>
      </c>
      <c r="J32" s="46">
        <f t="shared" si="1"/>
        <v>13.412547608906248</v>
      </c>
      <c r="K32" s="47">
        <v>16000</v>
      </c>
      <c r="L32" s="48">
        <f t="shared" si="2"/>
        <v>6076.7594999999992</v>
      </c>
      <c r="M32" s="40" t="s">
        <v>22</v>
      </c>
      <c r="N32" s="41" t="s">
        <v>23</v>
      </c>
      <c r="O32" s="49"/>
      <c r="P32" s="49"/>
      <c r="Q32" s="49"/>
      <c r="R32" s="49"/>
      <c r="S32" s="49"/>
      <c r="T32" s="49"/>
      <c r="U32" s="49"/>
      <c r="V32" s="50"/>
      <c r="W32" s="50"/>
      <c r="X32" s="43"/>
      <c r="Y32" s="43"/>
      <c r="Z32" s="43"/>
    </row>
    <row r="33" spans="1:26" ht="27" customHeight="1">
      <c r="A33" s="34" t="s">
        <v>16</v>
      </c>
      <c r="B33" s="34"/>
      <c r="C33" s="34"/>
      <c r="D33" s="34">
        <v>15.875</v>
      </c>
      <c r="E33" s="34">
        <v>52</v>
      </c>
      <c r="F33" s="34">
        <v>560</v>
      </c>
      <c r="G33" s="35">
        <v>1373</v>
      </c>
      <c r="H33" s="45"/>
      <c r="I33" s="46">
        <f t="shared" si="0"/>
        <v>0.63471043999999999</v>
      </c>
      <c r="J33" s="46">
        <f t="shared" si="1"/>
        <v>22.414799188599996</v>
      </c>
      <c r="K33" s="47">
        <v>16000</v>
      </c>
      <c r="L33" s="48">
        <f t="shared" si="2"/>
        <v>10155.367039999999</v>
      </c>
      <c r="M33" s="40" t="s">
        <v>22</v>
      </c>
      <c r="N33" s="41" t="s">
        <v>23</v>
      </c>
      <c r="O33" s="49"/>
      <c r="P33" s="49"/>
      <c r="Q33" s="49"/>
      <c r="R33" s="49"/>
      <c r="S33" s="49"/>
      <c r="T33" s="49"/>
      <c r="U33" s="49"/>
      <c r="V33" s="50"/>
      <c r="W33" s="50"/>
      <c r="X33" s="43"/>
      <c r="Y33" s="43"/>
      <c r="Z33" s="43"/>
    </row>
    <row r="34" spans="1:26" ht="27" customHeight="1">
      <c r="A34" s="34" t="s">
        <v>16</v>
      </c>
      <c r="B34" s="34"/>
      <c r="C34" s="34"/>
      <c r="D34" s="34">
        <v>15.875</v>
      </c>
      <c r="E34" s="34">
        <v>62</v>
      </c>
      <c r="F34" s="34">
        <v>560</v>
      </c>
      <c r="G34" s="35">
        <v>1532</v>
      </c>
      <c r="H34" s="45"/>
      <c r="I34" s="46">
        <f t="shared" si="0"/>
        <v>0.84440775999999995</v>
      </c>
      <c r="J34" s="46">
        <f t="shared" si="1"/>
        <v>29.820260044399998</v>
      </c>
      <c r="K34" s="47">
        <v>16000</v>
      </c>
      <c r="L34" s="48">
        <f t="shared" si="2"/>
        <v>13510.524159999999</v>
      </c>
      <c r="M34" s="40" t="s">
        <v>22</v>
      </c>
      <c r="N34" s="41" t="s">
        <v>23</v>
      </c>
      <c r="O34" s="49"/>
      <c r="P34" s="49"/>
      <c r="Q34" s="49"/>
      <c r="R34" s="49"/>
      <c r="S34" s="49"/>
      <c r="T34" s="49"/>
      <c r="U34" s="49"/>
      <c r="V34" s="50"/>
      <c r="W34" s="50"/>
      <c r="X34" s="43"/>
      <c r="Y34" s="43"/>
      <c r="Z34" s="43"/>
    </row>
    <row r="35" spans="1:26" ht="27" customHeight="1">
      <c r="A35" s="34" t="s">
        <v>16</v>
      </c>
      <c r="B35" s="34"/>
      <c r="C35" s="34"/>
      <c r="D35" s="34">
        <v>15.875</v>
      </c>
      <c r="E35" s="34">
        <v>62</v>
      </c>
      <c r="F35" s="34">
        <v>620</v>
      </c>
      <c r="G35" s="35">
        <v>646</v>
      </c>
      <c r="H35" s="45"/>
      <c r="I35" s="46">
        <f t="shared" si="0"/>
        <v>0.39421181</v>
      </c>
      <c r="J35" s="46">
        <f t="shared" si="1"/>
        <v>13.92159007015</v>
      </c>
      <c r="K35" s="47">
        <v>16000</v>
      </c>
      <c r="L35" s="48">
        <f t="shared" si="2"/>
        <v>6307.3889600000002</v>
      </c>
      <c r="M35" s="40" t="s">
        <v>22</v>
      </c>
      <c r="N35" s="41" t="s">
        <v>23</v>
      </c>
      <c r="O35" s="49"/>
      <c r="P35" s="49"/>
      <c r="Q35" s="49"/>
      <c r="R35" s="49"/>
      <c r="S35" s="49"/>
      <c r="T35" s="49"/>
      <c r="U35" s="49"/>
      <c r="V35" s="50"/>
      <c r="W35" s="50"/>
      <c r="X35" s="202"/>
      <c r="Y35" s="202"/>
      <c r="Z35" s="202"/>
    </row>
    <row r="36" spans="1:26" ht="27" customHeight="1">
      <c r="A36" s="34" t="s">
        <v>16</v>
      </c>
      <c r="B36" s="34"/>
      <c r="C36" s="34"/>
      <c r="D36" s="34">
        <v>15.875</v>
      </c>
      <c r="E36" s="34">
        <v>58</v>
      </c>
      <c r="F36" s="34">
        <v>620</v>
      </c>
      <c r="G36" s="35">
        <v>137</v>
      </c>
      <c r="H36" s="45"/>
      <c r="I36" s="46">
        <f t="shared" ref="I36:I61" si="3">D36*E36*F36*G36/1000000000</f>
        <v>7.8208504999999998E-2</v>
      </c>
      <c r="J36" s="46">
        <f t="shared" ref="J36:J61" si="4">I36*35.315</f>
        <v>2.761933354075</v>
      </c>
      <c r="K36" s="47">
        <v>16000</v>
      </c>
      <c r="L36" s="48">
        <f t="shared" ref="L36:L61" si="5">I36*K36</f>
        <v>1251.33608</v>
      </c>
      <c r="M36" s="40" t="s">
        <v>22</v>
      </c>
      <c r="N36" s="41" t="s">
        <v>23</v>
      </c>
      <c r="O36" s="49"/>
      <c r="P36" s="49"/>
      <c r="Q36" s="49"/>
      <c r="R36" s="49"/>
      <c r="S36" s="49"/>
      <c r="T36" s="49"/>
      <c r="U36" s="49"/>
      <c r="V36" s="50"/>
      <c r="W36" s="50"/>
      <c r="X36" s="202"/>
      <c r="Y36" s="202"/>
      <c r="Z36" s="202"/>
    </row>
    <row r="37" spans="1:26" ht="27" customHeight="1">
      <c r="A37" s="34" t="s">
        <v>16</v>
      </c>
      <c r="B37" s="34"/>
      <c r="C37" s="34"/>
      <c r="D37" s="34">
        <v>15.875</v>
      </c>
      <c r="E37" s="34">
        <v>75</v>
      </c>
      <c r="F37" s="34">
        <v>320</v>
      </c>
      <c r="G37" s="35">
        <v>1632</v>
      </c>
      <c r="H37" s="45"/>
      <c r="I37" s="46">
        <f t="shared" si="3"/>
        <v>0.62179200000000001</v>
      </c>
      <c r="J37" s="46">
        <f t="shared" si="4"/>
        <v>21.958584479999999</v>
      </c>
      <c r="K37" s="47">
        <v>16000</v>
      </c>
      <c r="L37" s="48">
        <f t="shared" si="5"/>
        <v>9948.6720000000005</v>
      </c>
      <c r="M37" s="40" t="s">
        <v>22</v>
      </c>
      <c r="N37" s="41" t="s">
        <v>23</v>
      </c>
      <c r="O37" s="49"/>
      <c r="P37" s="49"/>
      <c r="Q37" s="49"/>
      <c r="R37" s="49"/>
      <c r="S37" s="49"/>
      <c r="T37" s="49"/>
      <c r="U37" s="49"/>
      <c r="V37" s="50"/>
      <c r="W37" s="50"/>
      <c r="X37" s="202"/>
      <c r="Y37" s="202"/>
      <c r="Z37" s="202"/>
    </row>
    <row r="38" spans="1:26" ht="27" customHeight="1">
      <c r="A38" s="34" t="s">
        <v>16</v>
      </c>
      <c r="B38" s="34"/>
      <c r="C38" s="34"/>
      <c r="D38" s="34">
        <v>15.875</v>
      </c>
      <c r="E38" s="34">
        <v>62</v>
      </c>
      <c r="F38" s="34">
        <v>740</v>
      </c>
      <c r="G38" s="35">
        <v>596</v>
      </c>
      <c r="H38" s="45"/>
      <c r="I38" s="46">
        <f t="shared" si="3"/>
        <v>0.43409362000000001</v>
      </c>
      <c r="J38" s="46">
        <f t="shared" si="4"/>
        <v>15.3300161903</v>
      </c>
      <c r="K38" s="47">
        <v>16000</v>
      </c>
      <c r="L38" s="48">
        <f t="shared" si="5"/>
        <v>6945.4979199999998</v>
      </c>
      <c r="M38" s="40" t="s">
        <v>22</v>
      </c>
      <c r="N38" s="41" t="s">
        <v>23</v>
      </c>
      <c r="O38" s="49"/>
      <c r="P38" s="49"/>
      <c r="Q38" s="49"/>
      <c r="R38" s="49"/>
      <c r="S38" s="49"/>
      <c r="T38" s="49"/>
      <c r="U38" s="49"/>
      <c r="V38" s="50"/>
      <c r="W38" s="50"/>
      <c r="X38" s="202"/>
      <c r="Y38" s="202"/>
      <c r="Z38" s="202"/>
    </row>
    <row r="39" spans="1:26" ht="27" customHeight="1">
      <c r="A39" s="34" t="s">
        <v>16</v>
      </c>
      <c r="B39" s="34"/>
      <c r="C39" s="34"/>
      <c r="D39" s="34">
        <v>15.875</v>
      </c>
      <c r="E39" s="34">
        <v>58</v>
      </c>
      <c r="F39" s="34">
        <v>740</v>
      </c>
      <c r="G39" s="35">
        <v>187</v>
      </c>
      <c r="H39" s="45"/>
      <c r="I39" s="46">
        <f t="shared" si="3"/>
        <v>0.12741338499999999</v>
      </c>
      <c r="J39" s="46">
        <f t="shared" si="4"/>
        <v>4.4996036912749995</v>
      </c>
      <c r="K39" s="47">
        <v>16000</v>
      </c>
      <c r="L39" s="48">
        <f t="shared" si="5"/>
        <v>2038.6141599999999</v>
      </c>
      <c r="M39" s="40" t="s">
        <v>22</v>
      </c>
      <c r="N39" s="41" t="s">
        <v>23</v>
      </c>
      <c r="O39" s="49"/>
      <c r="P39" s="49"/>
      <c r="Q39" s="49"/>
      <c r="R39" s="49"/>
      <c r="S39" s="49"/>
      <c r="T39" s="49"/>
      <c r="U39" s="49"/>
      <c r="V39" s="50"/>
      <c r="W39" s="50"/>
      <c r="X39" s="202"/>
      <c r="Y39" s="202"/>
      <c r="Z39" s="202"/>
    </row>
    <row r="40" spans="1:26" ht="27" customHeight="1">
      <c r="A40" s="34" t="s">
        <v>16</v>
      </c>
      <c r="B40" s="34"/>
      <c r="C40" s="34"/>
      <c r="D40" s="34">
        <v>15.875</v>
      </c>
      <c r="E40" s="34">
        <v>52</v>
      </c>
      <c r="F40" s="34">
        <v>490</v>
      </c>
      <c r="G40" s="35">
        <v>966</v>
      </c>
      <c r="H40" s="45"/>
      <c r="I40" s="46">
        <f t="shared" si="3"/>
        <v>0.39074217</v>
      </c>
      <c r="J40" s="46">
        <f t="shared" si="4"/>
        <v>13.799059733549999</v>
      </c>
      <c r="K40" s="47">
        <v>16000</v>
      </c>
      <c r="L40" s="48">
        <f t="shared" si="5"/>
        <v>6251.8747199999998</v>
      </c>
      <c r="M40" s="40" t="s">
        <v>22</v>
      </c>
      <c r="N40" s="41" t="s">
        <v>23</v>
      </c>
      <c r="O40" s="49"/>
      <c r="P40" s="49"/>
      <c r="Q40" s="49"/>
      <c r="R40" s="49"/>
      <c r="S40" s="49"/>
      <c r="T40" s="49"/>
      <c r="U40" s="49"/>
      <c r="V40" s="50"/>
      <c r="W40" s="50"/>
      <c r="X40" s="202"/>
      <c r="Y40" s="202"/>
      <c r="Z40" s="202"/>
    </row>
    <row r="41" spans="1:26" ht="27" customHeight="1">
      <c r="A41" s="34" t="s">
        <v>16</v>
      </c>
      <c r="B41" s="34"/>
      <c r="C41" s="34"/>
      <c r="D41" s="34">
        <v>15.875</v>
      </c>
      <c r="E41" s="34">
        <v>52</v>
      </c>
      <c r="F41" s="34">
        <v>320</v>
      </c>
      <c r="G41" s="35">
        <v>962</v>
      </c>
      <c r="H41" s="45"/>
      <c r="I41" s="46">
        <f t="shared" si="3"/>
        <v>0.25412192</v>
      </c>
      <c r="J41" s="46">
        <f t="shared" si="4"/>
        <v>8.9743156047999992</v>
      </c>
      <c r="K41" s="47">
        <v>16000</v>
      </c>
      <c r="L41" s="48">
        <f t="shared" si="5"/>
        <v>4065.9507199999998</v>
      </c>
      <c r="M41" s="40" t="s">
        <v>22</v>
      </c>
      <c r="N41" s="41" t="s">
        <v>23</v>
      </c>
      <c r="O41" s="49"/>
      <c r="P41" s="49"/>
      <c r="Q41" s="49"/>
      <c r="R41" s="49"/>
      <c r="S41" s="49"/>
      <c r="T41" s="49"/>
      <c r="U41" s="49"/>
      <c r="V41" s="50"/>
      <c r="W41" s="50"/>
      <c r="X41" s="202"/>
      <c r="Y41" s="202"/>
      <c r="Z41" s="202"/>
    </row>
    <row r="42" spans="1:26" ht="27" customHeight="1">
      <c r="A42" s="34" t="s">
        <v>16</v>
      </c>
      <c r="B42" s="34"/>
      <c r="C42" s="34"/>
      <c r="D42" s="34">
        <v>15.875</v>
      </c>
      <c r="E42" s="34">
        <v>72</v>
      </c>
      <c r="F42" s="34">
        <v>320</v>
      </c>
      <c r="G42" s="35">
        <v>744</v>
      </c>
      <c r="H42" s="45"/>
      <c r="I42" s="46">
        <f t="shared" si="3"/>
        <v>0.27212544</v>
      </c>
      <c r="J42" s="46">
        <f t="shared" si="4"/>
        <v>9.6101099135999988</v>
      </c>
      <c r="K42" s="47">
        <v>16000</v>
      </c>
      <c r="L42" s="48">
        <f t="shared" si="5"/>
        <v>4354.0070399999995</v>
      </c>
      <c r="M42" s="40" t="s">
        <v>22</v>
      </c>
      <c r="N42" s="41" t="s">
        <v>23</v>
      </c>
      <c r="O42" s="49"/>
      <c r="P42" s="49"/>
      <c r="Q42" s="49"/>
      <c r="R42" s="49"/>
      <c r="S42" s="49"/>
      <c r="T42" s="49"/>
      <c r="U42" s="49"/>
      <c r="V42" s="50"/>
      <c r="W42" s="50"/>
      <c r="X42" s="202"/>
      <c r="Y42" s="202"/>
      <c r="Z42" s="202"/>
    </row>
    <row r="43" spans="1:26" ht="27" customHeight="1">
      <c r="A43" s="34" t="s">
        <v>16</v>
      </c>
      <c r="B43" s="34"/>
      <c r="C43" s="34"/>
      <c r="D43" s="34">
        <v>15.875</v>
      </c>
      <c r="E43" s="34">
        <v>75</v>
      </c>
      <c r="F43" s="34">
        <v>490</v>
      </c>
      <c r="G43" s="35">
        <v>575</v>
      </c>
      <c r="H43" s="45"/>
      <c r="I43" s="46">
        <f t="shared" si="3"/>
        <v>0.33545859374999998</v>
      </c>
      <c r="J43" s="46">
        <f t="shared" si="4"/>
        <v>11.846720238281248</v>
      </c>
      <c r="K43" s="47">
        <v>16000</v>
      </c>
      <c r="L43" s="48">
        <f t="shared" si="5"/>
        <v>5367.3374999999996</v>
      </c>
      <c r="M43" s="40" t="s">
        <v>22</v>
      </c>
      <c r="N43" s="41" t="s">
        <v>23</v>
      </c>
      <c r="O43" s="49"/>
      <c r="P43" s="49"/>
      <c r="Q43" s="49"/>
      <c r="R43" s="49"/>
      <c r="S43" s="49"/>
      <c r="T43" s="49"/>
      <c r="U43" s="49"/>
      <c r="V43" s="50"/>
      <c r="W43" s="50"/>
      <c r="X43" s="202"/>
      <c r="Y43" s="202"/>
      <c r="Z43" s="202"/>
    </row>
    <row r="44" spans="1:26" ht="27" customHeight="1">
      <c r="A44" s="34" t="s">
        <v>16</v>
      </c>
      <c r="B44" s="34"/>
      <c r="C44" s="34"/>
      <c r="D44" s="34">
        <v>15.875</v>
      </c>
      <c r="E44" s="34">
        <v>62</v>
      </c>
      <c r="F44" s="34">
        <v>490</v>
      </c>
      <c r="G44" s="35">
        <v>208</v>
      </c>
      <c r="H44" s="45"/>
      <c r="I44" s="46">
        <f t="shared" si="3"/>
        <v>0.10031476</v>
      </c>
      <c r="J44" s="46">
        <f t="shared" si="4"/>
        <v>3.5426157493999999</v>
      </c>
      <c r="K44" s="47">
        <v>16000</v>
      </c>
      <c r="L44" s="48">
        <f t="shared" si="5"/>
        <v>1605.0361600000001</v>
      </c>
      <c r="M44" s="40" t="s">
        <v>22</v>
      </c>
      <c r="N44" s="41" t="s">
        <v>23</v>
      </c>
      <c r="O44" s="49"/>
      <c r="P44" s="49"/>
      <c r="Q44" s="49"/>
      <c r="R44" s="49"/>
      <c r="S44" s="49"/>
      <c r="T44" s="49"/>
      <c r="U44" s="49"/>
      <c r="V44" s="50"/>
      <c r="W44" s="50"/>
      <c r="X44" s="202"/>
      <c r="Y44" s="202"/>
      <c r="Z44" s="202"/>
    </row>
    <row r="45" spans="1:26" ht="27" customHeight="1">
      <c r="A45" s="34" t="s">
        <v>16</v>
      </c>
      <c r="B45" s="34"/>
      <c r="C45" s="34"/>
      <c r="D45" s="34">
        <v>15.875</v>
      </c>
      <c r="E45" s="34">
        <v>75</v>
      </c>
      <c r="F45" s="34">
        <v>490</v>
      </c>
      <c r="G45" s="35">
        <v>422</v>
      </c>
      <c r="H45" s="45"/>
      <c r="I45" s="46">
        <f t="shared" si="3"/>
        <v>0.2461974375</v>
      </c>
      <c r="J45" s="46">
        <f t="shared" si="4"/>
        <v>8.6944625053124991</v>
      </c>
      <c r="K45" s="47">
        <v>16000</v>
      </c>
      <c r="L45" s="48">
        <f t="shared" si="5"/>
        <v>3939.1590000000001</v>
      </c>
      <c r="M45" s="40" t="s">
        <v>22</v>
      </c>
      <c r="N45" s="41" t="s">
        <v>23</v>
      </c>
      <c r="O45" s="49"/>
      <c r="P45" s="49"/>
      <c r="Q45" s="49"/>
      <c r="R45" s="49"/>
      <c r="S45" s="49"/>
      <c r="T45" s="49"/>
      <c r="U45" s="49"/>
      <c r="V45" s="50"/>
      <c r="W45" s="50"/>
      <c r="X45" s="202"/>
      <c r="Y45" s="202"/>
      <c r="Z45" s="202"/>
    </row>
    <row r="46" spans="1:26" ht="27" customHeight="1">
      <c r="A46" s="34" t="s">
        <v>16</v>
      </c>
      <c r="B46" s="34"/>
      <c r="C46" s="34"/>
      <c r="D46" s="34">
        <v>15.875</v>
      </c>
      <c r="E46" s="34">
        <v>75</v>
      </c>
      <c r="F46" s="34">
        <v>390</v>
      </c>
      <c r="G46" s="35">
        <v>798</v>
      </c>
      <c r="H46" s="45"/>
      <c r="I46" s="46">
        <f t="shared" si="3"/>
        <v>0.37054631249999997</v>
      </c>
      <c r="J46" s="46">
        <f t="shared" si="4"/>
        <v>13.085843025937498</v>
      </c>
      <c r="K46" s="47">
        <v>16000</v>
      </c>
      <c r="L46" s="48">
        <f t="shared" si="5"/>
        <v>5928.741</v>
      </c>
      <c r="M46" s="40" t="s">
        <v>22</v>
      </c>
      <c r="N46" s="41" t="s">
        <v>23</v>
      </c>
      <c r="O46" s="49"/>
      <c r="P46" s="49"/>
      <c r="Q46" s="49"/>
      <c r="R46" s="49"/>
      <c r="S46" s="49"/>
      <c r="T46" s="49"/>
      <c r="U46" s="49"/>
      <c r="V46" s="50"/>
      <c r="W46" s="50"/>
      <c r="X46" s="202"/>
      <c r="Y46" s="202"/>
      <c r="Z46" s="202"/>
    </row>
    <row r="47" spans="1:26" ht="27" customHeight="1">
      <c r="A47" s="34" t="s">
        <v>16</v>
      </c>
      <c r="B47" s="34"/>
      <c r="C47" s="34"/>
      <c r="D47" s="34">
        <v>15.875</v>
      </c>
      <c r="E47" s="34">
        <v>72</v>
      </c>
      <c r="F47" s="34">
        <v>390</v>
      </c>
      <c r="G47" s="35">
        <v>173</v>
      </c>
      <c r="H47" s="45"/>
      <c r="I47" s="46">
        <f t="shared" si="3"/>
        <v>7.7118210000000006E-2</v>
      </c>
      <c r="J47" s="46">
        <f t="shared" si="4"/>
        <v>2.72342958615</v>
      </c>
      <c r="K47" s="47">
        <v>16000</v>
      </c>
      <c r="L47" s="48">
        <f t="shared" si="5"/>
        <v>1233.8913600000001</v>
      </c>
      <c r="M47" s="40" t="s">
        <v>22</v>
      </c>
      <c r="N47" s="41" t="s">
        <v>23</v>
      </c>
      <c r="O47" s="49"/>
      <c r="P47" s="49"/>
      <c r="Q47" s="49"/>
      <c r="R47" s="49"/>
      <c r="S47" s="49"/>
      <c r="T47" s="49"/>
      <c r="U47" s="49"/>
      <c r="V47" s="50"/>
      <c r="W47" s="50"/>
      <c r="X47" s="43"/>
      <c r="Y47" s="43"/>
      <c r="Z47" s="43"/>
    </row>
    <row r="48" spans="1:26" ht="27" customHeight="1">
      <c r="A48" s="34" t="s">
        <v>16</v>
      </c>
      <c r="B48" s="34"/>
      <c r="C48" s="34"/>
      <c r="D48" s="34">
        <v>15.875</v>
      </c>
      <c r="E48" s="34">
        <v>58</v>
      </c>
      <c r="F48" s="34">
        <v>390</v>
      </c>
      <c r="G48" s="35">
        <v>713</v>
      </c>
      <c r="H48" s="45"/>
      <c r="I48" s="46">
        <f t="shared" si="3"/>
        <v>0.25603295250000002</v>
      </c>
      <c r="J48" s="46">
        <f t="shared" si="4"/>
        <v>9.0418037175374995</v>
      </c>
      <c r="K48" s="47">
        <v>16000</v>
      </c>
      <c r="L48" s="48">
        <f t="shared" si="5"/>
        <v>4096.5272400000003</v>
      </c>
      <c r="M48" s="40" t="s">
        <v>22</v>
      </c>
      <c r="N48" s="41" t="s">
        <v>23</v>
      </c>
      <c r="O48" s="49"/>
      <c r="P48" s="49"/>
      <c r="Q48" s="49"/>
      <c r="R48" s="49"/>
      <c r="S48" s="49"/>
      <c r="T48" s="49"/>
      <c r="U48" s="49"/>
      <c r="V48" s="50"/>
      <c r="W48" s="50"/>
      <c r="X48" s="43"/>
      <c r="Y48" s="43"/>
      <c r="Z48" s="43"/>
    </row>
    <row r="49" spans="1:26" ht="27" customHeight="1">
      <c r="A49" s="34" t="s">
        <v>16</v>
      </c>
      <c r="B49" s="34"/>
      <c r="C49" s="34"/>
      <c r="D49" s="34">
        <v>15.875</v>
      </c>
      <c r="E49" s="34">
        <v>692</v>
      </c>
      <c r="F49" s="34">
        <v>540</v>
      </c>
      <c r="G49" s="35">
        <v>1632</v>
      </c>
      <c r="H49" s="45"/>
      <c r="I49" s="46">
        <f t="shared" si="3"/>
        <v>9.6813014400000004</v>
      </c>
      <c r="J49" s="46">
        <f t="shared" si="4"/>
        <v>341.89516035359998</v>
      </c>
      <c r="K49" s="47">
        <v>16000</v>
      </c>
      <c r="L49" s="48">
        <f t="shared" si="5"/>
        <v>154900.82304000002</v>
      </c>
      <c r="M49" s="40" t="s">
        <v>22</v>
      </c>
      <c r="N49" s="41" t="s">
        <v>23</v>
      </c>
      <c r="O49" s="49"/>
      <c r="P49" s="49"/>
      <c r="Q49" s="49"/>
      <c r="R49" s="49"/>
      <c r="S49" s="49"/>
      <c r="T49" s="49"/>
      <c r="U49" s="49"/>
      <c r="V49" s="50"/>
      <c r="W49" s="50"/>
      <c r="X49" s="202"/>
      <c r="Y49" s="202"/>
      <c r="Z49" s="202"/>
    </row>
    <row r="50" spans="1:26" ht="27" customHeight="1">
      <c r="A50" s="34" t="s">
        <v>16</v>
      </c>
      <c r="B50" s="34"/>
      <c r="C50" s="34"/>
      <c r="D50" s="34">
        <v>15.875</v>
      </c>
      <c r="E50" s="34">
        <v>62</v>
      </c>
      <c r="F50" s="34">
        <v>540</v>
      </c>
      <c r="G50" s="35">
        <v>1532</v>
      </c>
      <c r="H50" s="45"/>
      <c r="I50" s="46">
        <f t="shared" si="3"/>
        <v>0.81425033999999996</v>
      </c>
      <c r="J50" s="46">
        <f t="shared" si="4"/>
        <v>28.755250757099997</v>
      </c>
      <c r="K50" s="47">
        <v>16000</v>
      </c>
      <c r="L50" s="48">
        <f t="shared" si="5"/>
        <v>13028.005439999999</v>
      </c>
      <c r="M50" s="40" t="s">
        <v>22</v>
      </c>
      <c r="N50" s="41" t="s">
        <v>23</v>
      </c>
      <c r="O50" s="49"/>
      <c r="P50" s="49"/>
      <c r="Q50" s="49"/>
      <c r="R50" s="49"/>
      <c r="S50" s="49"/>
      <c r="T50" s="49"/>
      <c r="U50" s="49"/>
      <c r="V50" s="50"/>
      <c r="W50" s="50"/>
      <c r="X50" s="202"/>
      <c r="Y50" s="202"/>
      <c r="Z50" s="202"/>
    </row>
    <row r="51" spans="1:26" ht="27" customHeight="1">
      <c r="A51" s="34" t="s">
        <v>16</v>
      </c>
      <c r="B51" s="34"/>
      <c r="C51" s="34"/>
      <c r="D51" s="34">
        <v>15.875</v>
      </c>
      <c r="E51" s="34">
        <v>62</v>
      </c>
      <c r="F51" s="34">
        <v>540</v>
      </c>
      <c r="G51" s="35">
        <v>1191</v>
      </c>
      <c r="H51" s="45"/>
      <c r="I51" s="46">
        <f t="shared" si="3"/>
        <v>0.63301054499999998</v>
      </c>
      <c r="J51" s="46">
        <f t="shared" si="4"/>
        <v>22.354767396674998</v>
      </c>
      <c r="K51" s="47">
        <v>16000</v>
      </c>
      <c r="L51" s="48">
        <f t="shared" si="5"/>
        <v>10128.16872</v>
      </c>
      <c r="M51" s="40" t="s">
        <v>22</v>
      </c>
      <c r="N51" s="41" t="s">
        <v>23</v>
      </c>
      <c r="O51" s="49"/>
      <c r="P51" s="49"/>
      <c r="Q51" s="49"/>
      <c r="R51" s="49"/>
      <c r="S51" s="49"/>
      <c r="T51" s="49"/>
      <c r="U51" s="49"/>
      <c r="V51" s="50"/>
      <c r="W51" s="50"/>
      <c r="X51" s="202"/>
      <c r="Y51" s="202"/>
      <c r="Z51" s="202"/>
    </row>
    <row r="52" spans="1:26" ht="27" customHeight="1">
      <c r="A52" s="34" t="s">
        <v>16</v>
      </c>
      <c r="B52" s="34"/>
      <c r="C52" s="34"/>
      <c r="D52" s="34">
        <v>15.875</v>
      </c>
      <c r="E52" s="34">
        <v>52</v>
      </c>
      <c r="F52" s="34">
        <v>820</v>
      </c>
      <c r="G52" s="35">
        <v>508</v>
      </c>
      <c r="H52" s="45"/>
      <c r="I52" s="46">
        <f t="shared" si="3"/>
        <v>0.34387027999999997</v>
      </c>
      <c r="J52" s="46">
        <f t="shared" si="4"/>
        <v>12.143778938199999</v>
      </c>
      <c r="K52" s="47">
        <v>16000</v>
      </c>
      <c r="L52" s="48">
        <f t="shared" si="5"/>
        <v>5501.9244799999997</v>
      </c>
      <c r="M52" s="40" t="s">
        <v>22</v>
      </c>
      <c r="N52" s="41" t="s">
        <v>23</v>
      </c>
      <c r="O52" s="49"/>
      <c r="P52" s="49"/>
      <c r="Q52" s="49"/>
      <c r="R52" s="49"/>
      <c r="S52" s="49"/>
      <c r="T52" s="49"/>
      <c r="U52" s="49"/>
      <c r="V52" s="50"/>
      <c r="W52" s="50"/>
      <c r="X52" s="202"/>
      <c r="Y52" s="202"/>
      <c r="Z52" s="202"/>
    </row>
    <row r="53" spans="1:26" ht="27" customHeight="1">
      <c r="A53" s="34" t="s">
        <v>16</v>
      </c>
      <c r="B53" s="34"/>
      <c r="C53" s="34"/>
      <c r="D53" s="34">
        <v>15.875</v>
      </c>
      <c r="E53" s="34">
        <v>62</v>
      </c>
      <c r="F53" s="34">
        <v>820</v>
      </c>
      <c r="G53" s="35">
        <v>821</v>
      </c>
      <c r="H53" s="45"/>
      <c r="I53" s="46">
        <f t="shared" si="3"/>
        <v>0.66261678499999999</v>
      </c>
      <c r="J53" s="46">
        <f t="shared" si="4"/>
        <v>23.400311762274999</v>
      </c>
      <c r="K53" s="47">
        <v>16000</v>
      </c>
      <c r="L53" s="48">
        <f t="shared" si="5"/>
        <v>10601.868559999999</v>
      </c>
      <c r="M53" s="40" t="s">
        <v>22</v>
      </c>
      <c r="N53" s="41" t="s">
        <v>23</v>
      </c>
      <c r="O53" s="49"/>
      <c r="P53" s="49"/>
      <c r="Q53" s="49"/>
      <c r="R53" s="49"/>
      <c r="S53" s="49"/>
      <c r="T53" s="49"/>
      <c r="U53" s="49"/>
      <c r="V53" s="50"/>
      <c r="W53" s="50"/>
      <c r="X53" s="202"/>
      <c r="Y53" s="202"/>
      <c r="Z53" s="202"/>
    </row>
    <row r="54" spans="1:26" ht="27" customHeight="1">
      <c r="A54" s="34" t="s">
        <v>16</v>
      </c>
      <c r="B54" s="34"/>
      <c r="C54" s="34"/>
      <c r="D54" s="34">
        <v>15.875</v>
      </c>
      <c r="E54" s="34">
        <v>58</v>
      </c>
      <c r="F54" s="34">
        <v>820</v>
      </c>
      <c r="G54" s="35">
        <v>250</v>
      </c>
      <c r="H54" s="45"/>
      <c r="I54" s="46">
        <f t="shared" si="3"/>
        <v>0.18875375</v>
      </c>
      <c r="J54" s="46">
        <f t="shared" si="4"/>
        <v>6.6658386812499995</v>
      </c>
      <c r="K54" s="47">
        <v>16000</v>
      </c>
      <c r="L54" s="48">
        <f t="shared" si="5"/>
        <v>3020.06</v>
      </c>
      <c r="M54" s="40" t="s">
        <v>22</v>
      </c>
      <c r="N54" s="41" t="s">
        <v>23</v>
      </c>
      <c r="O54" s="49"/>
      <c r="P54" s="49"/>
      <c r="Q54" s="49"/>
      <c r="R54" s="49"/>
      <c r="S54" s="49"/>
      <c r="T54" s="49"/>
      <c r="U54" s="49"/>
      <c r="V54" s="50"/>
      <c r="W54" s="50"/>
      <c r="X54" s="202"/>
      <c r="Y54" s="202"/>
      <c r="Z54" s="202"/>
    </row>
    <row r="55" spans="1:26" ht="27" customHeight="1">
      <c r="A55" s="34" t="s">
        <v>16</v>
      </c>
      <c r="B55" s="34"/>
      <c r="C55" s="34"/>
      <c r="D55" s="34"/>
      <c r="E55" s="34"/>
      <c r="F55" s="34"/>
      <c r="G55" s="35"/>
      <c r="H55" s="45"/>
      <c r="I55" s="46">
        <f t="shared" si="3"/>
        <v>0</v>
      </c>
      <c r="J55" s="46">
        <f t="shared" si="4"/>
        <v>0</v>
      </c>
      <c r="K55" s="47">
        <v>16000</v>
      </c>
      <c r="L55" s="48">
        <f t="shared" si="5"/>
        <v>0</v>
      </c>
      <c r="M55" s="40" t="s">
        <v>22</v>
      </c>
      <c r="N55" s="41" t="s">
        <v>23</v>
      </c>
      <c r="O55" s="49"/>
      <c r="P55" s="49"/>
      <c r="Q55" s="49"/>
      <c r="R55" s="49"/>
      <c r="S55" s="49"/>
      <c r="T55" s="49"/>
      <c r="U55" s="49"/>
      <c r="V55" s="50"/>
      <c r="W55" s="50"/>
      <c r="X55" s="202"/>
      <c r="Y55" s="202"/>
      <c r="Z55" s="202"/>
    </row>
    <row r="56" spans="1:26" ht="27" customHeight="1">
      <c r="A56" s="34" t="s">
        <v>16</v>
      </c>
      <c r="B56" s="34"/>
      <c r="C56" s="34"/>
      <c r="D56" s="34"/>
      <c r="E56" s="34"/>
      <c r="F56" s="34"/>
      <c r="G56" s="35"/>
      <c r="H56" s="45"/>
      <c r="I56" s="46">
        <f t="shared" si="3"/>
        <v>0</v>
      </c>
      <c r="J56" s="46">
        <f t="shared" si="4"/>
        <v>0</v>
      </c>
      <c r="K56" s="47">
        <v>16000</v>
      </c>
      <c r="L56" s="48">
        <f t="shared" si="5"/>
        <v>0</v>
      </c>
      <c r="M56" s="40" t="s">
        <v>22</v>
      </c>
      <c r="N56" s="41" t="s">
        <v>23</v>
      </c>
      <c r="O56" s="49"/>
      <c r="P56" s="49"/>
      <c r="Q56" s="49"/>
      <c r="R56" s="49"/>
      <c r="S56" s="49"/>
      <c r="T56" s="49"/>
      <c r="U56" s="49"/>
      <c r="V56" s="50"/>
      <c r="W56" s="50"/>
      <c r="X56" s="202"/>
      <c r="Y56" s="202"/>
      <c r="Z56" s="202"/>
    </row>
    <row r="57" spans="1:26" ht="27" customHeight="1">
      <c r="A57" s="34" t="s">
        <v>16</v>
      </c>
      <c r="B57" s="34"/>
      <c r="C57" s="34"/>
      <c r="D57" s="34"/>
      <c r="E57" s="34"/>
      <c r="F57" s="34"/>
      <c r="G57" s="35"/>
      <c r="H57" s="45"/>
      <c r="I57" s="46">
        <f t="shared" si="3"/>
        <v>0</v>
      </c>
      <c r="J57" s="46">
        <f t="shared" si="4"/>
        <v>0</v>
      </c>
      <c r="K57" s="47">
        <v>16000</v>
      </c>
      <c r="L57" s="48">
        <f t="shared" si="5"/>
        <v>0</v>
      </c>
      <c r="M57" s="40" t="s">
        <v>22</v>
      </c>
      <c r="N57" s="41" t="s">
        <v>23</v>
      </c>
      <c r="O57" s="49"/>
      <c r="P57" s="49"/>
      <c r="Q57" s="49"/>
      <c r="R57" s="49"/>
      <c r="S57" s="49"/>
      <c r="T57" s="49"/>
      <c r="U57" s="49"/>
      <c r="V57" s="50"/>
      <c r="W57" s="50"/>
      <c r="X57" s="202"/>
      <c r="Y57" s="202"/>
      <c r="Z57" s="202"/>
    </row>
    <row r="58" spans="1:26" ht="27" customHeight="1">
      <c r="A58" s="34" t="s">
        <v>16</v>
      </c>
      <c r="B58" s="34"/>
      <c r="C58" s="34"/>
      <c r="D58" s="34"/>
      <c r="E58" s="34"/>
      <c r="F58" s="34"/>
      <c r="G58" s="35"/>
      <c r="H58" s="45"/>
      <c r="I58" s="46">
        <f t="shared" si="3"/>
        <v>0</v>
      </c>
      <c r="J58" s="46">
        <f t="shared" si="4"/>
        <v>0</v>
      </c>
      <c r="K58" s="47">
        <v>16000</v>
      </c>
      <c r="L58" s="48">
        <f t="shared" si="5"/>
        <v>0</v>
      </c>
      <c r="M58" s="40" t="s">
        <v>22</v>
      </c>
      <c r="N58" s="41" t="s">
        <v>23</v>
      </c>
      <c r="O58" s="49"/>
      <c r="P58" s="49"/>
      <c r="Q58" s="49"/>
      <c r="R58" s="49"/>
      <c r="S58" s="49"/>
      <c r="T58" s="49"/>
      <c r="U58" s="49"/>
      <c r="V58" s="50"/>
      <c r="W58" s="50"/>
      <c r="X58" s="202"/>
      <c r="Y58" s="202"/>
      <c r="Z58" s="202"/>
    </row>
    <row r="59" spans="1:26" ht="27" customHeight="1">
      <c r="A59" s="34" t="s">
        <v>16</v>
      </c>
      <c r="B59" s="34"/>
      <c r="C59" s="34"/>
      <c r="D59" s="34"/>
      <c r="E59" s="34"/>
      <c r="F59" s="34"/>
      <c r="G59" s="35"/>
      <c r="H59" s="45"/>
      <c r="I59" s="46">
        <f t="shared" si="3"/>
        <v>0</v>
      </c>
      <c r="J59" s="46">
        <f t="shared" si="4"/>
        <v>0</v>
      </c>
      <c r="K59" s="47">
        <v>16000</v>
      </c>
      <c r="L59" s="48">
        <f t="shared" si="5"/>
        <v>0</v>
      </c>
      <c r="M59" s="40" t="s">
        <v>22</v>
      </c>
      <c r="N59" s="41" t="s">
        <v>23</v>
      </c>
      <c r="O59" s="49"/>
      <c r="P59" s="49"/>
      <c r="Q59" s="49"/>
      <c r="R59" s="49"/>
      <c r="S59" s="49"/>
      <c r="T59" s="49"/>
      <c r="U59" s="49"/>
      <c r="V59" s="50"/>
      <c r="W59" s="50"/>
      <c r="X59" s="202"/>
      <c r="Y59" s="202"/>
      <c r="Z59" s="202"/>
    </row>
    <row r="60" spans="1:26" ht="27" customHeight="1">
      <c r="A60" s="34" t="s">
        <v>16</v>
      </c>
      <c r="B60" s="34"/>
      <c r="C60" s="34"/>
      <c r="D60" s="34"/>
      <c r="E60" s="34"/>
      <c r="F60" s="34"/>
      <c r="G60" s="35"/>
      <c r="H60" s="45"/>
      <c r="I60" s="46">
        <f t="shared" si="3"/>
        <v>0</v>
      </c>
      <c r="J60" s="46">
        <f t="shared" si="4"/>
        <v>0</v>
      </c>
      <c r="K60" s="47">
        <v>16000</v>
      </c>
      <c r="L60" s="48">
        <f t="shared" si="5"/>
        <v>0</v>
      </c>
      <c r="M60" s="40" t="s">
        <v>22</v>
      </c>
      <c r="N60" s="41" t="s">
        <v>23</v>
      </c>
      <c r="O60" s="49"/>
      <c r="P60" s="49"/>
      <c r="Q60" s="49"/>
      <c r="R60" s="49"/>
      <c r="S60" s="49"/>
      <c r="T60" s="49"/>
      <c r="U60" s="49"/>
      <c r="V60" s="50"/>
      <c r="W60" s="50"/>
      <c r="X60" s="43"/>
      <c r="Y60" s="43"/>
      <c r="Z60" s="43"/>
    </row>
    <row r="61" spans="1:26" ht="27" customHeight="1">
      <c r="A61" s="34" t="s">
        <v>16</v>
      </c>
      <c r="B61" s="34"/>
      <c r="C61" s="34"/>
      <c r="D61" s="34"/>
      <c r="E61" s="34"/>
      <c r="F61" s="34"/>
      <c r="G61" s="35"/>
      <c r="H61" s="45"/>
      <c r="I61" s="46">
        <f t="shared" si="3"/>
        <v>0</v>
      </c>
      <c r="J61" s="46">
        <f t="shared" si="4"/>
        <v>0</v>
      </c>
      <c r="K61" s="47">
        <v>16000</v>
      </c>
      <c r="L61" s="48">
        <f t="shared" si="5"/>
        <v>0</v>
      </c>
      <c r="M61" s="40" t="s">
        <v>22</v>
      </c>
      <c r="N61" s="41" t="s">
        <v>23</v>
      </c>
      <c r="O61" s="49"/>
      <c r="P61" s="49"/>
      <c r="Q61" s="49"/>
      <c r="R61" s="49"/>
      <c r="S61" s="49"/>
      <c r="T61" s="49"/>
      <c r="U61" s="49"/>
      <c r="V61" s="50"/>
      <c r="W61" s="50"/>
      <c r="X61" s="43"/>
      <c r="Y61" s="43"/>
      <c r="Z61" s="43"/>
    </row>
    <row r="62" spans="1:26" ht="25.5" customHeight="1">
      <c r="A62" s="477" t="s">
        <v>18</v>
      </c>
      <c r="B62" s="466"/>
      <c r="C62" s="466"/>
      <c r="D62" s="466"/>
      <c r="E62" s="466"/>
      <c r="F62" s="467"/>
      <c r="G62" s="51">
        <f>SUM(G4:G61)</f>
        <v>50324</v>
      </c>
      <c r="H62" s="45"/>
      <c r="I62" s="52">
        <f>SUM(I4:I61)</f>
        <v>31.349462796250002</v>
      </c>
      <c r="J62" s="53">
        <f>SUM(J4:J61)</f>
        <v>1107.1062786495688</v>
      </c>
      <c r="K62" s="53"/>
      <c r="L62" s="48">
        <f>SUM(L4:L61)</f>
        <v>501591.40474000009</v>
      </c>
      <c r="M62" s="54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43"/>
      <c r="Y62" s="43"/>
      <c r="Z62" s="43"/>
    </row>
    <row r="63" spans="1:26" ht="25.5" customHeight="1">
      <c r="A63" s="55"/>
      <c r="B63" s="55"/>
      <c r="C63" s="55"/>
      <c r="D63" s="55"/>
      <c r="E63" s="55"/>
      <c r="F63" s="55"/>
      <c r="G63" s="56"/>
      <c r="H63" s="57"/>
      <c r="I63" s="55"/>
      <c r="J63" s="58"/>
      <c r="K63" s="59"/>
      <c r="L63" s="56"/>
      <c r="M63" s="60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25.5" customHeight="1">
      <c r="A64" s="55"/>
      <c r="B64" s="55"/>
      <c r="C64" s="55"/>
      <c r="D64" s="55"/>
      <c r="E64" s="55"/>
      <c r="F64" s="55"/>
      <c r="G64" s="56"/>
      <c r="H64" s="57"/>
      <c r="I64" s="55"/>
      <c r="J64" s="58"/>
      <c r="K64" s="59"/>
      <c r="L64" s="56"/>
      <c r="M64" s="60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25.5" customHeight="1">
      <c r="A65" s="55"/>
      <c r="B65" s="55"/>
      <c r="C65" s="55"/>
      <c r="D65" s="55"/>
      <c r="E65" s="55"/>
      <c r="F65" s="55"/>
      <c r="G65" s="56"/>
      <c r="H65" s="57"/>
      <c r="I65" s="55"/>
      <c r="J65" s="58"/>
      <c r="K65" s="59"/>
      <c r="L65" s="56"/>
      <c r="M65" s="60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25.5" customHeight="1">
      <c r="A66" s="55"/>
      <c r="B66" s="55"/>
      <c r="C66" s="55"/>
      <c r="D66" s="55"/>
      <c r="E66" s="55"/>
      <c r="F66" s="55"/>
      <c r="G66" s="56"/>
      <c r="H66" s="57"/>
      <c r="I66" s="55"/>
      <c r="J66" s="58"/>
      <c r="K66" s="59"/>
      <c r="L66" s="56"/>
      <c r="M66" s="60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25.5" customHeight="1">
      <c r="A67" s="55"/>
      <c r="B67" s="55"/>
      <c r="C67" s="55"/>
      <c r="D67" s="55"/>
      <c r="E67" s="55"/>
      <c r="F67" s="55"/>
      <c r="G67" s="56"/>
      <c r="H67" s="57"/>
      <c r="I67" s="55"/>
      <c r="J67" s="58"/>
      <c r="K67" s="59"/>
      <c r="L67" s="56"/>
      <c r="M67" s="60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25.5" customHeight="1">
      <c r="A68" s="55"/>
      <c r="B68" s="55"/>
      <c r="C68" s="55"/>
      <c r="D68" s="55"/>
      <c r="E68" s="55"/>
      <c r="F68" s="55"/>
      <c r="G68" s="56"/>
      <c r="H68" s="57"/>
      <c r="I68" s="55"/>
      <c r="J68" s="58"/>
      <c r="K68" s="59"/>
      <c r="L68" s="56"/>
      <c r="M68" s="60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25.5" customHeight="1">
      <c r="A69" s="55"/>
      <c r="B69" s="55"/>
      <c r="C69" s="55"/>
      <c r="D69" s="55"/>
      <c r="E69" s="55"/>
      <c r="F69" s="55"/>
      <c r="G69" s="56"/>
      <c r="H69" s="57"/>
      <c r="I69" s="55"/>
      <c r="J69" s="58"/>
      <c r="K69" s="59"/>
      <c r="L69" s="56"/>
      <c r="M69" s="60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25.5" customHeight="1">
      <c r="A70" s="55"/>
      <c r="B70" s="55"/>
      <c r="C70" s="55"/>
      <c r="D70" s="55"/>
      <c r="E70" s="55"/>
      <c r="F70" s="55"/>
      <c r="G70" s="56"/>
      <c r="H70" s="57"/>
      <c r="I70" s="55"/>
      <c r="J70" s="58"/>
      <c r="K70" s="59"/>
      <c r="L70" s="56"/>
      <c r="M70" s="60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25.5" customHeight="1">
      <c r="A71" s="55"/>
      <c r="B71" s="55"/>
      <c r="C71" s="55"/>
      <c r="D71" s="55"/>
      <c r="E71" s="55"/>
      <c r="F71" s="55"/>
      <c r="G71" s="56"/>
      <c r="H71" s="57"/>
      <c r="I71" s="55"/>
      <c r="J71" s="58"/>
      <c r="K71" s="59"/>
      <c r="L71" s="56"/>
      <c r="M71" s="60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25.5" customHeight="1">
      <c r="A72" s="61"/>
      <c r="B72" s="62"/>
      <c r="C72" s="62"/>
      <c r="D72" s="61"/>
      <c r="E72" s="61"/>
      <c r="F72" s="61"/>
      <c r="G72" s="63"/>
      <c r="H72" s="64"/>
      <c r="I72" s="61"/>
      <c r="J72" s="65"/>
      <c r="K72" s="66"/>
      <c r="L72" s="63"/>
      <c r="M72" s="67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25.5" customHeight="1">
      <c r="A73" s="61"/>
      <c r="B73" s="62"/>
      <c r="C73" s="62"/>
      <c r="D73" s="61"/>
      <c r="E73" s="61"/>
      <c r="F73" s="61"/>
      <c r="G73" s="63"/>
      <c r="H73" s="64"/>
      <c r="I73" s="61"/>
      <c r="J73" s="65"/>
      <c r="K73" s="66"/>
      <c r="L73" s="63"/>
      <c r="M73" s="67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25.5" customHeight="1">
      <c r="A74" s="61"/>
      <c r="B74" s="62"/>
      <c r="C74" s="62"/>
      <c r="D74" s="61"/>
      <c r="E74" s="61"/>
      <c r="F74" s="61"/>
      <c r="G74" s="63"/>
      <c r="H74" s="64"/>
      <c r="I74" s="61"/>
      <c r="J74" s="65"/>
      <c r="K74" s="66"/>
      <c r="L74" s="63"/>
      <c r="M74" s="67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25.5" customHeight="1">
      <c r="A75" s="61"/>
      <c r="B75" s="62"/>
      <c r="C75" s="62"/>
      <c r="D75" s="61"/>
      <c r="E75" s="61"/>
      <c r="F75" s="61"/>
      <c r="G75" s="63"/>
      <c r="H75" s="64"/>
      <c r="I75" s="61"/>
      <c r="J75" s="65"/>
      <c r="K75" s="66"/>
      <c r="L75" s="63"/>
      <c r="M75" s="67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25.5" customHeight="1">
      <c r="A76" s="61"/>
      <c r="B76" s="62"/>
      <c r="C76" s="62"/>
      <c r="D76" s="61"/>
      <c r="E76" s="61"/>
      <c r="F76" s="61"/>
      <c r="G76" s="63"/>
      <c r="H76" s="64"/>
      <c r="I76" s="61"/>
      <c r="J76" s="65"/>
      <c r="K76" s="66"/>
      <c r="L76" s="63"/>
      <c r="M76" s="67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25.5" customHeight="1">
      <c r="A77" s="61"/>
      <c r="B77" s="62"/>
      <c r="C77" s="62"/>
      <c r="D77" s="61"/>
      <c r="E77" s="61"/>
      <c r="F77" s="61"/>
      <c r="G77" s="63"/>
      <c r="H77" s="64"/>
      <c r="I77" s="61"/>
      <c r="J77" s="65"/>
      <c r="K77" s="66"/>
      <c r="L77" s="63"/>
      <c r="M77" s="67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25.5" customHeight="1">
      <c r="A78" s="61"/>
      <c r="B78" s="62"/>
      <c r="C78" s="62"/>
      <c r="D78" s="61"/>
      <c r="E78" s="61"/>
      <c r="F78" s="61"/>
      <c r="G78" s="63"/>
      <c r="H78" s="64"/>
      <c r="I78" s="61"/>
      <c r="J78" s="65"/>
      <c r="K78" s="66"/>
      <c r="L78" s="63"/>
      <c r="M78" s="67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25.5" customHeight="1">
      <c r="A79" s="61"/>
      <c r="B79" s="62"/>
      <c r="C79" s="62"/>
      <c r="D79" s="61"/>
      <c r="E79" s="61"/>
      <c r="F79" s="61"/>
      <c r="G79" s="63"/>
      <c r="H79" s="64"/>
      <c r="I79" s="61"/>
      <c r="J79" s="65"/>
      <c r="K79" s="66"/>
      <c r="L79" s="63"/>
      <c r="M79" s="67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25.5" customHeight="1">
      <c r="A80" s="61"/>
      <c r="B80" s="62"/>
      <c r="C80" s="62"/>
      <c r="D80" s="61"/>
      <c r="E80" s="61"/>
      <c r="F80" s="61"/>
      <c r="G80" s="63"/>
      <c r="H80" s="64"/>
      <c r="I80" s="61"/>
      <c r="J80" s="65"/>
      <c r="K80" s="66"/>
      <c r="L80" s="63"/>
      <c r="M80" s="67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25.5" customHeight="1">
      <c r="A81" s="61"/>
      <c r="B81" s="62"/>
      <c r="C81" s="62"/>
      <c r="D81" s="61"/>
      <c r="E81" s="61"/>
      <c r="F81" s="61"/>
      <c r="G81" s="63"/>
      <c r="H81" s="64"/>
      <c r="I81" s="61"/>
      <c r="J81" s="65"/>
      <c r="K81" s="66"/>
      <c r="L81" s="63"/>
      <c r="M81" s="67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25.5" customHeight="1">
      <c r="A82" s="61"/>
      <c r="B82" s="62"/>
      <c r="C82" s="62"/>
      <c r="D82" s="61"/>
      <c r="E82" s="61"/>
      <c r="F82" s="61"/>
      <c r="G82" s="63"/>
      <c r="H82" s="64"/>
      <c r="I82" s="61"/>
      <c r="J82" s="65"/>
      <c r="K82" s="66"/>
      <c r="L82" s="63"/>
      <c r="M82" s="67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25.5" customHeight="1">
      <c r="A83" s="27"/>
      <c r="B83" s="69"/>
      <c r="C83" s="69"/>
      <c r="D83" s="69"/>
      <c r="E83" s="69"/>
      <c r="F83" s="70"/>
      <c r="G83" s="71"/>
      <c r="H83" s="64"/>
      <c r="I83" s="71"/>
      <c r="J83" s="72"/>
      <c r="K83" s="71"/>
      <c r="L83" s="71"/>
      <c r="M83" s="71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23.25" customHeight="1">
      <c r="A84" s="27"/>
      <c r="B84" s="69"/>
      <c r="C84" s="69"/>
      <c r="D84" s="69"/>
      <c r="E84" s="69"/>
      <c r="F84" s="70"/>
      <c r="G84" s="71"/>
      <c r="H84" s="64"/>
      <c r="I84" s="71"/>
      <c r="J84" s="72"/>
      <c r="K84" s="71"/>
      <c r="L84" s="71"/>
      <c r="M84" s="71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3.25" customHeight="1">
      <c r="A85" s="27"/>
      <c r="B85" s="69"/>
      <c r="C85" s="69"/>
      <c r="D85" s="69"/>
      <c r="E85" s="69"/>
      <c r="F85" s="70"/>
      <c r="G85" s="71"/>
      <c r="H85" s="64"/>
      <c r="I85" s="71"/>
      <c r="J85" s="72"/>
      <c r="K85" s="71"/>
      <c r="L85" s="71"/>
      <c r="M85" s="71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23.25" customHeight="1">
      <c r="A86" s="27"/>
      <c r="B86" s="69"/>
      <c r="C86" s="69"/>
      <c r="D86" s="69"/>
      <c r="E86" s="69"/>
      <c r="F86" s="70"/>
      <c r="G86" s="71"/>
      <c r="H86" s="64"/>
      <c r="I86" s="71"/>
      <c r="J86" s="72"/>
      <c r="K86" s="71"/>
      <c r="L86" s="71"/>
      <c r="M86" s="71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3.25" customHeight="1">
      <c r="A87" s="27"/>
      <c r="B87" s="69"/>
      <c r="C87" s="69"/>
      <c r="D87" s="69"/>
      <c r="E87" s="69"/>
      <c r="F87" s="70"/>
      <c r="G87" s="71"/>
      <c r="H87" s="64"/>
      <c r="I87" s="71"/>
      <c r="J87" s="72"/>
      <c r="K87" s="71"/>
      <c r="L87" s="71"/>
      <c r="M87" s="71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3.25" customHeight="1">
      <c r="A88" s="27"/>
      <c r="B88" s="69"/>
      <c r="C88" s="69"/>
      <c r="D88" s="69"/>
      <c r="E88" s="69"/>
      <c r="F88" s="70"/>
      <c r="G88" s="71"/>
      <c r="H88" s="64"/>
      <c r="I88" s="71"/>
      <c r="J88" s="72"/>
      <c r="K88" s="71"/>
      <c r="L88" s="71"/>
      <c r="M88" s="71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23.25" customHeight="1">
      <c r="A89" s="27"/>
      <c r="B89" s="69"/>
      <c r="C89" s="69"/>
      <c r="D89" s="69"/>
      <c r="E89" s="69"/>
      <c r="F89" s="70"/>
      <c r="G89" s="71"/>
      <c r="H89" s="64"/>
      <c r="I89" s="71"/>
      <c r="J89" s="72"/>
      <c r="K89" s="71"/>
      <c r="L89" s="71"/>
      <c r="M89" s="71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23.25" customHeight="1">
      <c r="A90" s="27"/>
      <c r="B90" s="69"/>
      <c r="C90" s="69"/>
      <c r="D90" s="69"/>
      <c r="E90" s="69"/>
      <c r="F90" s="70"/>
      <c r="G90" s="71"/>
      <c r="H90" s="64"/>
      <c r="I90" s="71"/>
      <c r="J90" s="72"/>
      <c r="K90" s="71"/>
      <c r="L90" s="71"/>
      <c r="M90" s="71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23.25" customHeight="1">
      <c r="A91" s="27"/>
      <c r="B91" s="69"/>
      <c r="C91" s="69"/>
      <c r="D91" s="69"/>
      <c r="E91" s="69"/>
      <c r="F91" s="70"/>
      <c r="G91" s="71"/>
      <c r="H91" s="64"/>
      <c r="I91" s="71"/>
      <c r="J91" s="72"/>
      <c r="K91" s="71"/>
      <c r="L91" s="71"/>
      <c r="M91" s="71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23.25" customHeight="1">
      <c r="A92" s="27"/>
      <c r="B92" s="69"/>
      <c r="C92" s="69"/>
      <c r="D92" s="69"/>
      <c r="E92" s="69"/>
      <c r="F92" s="70"/>
      <c r="G92" s="71"/>
      <c r="H92" s="64"/>
      <c r="I92" s="71"/>
      <c r="J92" s="72"/>
      <c r="K92" s="71"/>
      <c r="L92" s="71"/>
      <c r="M92" s="71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23.25" customHeight="1">
      <c r="A93" s="27"/>
      <c r="B93" s="69"/>
      <c r="C93" s="69"/>
      <c r="D93" s="69"/>
      <c r="E93" s="69"/>
      <c r="F93" s="70"/>
      <c r="G93" s="71"/>
      <c r="H93" s="64"/>
      <c r="I93" s="71"/>
      <c r="J93" s="72"/>
      <c r="K93" s="71"/>
      <c r="L93" s="71"/>
      <c r="M93" s="71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23.25" customHeight="1">
      <c r="A94" s="27"/>
      <c r="B94" s="69"/>
      <c r="C94" s="69"/>
      <c r="D94" s="69"/>
      <c r="E94" s="69"/>
      <c r="F94" s="70"/>
      <c r="G94" s="71"/>
      <c r="H94" s="64"/>
      <c r="I94" s="71"/>
      <c r="J94" s="72"/>
      <c r="K94" s="71"/>
      <c r="L94" s="71"/>
      <c r="M94" s="7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23.25" customHeight="1">
      <c r="A95" s="27"/>
      <c r="B95" s="69"/>
      <c r="C95" s="69"/>
      <c r="D95" s="69"/>
      <c r="E95" s="69"/>
      <c r="F95" s="70"/>
      <c r="G95" s="71"/>
      <c r="H95" s="64"/>
      <c r="I95" s="71"/>
      <c r="J95" s="72"/>
      <c r="K95" s="71"/>
      <c r="L95" s="71"/>
      <c r="M95" s="71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3.25" customHeight="1">
      <c r="A96" s="27"/>
      <c r="B96" s="69"/>
      <c r="C96" s="69"/>
      <c r="D96" s="69"/>
      <c r="E96" s="69"/>
      <c r="F96" s="70"/>
      <c r="G96" s="71"/>
      <c r="H96" s="64"/>
      <c r="I96" s="71"/>
      <c r="J96" s="72"/>
      <c r="K96" s="71"/>
      <c r="L96" s="71"/>
      <c r="M96" s="71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23.25" customHeight="1">
      <c r="A97" s="27"/>
      <c r="B97" s="69"/>
      <c r="C97" s="69"/>
      <c r="D97" s="69"/>
      <c r="E97" s="69"/>
      <c r="F97" s="70"/>
      <c r="G97" s="71"/>
      <c r="H97" s="64"/>
      <c r="I97" s="71"/>
      <c r="J97" s="72"/>
      <c r="K97" s="71"/>
      <c r="L97" s="71"/>
      <c r="M97" s="71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23.25" customHeight="1">
      <c r="A98" s="27"/>
      <c r="B98" s="69"/>
      <c r="C98" s="69"/>
      <c r="D98" s="69"/>
      <c r="E98" s="69"/>
      <c r="F98" s="70"/>
      <c r="G98" s="71"/>
      <c r="H98" s="64"/>
      <c r="I98" s="71"/>
      <c r="J98" s="72"/>
      <c r="K98" s="71"/>
      <c r="L98" s="71"/>
      <c r="M98" s="71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3.25" customHeight="1">
      <c r="A99" s="27"/>
      <c r="B99" s="69"/>
      <c r="C99" s="69"/>
      <c r="D99" s="69"/>
      <c r="E99" s="69"/>
      <c r="F99" s="70"/>
      <c r="G99" s="71"/>
      <c r="H99" s="64"/>
      <c r="I99" s="71"/>
      <c r="J99" s="72"/>
      <c r="K99" s="71"/>
      <c r="L99" s="71"/>
      <c r="M99" s="7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3.25" customHeight="1">
      <c r="A100" s="27"/>
      <c r="B100" s="69"/>
      <c r="C100" s="69"/>
      <c r="D100" s="69"/>
      <c r="E100" s="69"/>
      <c r="F100" s="70"/>
      <c r="G100" s="71"/>
      <c r="H100" s="64"/>
      <c r="I100" s="71"/>
      <c r="J100" s="72"/>
      <c r="K100" s="71"/>
      <c r="L100" s="71"/>
      <c r="M100" s="71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3.25" customHeight="1">
      <c r="A101" s="27"/>
      <c r="B101" s="69"/>
      <c r="C101" s="69"/>
      <c r="D101" s="69"/>
      <c r="E101" s="69"/>
      <c r="F101" s="70"/>
      <c r="G101" s="71"/>
      <c r="H101" s="64"/>
      <c r="I101" s="71"/>
      <c r="J101" s="72"/>
      <c r="K101" s="71"/>
      <c r="L101" s="71"/>
      <c r="M101" s="71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23.25" customHeight="1">
      <c r="A102" s="27"/>
      <c r="B102" s="69"/>
      <c r="C102" s="69"/>
      <c r="D102" s="69"/>
      <c r="E102" s="69"/>
      <c r="F102" s="70"/>
      <c r="G102" s="71"/>
      <c r="H102" s="64"/>
      <c r="I102" s="71"/>
      <c r="J102" s="72"/>
      <c r="K102" s="71"/>
      <c r="L102" s="71"/>
      <c r="M102" s="71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23.25" customHeight="1">
      <c r="A103" s="27"/>
      <c r="B103" s="69"/>
      <c r="C103" s="69"/>
      <c r="D103" s="69"/>
      <c r="E103" s="69"/>
      <c r="F103" s="70"/>
      <c r="G103" s="71"/>
      <c r="H103" s="64"/>
      <c r="I103" s="71"/>
      <c r="J103" s="72"/>
      <c r="K103" s="71"/>
      <c r="L103" s="71"/>
      <c r="M103" s="7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23.25" customHeight="1">
      <c r="A104" s="27"/>
      <c r="B104" s="69"/>
      <c r="C104" s="69"/>
      <c r="D104" s="69"/>
      <c r="E104" s="69"/>
      <c r="F104" s="70"/>
      <c r="G104" s="71"/>
      <c r="H104" s="64"/>
      <c r="I104" s="71"/>
      <c r="J104" s="72"/>
      <c r="K104" s="71"/>
      <c r="L104" s="71"/>
      <c r="M104" s="71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23.25" customHeight="1">
      <c r="A105" s="27"/>
      <c r="B105" s="69"/>
      <c r="C105" s="69"/>
      <c r="D105" s="69"/>
      <c r="E105" s="69"/>
      <c r="F105" s="70"/>
      <c r="G105" s="71"/>
      <c r="H105" s="64"/>
      <c r="I105" s="71"/>
      <c r="J105" s="72"/>
      <c r="K105" s="71"/>
      <c r="L105" s="71"/>
      <c r="M105" s="7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3.25" customHeight="1">
      <c r="A106" s="27"/>
      <c r="B106" s="69"/>
      <c r="C106" s="69"/>
      <c r="D106" s="69"/>
      <c r="E106" s="69"/>
      <c r="F106" s="70"/>
      <c r="G106" s="71"/>
      <c r="H106" s="64"/>
      <c r="I106" s="71"/>
      <c r="J106" s="72"/>
      <c r="K106" s="71"/>
      <c r="L106" s="71"/>
      <c r="M106" s="7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3.25" customHeight="1">
      <c r="A107" s="27"/>
      <c r="B107" s="69"/>
      <c r="C107" s="69"/>
      <c r="D107" s="69"/>
      <c r="E107" s="69"/>
      <c r="F107" s="70"/>
      <c r="G107" s="71"/>
      <c r="H107" s="64"/>
      <c r="I107" s="71"/>
      <c r="J107" s="72"/>
      <c r="K107" s="71"/>
      <c r="L107" s="71"/>
      <c r="M107" s="71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3.25" customHeight="1">
      <c r="A108" s="27"/>
      <c r="B108" s="69"/>
      <c r="C108" s="69"/>
      <c r="D108" s="69"/>
      <c r="E108" s="69"/>
      <c r="F108" s="70"/>
      <c r="G108" s="71"/>
      <c r="H108" s="64"/>
      <c r="I108" s="71"/>
      <c r="J108" s="72"/>
      <c r="K108" s="71"/>
      <c r="L108" s="71"/>
      <c r="M108" s="71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3.25" customHeight="1">
      <c r="A109" s="27"/>
      <c r="B109" s="69"/>
      <c r="C109" s="69"/>
      <c r="D109" s="69"/>
      <c r="E109" s="69"/>
      <c r="F109" s="70"/>
      <c r="G109" s="71"/>
      <c r="H109" s="64"/>
      <c r="I109" s="71"/>
      <c r="J109" s="72"/>
      <c r="K109" s="71"/>
      <c r="L109" s="71"/>
      <c r="M109" s="7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3.25" customHeight="1">
      <c r="A110" s="27"/>
      <c r="B110" s="69"/>
      <c r="C110" s="69"/>
      <c r="D110" s="69"/>
      <c r="E110" s="69"/>
      <c r="F110" s="70"/>
      <c r="G110" s="71"/>
      <c r="H110" s="64"/>
      <c r="I110" s="71"/>
      <c r="J110" s="72"/>
      <c r="K110" s="71"/>
      <c r="L110" s="71"/>
      <c r="M110" s="71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3.25" customHeight="1">
      <c r="A111" s="27"/>
      <c r="B111" s="69"/>
      <c r="C111" s="69"/>
      <c r="D111" s="69"/>
      <c r="E111" s="69"/>
      <c r="F111" s="70"/>
      <c r="G111" s="71"/>
      <c r="H111" s="64"/>
      <c r="I111" s="71"/>
      <c r="J111" s="72"/>
      <c r="K111" s="71"/>
      <c r="L111" s="71"/>
      <c r="M111" s="71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3.25" customHeight="1">
      <c r="A112" s="27"/>
      <c r="B112" s="69"/>
      <c r="C112" s="69"/>
      <c r="D112" s="69"/>
      <c r="E112" s="69"/>
      <c r="F112" s="70"/>
      <c r="G112" s="71"/>
      <c r="H112" s="64"/>
      <c r="I112" s="71"/>
      <c r="J112" s="72"/>
      <c r="K112" s="71"/>
      <c r="L112" s="71"/>
      <c r="M112" s="71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3.25" customHeight="1">
      <c r="A113" s="27"/>
      <c r="B113" s="69"/>
      <c r="C113" s="69"/>
      <c r="D113" s="69"/>
      <c r="E113" s="69"/>
      <c r="F113" s="70"/>
      <c r="G113" s="71"/>
      <c r="H113" s="64"/>
      <c r="I113" s="71"/>
      <c r="J113" s="72"/>
      <c r="K113" s="71"/>
      <c r="L113" s="71"/>
      <c r="M113" s="71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3.25" customHeight="1">
      <c r="A114" s="27"/>
      <c r="B114" s="69"/>
      <c r="C114" s="69"/>
      <c r="D114" s="69"/>
      <c r="E114" s="69"/>
      <c r="F114" s="70"/>
      <c r="G114" s="71"/>
      <c r="H114" s="64"/>
      <c r="I114" s="71"/>
      <c r="J114" s="72"/>
      <c r="K114" s="71"/>
      <c r="L114" s="71"/>
      <c r="M114" s="71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3.25" customHeight="1">
      <c r="A115" s="27"/>
      <c r="B115" s="69"/>
      <c r="C115" s="69"/>
      <c r="D115" s="69"/>
      <c r="E115" s="69"/>
      <c r="F115" s="70"/>
      <c r="G115" s="71"/>
      <c r="H115" s="64"/>
      <c r="I115" s="71"/>
      <c r="J115" s="72"/>
      <c r="K115" s="71"/>
      <c r="L115" s="71"/>
      <c r="M115" s="71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3.25" customHeight="1">
      <c r="A116" s="27"/>
      <c r="B116" s="69"/>
      <c r="C116" s="69"/>
      <c r="D116" s="69"/>
      <c r="E116" s="69"/>
      <c r="F116" s="70"/>
      <c r="G116" s="71"/>
      <c r="H116" s="64"/>
      <c r="I116" s="71"/>
      <c r="J116" s="72"/>
      <c r="K116" s="71"/>
      <c r="L116" s="71"/>
      <c r="M116" s="71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3.25" customHeight="1">
      <c r="A117" s="27"/>
      <c r="B117" s="69"/>
      <c r="C117" s="69"/>
      <c r="D117" s="69"/>
      <c r="E117" s="69"/>
      <c r="F117" s="70"/>
      <c r="G117" s="71"/>
      <c r="H117" s="64"/>
      <c r="I117" s="71"/>
      <c r="J117" s="72"/>
      <c r="K117" s="71"/>
      <c r="L117" s="71"/>
      <c r="M117" s="71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3.25" customHeight="1">
      <c r="A118" s="27"/>
      <c r="B118" s="27"/>
      <c r="C118" s="27"/>
      <c r="D118" s="27"/>
      <c r="E118" s="27"/>
      <c r="F118" s="27"/>
      <c r="G118" s="27"/>
      <c r="H118" s="64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3.25" customHeight="1">
      <c r="A119" s="27"/>
      <c r="B119" s="69"/>
      <c r="C119" s="69"/>
      <c r="D119" s="69"/>
      <c r="E119" s="69"/>
      <c r="F119" s="70"/>
      <c r="G119" s="71"/>
      <c r="H119" s="64"/>
      <c r="I119" s="71"/>
      <c r="J119" s="72"/>
      <c r="K119" s="71"/>
      <c r="L119" s="71"/>
      <c r="M119" s="71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3.25" customHeight="1">
      <c r="A120" s="27"/>
      <c r="B120" s="69"/>
      <c r="C120" s="69"/>
      <c r="D120" s="69"/>
      <c r="E120" s="69"/>
      <c r="F120" s="70"/>
      <c r="G120" s="71"/>
      <c r="H120" s="64"/>
      <c r="I120" s="71"/>
      <c r="J120" s="72"/>
      <c r="K120" s="71"/>
      <c r="L120" s="71"/>
      <c r="M120" s="71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23.25" customHeight="1">
      <c r="A121" s="27"/>
      <c r="B121" s="69"/>
      <c r="C121" s="69"/>
      <c r="D121" s="69"/>
      <c r="E121" s="69"/>
      <c r="F121" s="70"/>
      <c r="G121" s="71"/>
      <c r="H121" s="64"/>
      <c r="I121" s="71"/>
      <c r="J121" s="72"/>
      <c r="K121" s="71"/>
      <c r="L121" s="71"/>
      <c r="M121" s="71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3.25" customHeight="1">
      <c r="A122" s="27"/>
      <c r="B122" s="69"/>
      <c r="C122" s="69"/>
      <c r="D122" s="69"/>
      <c r="E122" s="69"/>
      <c r="F122" s="70"/>
      <c r="G122" s="71"/>
      <c r="H122" s="64"/>
      <c r="I122" s="71"/>
      <c r="J122" s="72"/>
      <c r="K122" s="71"/>
      <c r="L122" s="71"/>
      <c r="M122" s="71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3.25" customHeight="1">
      <c r="A123" s="27"/>
      <c r="B123" s="69"/>
      <c r="C123" s="69"/>
      <c r="D123" s="69"/>
      <c r="E123" s="69"/>
      <c r="F123" s="70"/>
      <c r="G123" s="71"/>
      <c r="H123" s="64"/>
      <c r="I123" s="71"/>
      <c r="J123" s="72"/>
      <c r="K123" s="71"/>
      <c r="L123" s="71"/>
      <c r="M123" s="71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3.25" customHeight="1">
      <c r="A124" s="27"/>
      <c r="B124" s="69"/>
      <c r="C124" s="69"/>
      <c r="D124" s="69"/>
      <c r="E124" s="69"/>
      <c r="F124" s="70"/>
      <c r="G124" s="71"/>
      <c r="H124" s="64"/>
      <c r="I124" s="71"/>
      <c r="J124" s="72"/>
      <c r="K124" s="71"/>
      <c r="L124" s="71"/>
      <c r="M124" s="71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3.25" customHeight="1">
      <c r="A125" s="27"/>
      <c r="B125" s="69"/>
      <c r="C125" s="69"/>
      <c r="D125" s="69"/>
      <c r="E125" s="69"/>
      <c r="F125" s="70"/>
      <c r="G125" s="71"/>
      <c r="H125" s="64"/>
      <c r="I125" s="71"/>
      <c r="J125" s="72"/>
      <c r="K125" s="71"/>
      <c r="L125" s="71"/>
      <c r="M125" s="7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3.25" customHeight="1">
      <c r="A126" s="27"/>
      <c r="B126" s="69"/>
      <c r="C126" s="69"/>
      <c r="D126" s="69"/>
      <c r="E126" s="69"/>
      <c r="F126" s="70"/>
      <c r="G126" s="71"/>
      <c r="H126" s="64"/>
      <c r="I126" s="71"/>
      <c r="J126" s="72"/>
      <c r="K126" s="71"/>
      <c r="L126" s="71"/>
      <c r="M126" s="71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3.25" customHeight="1">
      <c r="A127" s="27"/>
      <c r="B127" s="69"/>
      <c r="C127" s="69"/>
      <c r="D127" s="69"/>
      <c r="E127" s="69"/>
      <c r="F127" s="70"/>
      <c r="G127" s="71"/>
      <c r="H127" s="64"/>
      <c r="I127" s="71"/>
      <c r="J127" s="72"/>
      <c r="K127" s="71"/>
      <c r="L127" s="71"/>
      <c r="M127" s="71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3.25" customHeight="1">
      <c r="A128" s="27"/>
      <c r="B128" s="69"/>
      <c r="C128" s="69"/>
      <c r="D128" s="69"/>
      <c r="E128" s="69"/>
      <c r="F128" s="70"/>
      <c r="G128" s="71"/>
      <c r="H128" s="64"/>
      <c r="I128" s="71"/>
      <c r="J128" s="72"/>
      <c r="K128" s="71"/>
      <c r="L128" s="71"/>
      <c r="M128" s="7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3.25" customHeight="1">
      <c r="A129" s="27"/>
      <c r="B129" s="69"/>
      <c r="C129" s="69"/>
      <c r="D129" s="69"/>
      <c r="E129" s="69"/>
      <c r="F129" s="70"/>
      <c r="G129" s="71"/>
      <c r="H129" s="64"/>
      <c r="I129" s="71"/>
      <c r="J129" s="72"/>
      <c r="K129" s="71"/>
      <c r="L129" s="71"/>
      <c r="M129" s="71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23.25" customHeight="1">
      <c r="A130" s="27"/>
      <c r="B130" s="69"/>
      <c r="C130" s="69"/>
      <c r="D130" s="69"/>
      <c r="E130" s="69"/>
      <c r="F130" s="70"/>
      <c r="G130" s="71"/>
      <c r="H130" s="64"/>
      <c r="I130" s="71"/>
      <c r="J130" s="72"/>
      <c r="K130" s="71"/>
      <c r="L130" s="71"/>
      <c r="M130" s="71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23.25" customHeight="1">
      <c r="A131" s="27"/>
      <c r="B131" s="69"/>
      <c r="C131" s="69"/>
      <c r="D131" s="69"/>
      <c r="E131" s="69"/>
      <c r="F131" s="70"/>
      <c r="G131" s="71"/>
      <c r="H131" s="64"/>
      <c r="I131" s="71"/>
      <c r="J131" s="72"/>
      <c r="K131" s="71"/>
      <c r="L131" s="71"/>
      <c r="M131" s="71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23.25" customHeight="1">
      <c r="A132" s="27"/>
      <c r="B132" s="69"/>
      <c r="C132" s="69"/>
      <c r="D132" s="69"/>
      <c r="E132" s="69"/>
      <c r="F132" s="70"/>
      <c r="G132" s="71"/>
      <c r="H132" s="64"/>
      <c r="I132" s="71"/>
      <c r="J132" s="72"/>
      <c r="K132" s="71"/>
      <c r="L132" s="71"/>
      <c r="M132" s="71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3.25" customHeight="1">
      <c r="A133" s="27"/>
      <c r="B133" s="69"/>
      <c r="C133" s="69"/>
      <c r="D133" s="69"/>
      <c r="E133" s="69"/>
      <c r="F133" s="70"/>
      <c r="G133" s="71"/>
      <c r="H133" s="64"/>
      <c r="I133" s="71"/>
      <c r="J133" s="72"/>
      <c r="K133" s="71"/>
      <c r="L133" s="71"/>
      <c r="M133" s="71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3.25" customHeight="1">
      <c r="A134" s="27"/>
      <c r="B134" s="69"/>
      <c r="C134" s="69"/>
      <c r="D134" s="69"/>
      <c r="E134" s="69"/>
      <c r="F134" s="70"/>
      <c r="G134" s="71"/>
      <c r="H134" s="64"/>
      <c r="I134" s="71"/>
      <c r="J134" s="72"/>
      <c r="K134" s="71"/>
      <c r="L134" s="71"/>
      <c r="M134" s="71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23.25" customHeight="1">
      <c r="A135" s="27"/>
      <c r="B135" s="69"/>
      <c r="C135" s="69"/>
      <c r="D135" s="69"/>
      <c r="E135" s="69"/>
      <c r="F135" s="70"/>
      <c r="G135" s="71"/>
      <c r="H135" s="64"/>
      <c r="I135" s="71"/>
      <c r="J135" s="72"/>
      <c r="K135" s="71"/>
      <c r="L135" s="71"/>
      <c r="M135" s="71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23.25" customHeight="1">
      <c r="A136" s="27"/>
      <c r="B136" s="69"/>
      <c r="C136" s="69"/>
      <c r="D136" s="69"/>
      <c r="E136" s="69"/>
      <c r="F136" s="70"/>
      <c r="G136" s="71"/>
      <c r="H136" s="64"/>
      <c r="I136" s="71"/>
      <c r="J136" s="72"/>
      <c r="K136" s="71"/>
      <c r="L136" s="71"/>
      <c r="M136" s="71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23.25" customHeight="1">
      <c r="A137" s="27"/>
      <c r="B137" s="69"/>
      <c r="C137" s="69"/>
      <c r="D137" s="69"/>
      <c r="E137" s="69"/>
      <c r="F137" s="70"/>
      <c r="G137" s="71"/>
      <c r="H137" s="64"/>
      <c r="I137" s="71"/>
      <c r="J137" s="72"/>
      <c r="K137" s="71"/>
      <c r="L137" s="71"/>
      <c r="M137" s="71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23.25" customHeight="1">
      <c r="A138" s="27"/>
      <c r="B138" s="69"/>
      <c r="C138" s="69"/>
      <c r="D138" s="69"/>
      <c r="E138" s="69"/>
      <c r="F138" s="70"/>
      <c r="G138" s="71"/>
      <c r="H138" s="64"/>
      <c r="I138" s="71"/>
      <c r="J138" s="72"/>
      <c r="K138" s="71"/>
      <c r="L138" s="71"/>
      <c r="M138" s="71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23.25" customHeight="1">
      <c r="A139" s="27"/>
      <c r="B139" s="69"/>
      <c r="C139" s="69"/>
      <c r="D139" s="69"/>
      <c r="E139" s="69"/>
      <c r="F139" s="70"/>
      <c r="G139" s="71"/>
      <c r="H139" s="64"/>
      <c r="I139" s="71"/>
      <c r="J139" s="72"/>
      <c r="K139" s="71"/>
      <c r="L139" s="71"/>
      <c r="M139" s="71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23.25" customHeight="1">
      <c r="A140" s="27"/>
      <c r="B140" s="69"/>
      <c r="C140" s="69"/>
      <c r="D140" s="69"/>
      <c r="E140" s="69"/>
      <c r="F140" s="70"/>
      <c r="G140" s="71"/>
      <c r="H140" s="64"/>
      <c r="I140" s="71"/>
      <c r="J140" s="72"/>
      <c r="K140" s="71"/>
      <c r="L140" s="71"/>
      <c r="M140" s="71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3.25" customHeight="1">
      <c r="A141" s="27"/>
      <c r="B141" s="69"/>
      <c r="C141" s="69"/>
      <c r="D141" s="69"/>
      <c r="E141" s="69"/>
      <c r="F141" s="70"/>
      <c r="G141" s="71"/>
      <c r="H141" s="73"/>
      <c r="I141" s="71"/>
      <c r="J141" s="72"/>
      <c r="K141" s="71"/>
      <c r="L141" s="71"/>
      <c r="M141" s="71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23.25" customHeight="1">
      <c r="A142" s="27"/>
      <c r="B142" s="69"/>
      <c r="C142" s="69"/>
      <c r="D142" s="69"/>
      <c r="E142" s="69"/>
      <c r="F142" s="70"/>
      <c r="G142" s="71"/>
      <c r="H142" s="25"/>
      <c r="I142" s="71"/>
      <c r="J142" s="72"/>
      <c r="K142" s="71"/>
      <c r="L142" s="71"/>
      <c r="M142" s="71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23.25" customHeight="1">
      <c r="A143" s="27"/>
      <c r="B143" s="69"/>
      <c r="C143" s="69"/>
      <c r="D143" s="69"/>
      <c r="E143" s="69"/>
      <c r="F143" s="70"/>
      <c r="G143" s="71"/>
      <c r="H143" s="25"/>
      <c r="I143" s="71"/>
      <c r="J143" s="72"/>
      <c r="K143" s="71"/>
      <c r="L143" s="71"/>
      <c r="M143" s="71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23.25" customHeight="1">
      <c r="A144" s="27"/>
      <c r="B144" s="69"/>
      <c r="C144" s="69"/>
      <c r="D144" s="69"/>
      <c r="E144" s="69"/>
      <c r="F144" s="70"/>
      <c r="G144" s="71"/>
      <c r="H144" s="25"/>
      <c r="I144" s="71"/>
      <c r="J144" s="72"/>
      <c r="K144" s="71"/>
      <c r="L144" s="71"/>
      <c r="M144" s="71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23.25" customHeight="1">
      <c r="A145" s="27"/>
      <c r="B145" s="69"/>
      <c r="C145" s="69"/>
      <c r="D145" s="69"/>
      <c r="E145" s="69"/>
      <c r="F145" s="70"/>
      <c r="G145" s="71"/>
      <c r="H145" s="25"/>
      <c r="I145" s="71"/>
      <c r="J145" s="72"/>
      <c r="K145" s="71"/>
      <c r="L145" s="71"/>
      <c r="M145" s="71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23.25" customHeight="1">
      <c r="A146" s="27"/>
      <c r="B146" s="69"/>
      <c r="C146" s="69"/>
      <c r="D146" s="69"/>
      <c r="E146" s="69"/>
      <c r="F146" s="70"/>
      <c r="G146" s="71"/>
      <c r="H146" s="25"/>
      <c r="I146" s="71"/>
      <c r="J146" s="72"/>
      <c r="K146" s="71"/>
      <c r="L146" s="71"/>
      <c r="M146" s="71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23.25" customHeight="1">
      <c r="A147" s="27"/>
      <c r="B147" s="69"/>
      <c r="C147" s="69"/>
      <c r="D147" s="69"/>
      <c r="E147" s="69"/>
      <c r="F147" s="70"/>
      <c r="G147" s="71"/>
      <c r="H147" s="25"/>
      <c r="I147" s="71"/>
      <c r="J147" s="72"/>
      <c r="K147" s="71"/>
      <c r="L147" s="71"/>
      <c r="M147" s="71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23.25" customHeight="1">
      <c r="A148" s="27"/>
      <c r="B148" s="69"/>
      <c r="C148" s="69"/>
      <c r="D148" s="69"/>
      <c r="E148" s="69"/>
      <c r="F148" s="70"/>
      <c r="G148" s="71"/>
      <c r="H148" s="25"/>
      <c r="I148" s="71"/>
      <c r="J148" s="72"/>
      <c r="K148" s="71"/>
      <c r="L148" s="71"/>
      <c r="M148" s="71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23.25" customHeight="1">
      <c r="A149" s="27"/>
      <c r="B149" s="69"/>
      <c r="C149" s="69"/>
      <c r="D149" s="69"/>
      <c r="E149" s="69"/>
      <c r="F149" s="70"/>
      <c r="G149" s="71"/>
      <c r="H149" s="25"/>
      <c r="I149" s="71"/>
      <c r="J149" s="72"/>
      <c r="K149" s="71"/>
      <c r="L149" s="71"/>
      <c r="M149" s="71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23.25" customHeight="1">
      <c r="A150" s="27"/>
      <c r="B150" s="69"/>
      <c r="C150" s="69"/>
      <c r="D150" s="69"/>
      <c r="E150" s="69"/>
      <c r="F150" s="70"/>
      <c r="G150" s="71"/>
      <c r="H150" s="25"/>
      <c r="I150" s="71"/>
      <c r="J150" s="72"/>
      <c r="K150" s="71"/>
      <c r="L150" s="71"/>
      <c r="M150" s="71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23.25" customHeight="1">
      <c r="A151" s="27"/>
      <c r="B151" s="69"/>
      <c r="C151" s="69"/>
      <c r="D151" s="69"/>
      <c r="E151" s="69"/>
      <c r="F151" s="70"/>
      <c r="G151" s="71"/>
      <c r="H151" s="25"/>
      <c r="I151" s="71"/>
      <c r="J151" s="72"/>
      <c r="K151" s="71"/>
      <c r="L151" s="71"/>
      <c r="M151" s="71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23.25" customHeight="1">
      <c r="A152" s="27"/>
      <c r="B152" s="69"/>
      <c r="C152" s="69"/>
      <c r="D152" s="69"/>
      <c r="E152" s="69"/>
      <c r="F152" s="70"/>
      <c r="G152" s="71"/>
      <c r="H152" s="25"/>
      <c r="I152" s="71"/>
      <c r="J152" s="72"/>
      <c r="K152" s="71"/>
      <c r="L152" s="71"/>
      <c r="M152" s="71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23.25" customHeight="1">
      <c r="A153" s="27"/>
      <c r="B153" s="69"/>
      <c r="C153" s="69"/>
      <c r="D153" s="69"/>
      <c r="E153" s="69"/>
      <c r="F153" s="70"/>
      <c r="G153" s="71"/>
      <c r="H153" s="25"/>
      <c r="I153" s="71"/>
      <c r="J153" s="72"/>
      <c r="K153" s="71"/>
      <c r="L153" s="71"/>
      <c r="M153" s="71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23.25" customHeight="1">
      <c r="A154" s="27"/>
      <c r="B154" s="69"/>
      <c r="C154" s="69"/>
      <c r="D154" s="69"/>
      <c r="E154" s="69"/>
      <c r="F154" s="70"/>
      <c r="G154" s="71"/>
      <c r="H154" s="25"/>
      <c r="I154" s="71"/>
      <c r="J154" s="72"/>
      <c r="K154" s="71"/>
      <c r="L154" s="71"/>
      <c r="M154" s="71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23.25" customHeight="1">
      <c r="A155" s="27"/>
      <c r="B155" s="69"/>
      <c r="C155" s="69"/>
      <c r="D155" s="69"/>
      <c r="E155" s="69"/>
      <c r="F155" s="70"/>
      <c r="G155" s="71"/>
      <c r="H155" s="25"/>
      <c r="I155" s="71"/>
      <c r="J155" s="72"/>
      <c r="K155" s="71"/>
      <c r="L155" s="71"/>
      <c r="M155" s="71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23.25" customHeight="1">
      <c r="A156" s="27"/>
      <c r="B156" s="69"/>
      <c r="C156" s="69"/>
      <c r="D156" s="69"/>
      <c r="E156" s="69"/>
      <c r="F156" s="70"/>
      <c r="G156" s="71"/>
      <c r="H156" s="25"/>
      <c r="I156" s="71"/>
      <c r="J156" s="72"/>
      <c r="K156" s="71"/>
      <c r="L156" s="71"/>
      <c r="M156" s="71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23.25" customHeight="1">
      <c r="A157" s="27"/>
      <c r="B157" s="69"/>
      <c r="C157" s="69"/>
      <c r="D157" s="69"/>
      <c r="E157" s="69"/>
      <c r="F157" s="70"/>
      <c r="G157" s="71"/>
      <c r="H157" s="25"/>
      <c r="I157" s="71"/>
      <c r="J157" s="72"/>
      <c r="K157" s="71"/>
      <c r="L157" s="71"/>
      <c r="M157" s="71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23.25" customHeight="1">
      <c r="A158" s="27"/>
      <c r="B158" s="69"/>
      <c r="C158" s="69"/>
      <c r="D158" s="69"/>
      <c r="E158" s="69"/>
      <c r="F158" s="70"/>
      <c r="G158" s="71"/>
      <c r="H158" s="25"/>
      <c r="I158" s="71"/>
      <c r="J158" s="72"/>
      <c r="K158" s="71"/>
      <c r="L158" s="71"/>
      <c r="M158" s="71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23.25" customHeight="1">
      <c r="A159" s="27"/>
      <c r="B159" s="69"/>
      <c r="C159" s="69"/>
      <c r="D159" s="69"/>
      <c r="E159" s="69"/>
      <c r="F159" s="70"/>
      <c r="G159" s="71"/>
      <c r="H159" s="25"/>
      <c r="I159" s="71"/>
      <c r="J159" s="72"/>
      <c r="K159" s="71"/>
      <c r="L159" s="71"/>
      <c r="M159" s="71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23.25" customHeight="1">
      <c r="A160" s="27"/>
      <c r="B160" s="69"/>
      <c r="C160" s="69"/>
      <c r="D160" s="69"/>
      <c r="E160" s="69"/>
      <c r="F160" s="70"/>
      <c r="G160" s="71"/>
      <c r="H160" s="25"/>
      <c r="I160" s="71"/>
      <c r="J160" s="72"/>
      <c r="K160" s="71"/>
      <c r="L160" s="71"/>
      <c r="M160" s="71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23.25" customHeight="1">
      <c r="A161" s="27"/>
      <c r="B161" s="69"/>
      <c r="C161" s="69"/>
      <c r="D161" s="69"/>
      <c r="E161" s="69"/>
      <c r="F161" s="70"/>
      <c r="G161" s="71"/>
      <c r="H161" s="25"/>
      <c r="I161" s="71"/>
      <c r="J161" s="72"/>
      <c r="K161" s="71"/>
      <c r="L161" s="71"/>
      <c r="M161" s="71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23.25" customHeight="1">
      <c r="A162" s="27"/>
      <c r="B162" s="69"/>
      <c r="C162" s="69"/>
      <c r="D162" s="69"/>
      <c r="E162" s="69"/>
      <c r="F162" s="70"/>
      <c r="G162" s="71"/>
      <c r="H162" s="25"/>
      <c r="I162" s="71"/>
      <c r="J162" s="72"/>
      <c r="K162" s="71"/>
      <c r="L162" s="71"/>
      <c r="M162" s="71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23.25" customHeight="1">
      <c r="A163" s="27"/>
      <c r="B163" s="69"/>
      <c r="C163" s="69"/>
      <c r="D163" s="69"/>
      <c r="E163" s="69"/>
      <c r="F163" s="70"/>
      <c r="G163" s="71"/>
      <c r="H163" s="25"/>
      <c r="I163" s="71"/>
      <c r="J163" s="72"/>
      <c r="K163" s="71"/>
      <c r="L163" s="71"/>
      <c r="M163" s="71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23.25" customHeight="1">
      <c r="A164" s="27"/>
      <c r="B164" s="69"/>
      <c r="C164" s="69"/>
      <c r="D164" s="69"/>
      <c r="E164" s="69"/>
      <c r="F164" s="70"/>
      <c r="G164" s="71"/>
      <c r="H164" s="25"/>
      <c r="I164" s="71"/>
      <c r="J164" s="72"/>
      <c r="K164" s="71"/>
      <c r="L164" s="71"/>
      <c r="M164" s="71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23.25" customHeight="1">
      <c r="A165" s="27"/>
      <c r="B165" s="69"/>
      <c r="C165" s="69"/>
      <c r="D165" s="69"/>
      <c r="E165" s="69"/>
      <c r="F165" s="70"/>
      <c r="G165" s="71"/>
      <c r="H165" s="25"/>
      <c r="I165" s="71"/>
      <c r="J165" s="72"/>
      <c r="K165" s="71"/>
      <c r="L165" s="71"/>
      <c r="M165" s="71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23.25" customHeight="1">
      <c r="A166" s="27"/>
      <c r="B166" s="69"/>
      <c r="C166" s="69"/>
      <c r="D166" s="69"/>
      <c r="E166" s="69"/>
      <c r="F166" s="70"/>
      <c r="G166" s="71"/>
      <c r="H166" s="25"/>
      <c r="I166" s="71"/>
      <c r="J166" s="72"/>
      <c r="K166" s="71"/>
      <c r="L166" s="71"/>
      <c r="M166" s="71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23.25" customHeight="1">
      <c r="A167" s="27"/>
      <c r="B167" s="69"/>
      <c r="C167" s="69"/>
      <c r="D167" s="69"/>
      <c r="E167" s="69"/>
      <c r="F167" s="70"/>
      <c r="G167" s="71"/>
      <c r="H167" s="25"/>
      <c r="I167" s="71"/>
      <c r="J167" s="72"/>
      <c r="K167" s="71"/>
      <c r="L167" s="71"/>
      <c r="M167" s="71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23.25" customHeight="1">
      <c r="A168" s="27"/>
      <c r="B168" s="69"/>
      <c r="C168" s="69"/>
      <c r="D168" s="69"/>
      <c r="E168" s="69"/>
      <c r="F168" s="70"/>
      <c r="G168" s="71"/>
      <c r="H168" s="25"/>
      <c r="I168" s="71"/>
      <c r="J168" s="72"/>
      <c r="K168" s="71"/>
      <c r="L168" s="71"/>
      <c r="M168" s="71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23.25" customHeight="1">
      <c r="A169" s="27"/>
      <c r="B169" s="69"/>
      <c r="C169" s="69"/>
      <c r="D169" s="69"/>
      <c r="E169" s="69"/>
      <c r="F169" s="70"/>
      <c r="G169" s="71"/>
      <c r="H169" s="25"/>
      <c r="I169" s="71"/>
      <c r="J169" s="72"/>
      <c r="K169" s="71"/>
      <c r="L169" s="71"/>
      <c r="M169" s="71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23.25" customHeight="1">
      <c r="A170" s="27"/>
      <c r="B170" s="69"/>
      <c r="C170" s="69"/>
      <c r="D170" s="69"/>
      <c r="E170" s="69"/>
      <c r="F170" s="70"/>
      <c r="G170" s="71"/>
      <c r="H170" s="25"/>
      <c r="I170" s="71"/>
      <c r="J170" s="72"/>
      <c r="K170" s="71"/>
      <c r="L170" s="71"/>
      <c r="M170" s="71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23.25" customHeight="1">
      <c r="A171" s="27"/>
      <c r="B171" s="69"/>
      <c r="C171" s="69"/>
      <c r="D171" s="69"/>
      <c r="E171" s="69"/>
      <c r="F171" s="70"/>
      <c r="G171" s="71"/>
      <c r="H171" s="25"/>
      <c r="I171" s="71"/>
      <c r="J171" s="72"/>
      <c r="K171" s="71"/>
      <c r="L171" s="71"/>
      <c r="M171" s="71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23.25" customHeight="1">
      <c r="A172" s="27"/>
      <c r="B172" s="69"/>
      <c r="C172" s="69"/>
      <c r="D172" s="69"/>
      <c r="E172" s="69"/>
      <c r="F172" s="70"/>
      <c r="G172" s="71"/>
      <c r="H172" s="25"/>
      <c r="I172" s="71"/>
      <c r="J172" s="72"/>
      <c r="K172" s="71"/>
      <c r="L172" s="71"/>
      <c r="M172" s="71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23.25" customHeight="1">
      <c r="A173" s="27"/>
      <c r="B173" s="69"/>
      <c r="C173" s="69"/>
      <c r="D173" s="69"/>
      <c r="E173" s="69"/>
      <c r="F173" s="70"/>
      <c r="G173" s="71"/>
      <c r="H173" s="25"/>
      <c r="I173" s="71"/>
      <c r="J173" s="72"/>
      <c r="K173" s="71"/>
      <c r="L173" s="71"/>
      <c r="M173" s="71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23.25" customHeight="1">
      <c r="A174" s="27"/>
      <c r="B174" s="69"/>
      <c r="C174" s="69"/>
      <c r="D174" s="69"/>
      <c r="E174" s="69"/>
      <c r="F174" s="70"/>
      <c r="G174" s="71"/>
      <c r="H174" s="25"/>
      <c r="I174" s="71"/>
      <c r="J174" s="72"/>
      <c r="K174" s="71"/>
      <c r="L174" s="71"/>
      <c r="M174" s="71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23.25" customHeight="1">
      <c r="A175" s="27"/>
      <c r="B175" s="69"/>
      <c r="C175" s="69"/>
      <c r="D175" s="69"/>
      <c r="E175" s="69"/>
      <c r="F175" s="70"/>
      <c r="G175" s="71"/>
      <c r="H175" s="25"/>
      <c r="I175" s="71"/>
      <c r="J175" s="72"/>
      <c r="K175" s="71"/>
      <c r="L175" s="71"/>
      <c r="M175" s="71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23.25" customHeight="1">
      <c r="A176" s="27"/>
      <c r="B176" s="69"/>
      <c r="C176" s="69"/>
      <c r="D176" s="69"/>
      <c r="E176" s="69"/>
      <c r="F176" s="70"/>
      <c r="G176" s="71"/>
      <c r="H176" s="25"/>
      <c r="I176" s="71"/>
      <c r="J176" s="72"/>
      <c r="K176" s="71"/>
      <c r="L176" s="71"/>
      <c r="M176" s="71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23.25" customHeight="1">
      <c r="A177" s="27"/>
      <c r="B177" s="69"/>
      <c r="C177" s="69"/>
      <c r="D177" s="69"/>
      <c r="E177" s="69"/>
      <c r="F177" s="70"/>
      <c r="G177" s="71"/>
      <c r="H177" s="25"/>
      <c r="I177" s="71"/>
      <c r="J177" s="72"/>
      <c r="K177" s="71"/>
      <c r="L177" s="71"/>
      <c r="M177" s="71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23.25" customHeight="1">
      <c r="A178" s="27"/>
      <c r="B178" s="69"/>
      <c r="C178" s="69"/>
      <c r="D178" s="69"/>
      <c r="E178" s="69"/>
      <c r="F178" s="70"/>
      <c r="G178" s="71"/>
      <c r="H178" s="25"/>
      <c r="I178" s="71"/>
      <c r="J178" s="72"/>
      <c r="K178" s="71"/>
      <c r="L178" s="71"/>
      <c r="M178" s="71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23.25" customHeight="1">
      <c r="A179" s="27"/>
      <c r="B179" s="69"/>
      <c r="C179" s="69"/>
      <c r="D179" s="69"/>
      <c r="E179" s="69"/>
      <c r="F179" s="70"/>
      <c r="G179" s="71"/>
      <c r="H179" s="25"/>
      <c r="I179" s="71"/>
      <c r="J179" s="72"/>
      <c r="K179" s="71"/>
      <c r="L179" s="71"/>
      <c r="M179" s="71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23.25" customHeight="1">
      <c r="A180" s="27"/>
      <c r="B180" s="69"/>
      <c r="C180" s="69"/>
      <c r="D180" s="69"/>
      <c r="E180" s="69"/>
      <c r="F180" s="70"/>
      <c r="G180" s="71"/>
      <c r="H180" s="25"/>
      <c r="I180" s="71"/>
      <c r="J180" s="72"/>
      <c r="K180" s="71"/>
      <c r="L180" s="71"/>
      <c r="M180" s="71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23.25" customHeight="1">
      <c r="A181" s="27"/>
      <c r="B181" s="69"/>
      <c r="C181" s="69"/>
      <c r="D181" s="69"/>
      <c r="E181" s="69"/>
      <c r="F181" s="70"/>
      <c r="G181" s="71"/>
      <c r="H181" s="25"/>
      <c r="I181" s="71"/>
      <c r="J181" s="72"/>
      <c r="K181" s="71"/>
      <c r="L181" s="71"/>
      <c r="M181" s="71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23.25" customHeight="1">
      <c r="A182" s="27"/>
      <c r="B182" s="69"/>
      <c r="C182" s="69"/>
      <c r="D182" s="69"/>
      <c r="E182" s="69"/>
      <c r="F182" s="70"/>
      <c r="G182" s="71"/>
      <c r="H182" s="25"/>
      <c r="I182" s="71"/>
      <c r="J182" s="72"/>
      <c r="K182" s="71"/>
      <c r="L182" s="71"/>
      <c r="M182" s="71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23.25" customHeight="1">
      <c r="A183" s="27"/>
      <c r="B183" s="69"/>
      <c r="C183" s="69"/>
      <c r="D183" s="69"/>
      <c r="E183" s="69"/>
      <c r="F183" s="70"/>
      <c r="G183" s="71"/>
      <c r="H183" s="25"/>
      <c r="I183" s="71"/>
      <c r="J183" s="72"/>
      <c r="K183" s="71"/>
      <c r="L183" s="71"/>
      <c r="M183" s="71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3.25" customHeight="1">
      <c r="A184" s="27"/>
      <c r="B184" s="69"/>
      <c r="C184" s="69"/>
      <c r="D184" s="69"/>
      <c r="E184" s="69"/>
      <c r="F184" s="70"/>
      <c r="G184" s="71"/>
      <c r="H184" s="25"/>
      <c r="I184" s="71"/>
      <c r="J184" s="72"/>
      <c r="K184" s="71"/>
      <c r="L184" s="71"/>
      <c r="M184" s="71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3.25" customHeight="1">
      <c r="A185" s="27"/>
      <c r="B185" s="69"/>
      <c r="C185" s="69"/>
      <c r="D185" s="69"/>
      <c r="E185" s="69"/>
      <c r="F185" s="70"/>
      <c r="G185" s="71"/>
      <c r="H185" s="25"/>
      <c r="I185" s="71"/>
      <c r="J185" s="72"/>
      <c r="K185" s="71"/>
      <c r="L185" s="71"/>
      <c r="M185" s="71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3.25" customHeight="1">
      <c r="A186" s="27"/>
      <c r="B186" s="69"/>
      <c r="C186" s="69"/>
      <c r="D186" s="69"/>
      <c r="E186" s="69"/>
      <c r="F186" s="70"/>
      <c r="G186" s="71"/>
      <c r="H186" s="25"/>
      <c r="I186" s="71"/>
      <c r="J186" s="72"/>
      <c r="K186" s="71"/>
      <c r="L186" s="71"/>
      <c r="M186" s="71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23.25" customHeight="1">
      <c r="A187" s="27"/>
      <c r="B187" s="69"/>
      <c r="C187" s="69"/>
      <c r="D187" s="69"/>
      <c r="E187" s="69"/>
      <c r="F187" s="70"/>
      <c r="G187" s="71"/>
      <c r="H187" s="25"/>
      <c r="I187" s="71"/>
      <c r="J187" s="72"/>
      <c r="K187" s="71"/>
      <c r="L187" s="71"/>
      <c r="M187" s="71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23.25" customHeight="1">
      <c r="A188" s="27"/>
      <c r="B188" s="69"/>
      <c r="C188" s="69"/>
      <c r="D188" s="69"/>
      <c r="E188" s="69"/>
      <c r="F188" s="70"/>
      <c r="G188" s="71"/>
      <c r="H188" s="25"/>
      <c r="I188" s="71"/>
      <c r="J188" s="72"/>
      <c r="K188" s="71"/>
      <c r="L188" s="71"/>
      <c r="M188" s="71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23.25" customHeight="1">
      <c r="A189" s="27"/>
      <c r="B189" s="69"/>
      <c r="C189" s="69"/>
      <c r="D189" s="69"/>
      <c r="E189" s="69"/>
      <c r="F189" s="70"/>
      <c r="G189" s="71"/>
      <c r="H189" s="25"/>
      <c r="I189" s="71"/>
      <c r="J189" s="72"/>
      <c r="K189" s="71"/>
      <c r="L189" s="71"/>
      <c r="M189" s="71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23.25" customHeight="1">
      <c r="A190" s="27"/>
      <c r="B190" s="69"/>
      <c r="C190" s="69"/>
      <c r="D190" s="69"/>
      <c r="E190" s="69"/>
      <c r="F190" s="70"/>
      <c r="G190" s="71"/>
      <c r="H190" s="25"/>
      <c r="I190" s="71"/>
      <c r="J190" s="72"/>
      <c r="K190" s="71"/>
      <c r="L190" s="71"/>
      <c r="M190" s="71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23.25" customHeight="1">
      <c r="A191" s="27"/>
      <c r="B191" s="69"/>
      <c r="C191" s="69"/>
      <c r="D191" s="69"/>
      <c r="E191" s="69"/>
      <c r="F191" s="70"/>
      <c r="G191" s="71"/>
      <c r="H191" s="25"/>
      <c r="I191" s="71"/>
      <c r="J191" s="72"/>
      <c r="K191" s="71"/>
      <c r="L191" s="71"/>
      <c r="M191" s="71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23.25" customHeight="1">
      <c r="A192" s="27"/>
      <c r="B192" s="69"/>
      <c r="C192" s="69"/>
      <c r="D192" s="69"/>
      <c r="E192" s="69"/>
      <c r="F192" s="70"/>
      <c r="G192" s="71"/>
      <c r="H192" s="25"/>
      <c r="I192" s="71"/>
      <c r="J192" s="72"/>
      <c r="K192" s="71"/>
      <c r="L192" s="71"/>
      <c r="M192" s="71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23.25" customHeight="1">
      <c r="A193" s="27"/>
      <c r="B193" s="69"/>
      <c r="C193" s="69"/>
      <c r="D193" s="69"/>
      <c r="E193" s="69"/>
      <c r="F193" s="70"/>
      <c r="G193" s="71"/>
      <c r="H193" s="25"/>
      <c r="I193" s="71"/>
      <c r="J193" s="72"/>
      <c r="K193" s="71"/>
      <c r="L193" s="71"/>
      <c r="M193" s="71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23.25" customHeight="1">
      <c r="A194" s="27"/>
      <c r="B194" s="69"/>
      <c r="C194" s="69"/>
      <c r="D194" s="69"/>
      <c r="E194" s="69"/>
      <c r="F194" s="70"/>
      <c r="G194" s="71"/>
      <c r="H194" s="25"/>
      <c r="I194" s="71"/>
      <c r="J194" s="72"/>
      <c r="K194" s="71"/>
      <c r="L194" s="71"/>
      <c r="M194" s="71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23.25" customHeight="1">
      <c r="A195" s="27"/>
      <c r="B195" s="69"/>
      <c r="C195" s="69"/>
      <c r="D195" s="69"/>
      <c r="E195" s="69"/>
      <c r="F195" s="70"/>
      <c r="G195" s="71"/>
      <c r="H195" s="25"/>
      <c r="I195" s="71"/>
      <c r="J195" s="72"/>
      <c r="K195" s="71"/>
      <c r="L195" s="71"/>
      <c r="M195" s="71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23.25" customHeight="1">
      <c r="A196" s="27"/>
      <c r="B196" s="69"/>
      <c r="C196" s="69"/>
      <c r="D196" s="69"/>
      <c r="E196" s="69"/>
      <c r="F196" s="70"/>
      <c r="G196" s="71"/>
      <c r="H196" s="25"/>
      <c r="I196" s="71"/>
      <c r="J196" s="72"/>
      <c r="K196" s="71"/>
      <c r="L196" s="71"/>
      <c r="M196" s="71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23.25" customHeight="1">
      <c r="A197" s="27"/>
      <c r="B197" s="69"/>
      <c r="C197" s="69"/>
      <c r="D197" s="69"/>
      <c r="E197" s="69"/>
      <c r="F197" s="70"/>
      <c r="G197" s="71"/>
      <c r="H197" s="25"/>
      <c r="I197" s="71"/>
      <c r="J197" s="72"/>
      <c r="K197" s="71"/>
      <c r="L197" s="71"/>
      <c r="M197" s="71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23.25" customHeight="1">
      <c r="A198" s="27"/>
      <c r="B198" s="69"/>
      <c r="C198" s="69"/>
      <c r="D198" s="69"/>
      <c r="E198" s="69"/>
      <c r="F198" s="70"/>
      <c r="G198" s="71"/>
      <c r="H198" s="25"/>
      <c r="I198" s="71"/>
      <c r="J198" s="72"/>
      <c r="K198" s="71"/>
      <c r="L198" s="71"/>
      <c r="M198" s="71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23.25" customHeight="1">
      <c r="A199" s="27"/>
      <c r="B199" s="69"/>
      <c r="C199" s="69"/>
      <c r="D199" s="69"/>
      <c r="E199" s="69"/>
      <c r="F199" s="70"/>
      <c r="G199" s="71"/>
      <c r="H199" s="25"/>
      <c r="I199" s="71"/>
      <c r="J199" s="72"/>
      <c r="K199" s="71"/>
      <c r="L199" s="71"/>
      <c r="M199" s="71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23.25" customHeight="1">
      <c r="A200" s="27"/>
      <c r="B200" s="69"/>
      <c r="C200" s="69"/>
      <c r="D200" s="69"/>
      <c r="E200" s="69"/>
      <c r="F200" s="70"/>
      <c r="G200" s="71"/>
      <c r="H200" s="25"/>
      <c r="I200" s="71"/>
      <c r="J200" s="72"/>
      <c r="K200" s="71"/>
      <c r="L200" s="71"/>
      <c r="M200" s="71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23.25" customHeight="1">
      <c r="A201" s="27"/>
      <c r="B201" s="69"/>
      <c r="C201" s="69"/>
      <c r="D201" s="69"/>
      <c r="E201" s="69"/>
      <c r="F201" s="70"/>
      <c r="G201" s="71"/>
      <c r="H201" s="25"/>
      <c r="I201" s="71"/>
      <c r="J201" s="72"/>
      <c r="K201" s="71"/>
      <c r="L201" s="71"/>
      <c r="M201" s="71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23.25" customHeight="1">
      <c r="A202" s="27"/>
      <c r="B202" s="69"/>
      <c r="C202" s="69"/>
      <c r="D202" s="69"/>
      <c r="E202" s="69"/>
      <c r="F202" s="70"/>
      <c r="G202" s="71"/>
      <c r="H202" s="25"/>
      <c r="I202" s="71"/>
      <c r="J202" s="72"/>
      <c r="K202" s="71"/>
      <c r="L202" s="71"/>
      <c r="M202" s="71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23.25" customHeight="1">
      <c r="A203" s="27"/>
      <c r="B203" s="69"/>
      <c r="C203" s="69"/>
      <c r="D203" s="69"/>
      <c r="E203" s="69"/>
      <c r="F203" s="70"/>
      <c r="G203" s="71"/>
      <c r="H203" s="25"/>
      <c r="I203" s="71"/>
      <c r="J203" s="72"/>
      <c r="K203" s="71"/>
      <c r="L203" s="71"/>
      <c r="M203" s="71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23.25" customHeight="1">
      <c r="A204" s="27"/>
      <c r="B204" s="69"/>
      <c r="C204" s="69"/>
      <c r="D204" s="69"/>
      <c r="E204" s="69"/>
      <c r="F204" s="70"/>
      <c r="G204" s="71"/>
      <c r="H204" s="25"/>
      <c r="I204" s="71"/>
      <c r="J204" s="72"/>
      <c r="K204" s="71"/>
      <c r="L204" s="71"/>
      <c r="M204" s="71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23.25" customHeight="1">
      <c r="A205" s="27"/>
      <c r="B205" s="69"/>
      <c r="C205" s="69"/>
      <c r="D205" s="69"/>
      <c r="E205" s="69"/>
      <c r="F205" s="70"/>
      <c r="G205" s="71"/>
      <c r="H205" s="25"/>
      <c r="I205" s="71"/>
      <c r="J205" s="72"/>
      <c r="K205" s="71"/>
      <c r="L205" s="71"/>
      <c r="M205" s="71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23.25" customHeight="1">
      <c r="A206" s="27"/>
      <c r="B206" s="69"/>
      <c r="C206" s="69"/>
      <c r="D206" s="69"/>
      <c r="E206" s="69"/>
      <c r="F206" s="70"/>
      <c r="G206" s="71"/>
      <c r="H206" s="25"/>
      <c r="I206" s="71"/>
      <c r="J206" s="72"/>
      <c r="K206" s="71"/>
      <c r="L206" s="71"/>
      <c r="M206" s="71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23.25" customHeight="1">
      <c r="A207" s="27"/>
      <c r="B207" s="69"/>
      <c r="C207" s="69"/>
      <c r="D207" s="69"/>
      <c r="E207" s="69"/>
      <c r="F207" s="70"/>
      <c r="G207" s="71"/>
      <c r="H207" s="25"/>
      <c r="I207" s="71"/>
      <c r="J207" s="72"/>
      <c r="K207" s="71"/>
      <c r="L207" s="71"/>
      <c r="M207" s="71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23.25" customHeight="1">
      <c r="A208" s="27"/>
      <c r="B208" s="69"/>
      <c r="C208" s="69"/>
      <c r="D208" s="69"/>
      <c r="E208" s="69"/>
      <c r="F208" s="70"/>
      <c r="G208" s="71"/>
      <c r="H208" s="25"/>
      <c r="I208" s="71"/>
      <c r="J208" s="72"/>
      <c r="K208" s="71"/>
      <c r="L208" s="71"/>
      <c r="M208" s="71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23.25" customHeight="1">
      <c r="A209" s="27"/>
      <c r="B209" s="69"/>
      <c r="C209" s="69"/>
      <c r="D209" s="69"/>
      <c r="E209" s="69"/>
      <c r="F209" s="70"/>
      <c r="G209" s="71"/>
      <c r="H209" s="25"/>
      <c r="I209" s="71"/>
      <c r="J209" s="72"/>
      <c r="K209" s="71"/>
      <c r="L209" s="71"/>
      <c r="M209" s="71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23.25" customHeight="1">
      <c r="A210" s="27"/>
      <c r="B210" s="69"/>
      <c r="C210" s="69"/>
      <c r="D210" s="69"/>
      <c r="E210" s="69"/>
      <c r="F210" s="70"/>
      <c r="G210" s="71"/>
      <c r="H210" s="25"/>
      <c r="I210" s="71"/>
      <c r="J210" s="72"/>
      <c r="K210" s="71"/>
      <c r="L210" s="71"/>
      <c r="M210" s="71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23.25" customHeight="1">
      <c r="A211" s="27"/>
      <c r="B211" s="69"/>
      <c r="C211" s="69"/>
      <c r="D211" s="69"/>
      <c r="E211" s="69"/>
      <c r="F211" s="70"/>
      <c r="G211" s="71"/>
      <c r="H211" s="25"/>
      <c r="I211" s="71"/>
      <c r="J211" s="72"/>
      <c r="K211" s="71"/>
      <c r="L211" s="71"/>
      <c r="M211" s="71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23.25" customHeight="1">
      <c r="A212" s="27"/>
      <c r="B212" s="69"/>
      <c r="C212" s="69"/>
      <c r="D212" s="69"/>
      <c r="E212" s="69"/>
      <c r="F212" s="70"/>
      <c r="G212" s="71"/>
      <c r="H212" s="25"/>
      <c r="I212" s="71"/>
      <c r="J212" s="72"/>
      <c r="K212" s="71"/>
      <c r="L212" s="71"/>
      <c r="M212" s="71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23.25" customHeight="1">
      <c r="A213" s="27"/>
      <c r="B213" s="69"/>
      <c r="C213" s="69"/>
      <c r="D213" s="69"/>
      <c r="E213" s="69"/>
      <c r="F213" s="70"/>
      <c r="G213" s="71"/>
      <c r="H213" s="25"/>
      <c r="I213" s="71"/>
      <c r="J213" s="72"/>
      <c r="K213" s="71"/>
      <c r="L213" s="71"/>
      <c r="M213" s="71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23.25" customHeight="1">
      <c r="A214" s="27"/>
      <c r="B214" s="69"/>
      <c r="C214" s="69"/>
      <c r="D214" s="69"/>
      <c r="E214" s="69"/>
      <c r="F214" s="70"/>
      <c r="G214" s="71"/>
      <c r="H214" s="25"/>
      <c r="I214" s="71"/>
      <c r="J214" s="72"/>
      <c r="K214" s="71"/>
      <c r="L214" s="71"/>
      <c r="M214" s="71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23.25" customHeight="1">
      <c r="A215" s="27"/>
      <c r="B215" s="69"/>
      <c r="C215" s="69"/>
      <c r="D215" s="69"/>
      <c r="E215" s="69"/>
      <c r="F215" s="70"/>
      <c r="G215" s="71"/>
      <c r="H215" s="25"/>
      <c r="I215" s="71"/>
      <c r="J215" s="72"/>
      <c r="K215" s="71"/>
      <c r="L215" s="71"/>
      <c r="M215" s="71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23.25" customHeight="1">
      <c r="A216" s="27"/>
      <c r="B216" s="69"/>
      <c r="C216" s="69"/>
      <c r="D216" s="69"/>
      <c r="E216" s="69"/>
      <c r="F216" s="70"/>
      <c r="G216" s="71"/>
      <c r="H216" s="25"/>
      <c r="I216" s="71"/>
      <c r="J216" s="72"/>
      <c r="K216" s="71"/>
      <c r="L216" s="71"/>
      <c r="M216" s="71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23.25" customHeight="1">
      <c r="A217" s="27"/>
      <c r="B217" s="69"/>
      <c r="C217" s="69"/>
      <c r="D217" s="69"/>
      <c r="E217" s="69"/>
      <c r="F217" s="70"/>
      <c r="G217" s="71"/>
      <c r="H217" s="25"/>
      <c r="I217" s="71"/>
      <c r="J217" s="72"/>
      <c r="K217" s="71"/>
      <c r="L217" s="71"/>
      <c r="M217" s="71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23.25" customHeight="1">
      <c r="A218" s="27"/>
      <c r="B218" s="69"/>
      <c r="C218" s="69"/>
      <c r="D218" s="69"/>
      <c r="E218" s="69"/>
      <c r="F218" s="70"/>
      <c r="G218" s="71"/>
      <c r="H218" s="25"/>
      <c r="I218" s="71"/>
      <c r="J218" s="72"/>
      <c r="K218" s="71"/>
      <c r="L218" s="71"/>
      <c r="M218" s="71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23.25" customHeight="1">
      <c r="A219" s="27"/>
      <c r="B219" s="69"/>
      <c r="C219" s="69"/>
      <c r="D219" s="69"/>
      <c r="E219" s="69"/>
      <c r="F219" s="70"/>
      <c r="G219" s="71"/>
      <c r="H219" s="25"/>
      <c r="I219" s="71"/>
      <c r="J219" s="72"/>
      <c r="K219" s="71"/>
      <c r="L219" s="71"/>
      <c r="M219" s="71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23.25" customHeight="1">
      <c r="A220" s="27"/>
      <c r="B220" s="69"/>
      <c r="C220" s="69"/>
      <c r="D220" s="69"/>
      <c r="E220" s="69"/>
      <c r="F220" s="70"/>
      <c r="G220" s="71"/>
      <c r="H220" s="25"/>
      <c r="I220" s="71"/>
      <c r="J220" s="72"/>
      <c r="K220" s="71"/>
      <c r="L220" s="71"/>
      <c r="M220" s="71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23.25" customHeight="1">
      <c r="A221" s="27"/>
      <c r="B221" s="69"/>
      <c r="C221" s="69"/>
      <c r="D221" s="69"/>
      <c r="E221" s="69"/>
      <c r="F221" s="70"/>
      <c r="G221" s="71"/>
      <c r="H221" s="25"/>
      <c r="I221" s="71"/>
      <c r="J221" s="72"/>
      <c r="K221" s="71"/>
      <c r="L221" s="71"/>
      <c r="M221" s="71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23.25" customHeight="1">
      <c r="A222" s="27"/>
      <c r="B222" s="69"/>
      <c r="C222" s="69"/>
      <c r="D222" s="69"/>
      <c r="E222" s="69"/>
      <c r="F222" s="70"/>
      <c r="G222" s="71"/>
      <c r="H222" s="25"/>
      <c r="I222" s="71"/>
      <c r="J222" s="72"/>
      <c r="K222" s="71"/>
      <c r="L222" s="71"/>
      <c r="M222" s="71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23.25" customHeight="1">
      <c r="A223" s="27"/>
      <c r="B223" s="69"/>
      <c r="C223" s="69"/>
      <c r="D223" s="69"/>
      <c r="E223" s="69"/>
      <c r="F223" s="70"/>
      <c r="G223" s="71"/>
      <c r="H223" s="25"/>
      <c r="I223" s="71"/>
      <c r="J223" s="72"/>
      <c r="K223" s="71"/>
      <c r="L223" s="71"/>
      <c r="M223" s="71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23.25" customHeight="1">
      <c r="A224" s="27"/>
      <c r="B224" s="69"/>
      <c r="C224" s="69"/>
      <c r="D224" s="69"/>
      <c r="E224" s="69"/>
      <c r="F224" s="70"/>
      <c r="G224" s="71"/>
      <c r="H224" s="25"/>
      <c r="I224" s="71"/>
      <c r="J224" s="72"/>
      <c r="K224" s="71"/>
      <c r="L224" s="71"/>
      <c r="M224" s="71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23.25" customHeight="1">
      <c r="A225" s="27"/>
      <c r="B225" s="69"/>
      <c r="C225" s="69"/>
      <c r="D225" s="69"/>
      <c r="E225" s="69"/>
      <c r="F225" s="70"/>
      <c r="G225" s="71"/>
      <c r="H225" s="25"/>
      <c r="I225" s="71"/>
      <c r="J225" s="72"/>
      <c r="K225" s="71"/>
      <c r="L225" s="71"/>
      <c r="M225" s="71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23.25" customHeight="1">
      <c r="A226" s="27"/>
      <c r="B226" s="69"/>
      <c r="C226" s="69"/>
      <c r="D226" s="69"/>
      <c r="E226" s="69"/>
      <c r="F226" s="70"/>
      <c r="G226" s="71"/>
      <c r="H226" s="25"/>
      <c r="I226" s="71"/>
      <c r="J226" s="72"/>
      <c r="K226" s="71"/>
      <c r="L226" s="71"/>
      <c r="M226" s="71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23.25" customHeight="1">
      <c r="A227" s="27"/>
      <c r="B227" s="69"/>
      <c r="C227" s="69"/>
      <c r="D227" s="69"/>
      <c r="E227" s="69"/>
      <c r="F227" s="70"/>
      <c r="G227" s="71"/>
      <c r="H227" s="25"/>
      <c r="I227" s="71"/>
      <c r="J227" s="72"/>
      <c r="K227" s="71"/>
      <c r="L227" s="71"/>
      <c r="M227" s="71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23.25" customHeight="1">
      <c r="A228" s="27"/>
      <c r="B228" s="69"/>
      <c r="C228" s="69"/>
      <c r="D228" s="69"/>
      <c r="E228" s="69"/>
      <c r="F228" s="70"/>
      <c r="G228" s="71"/>
      <c r="H228" s="25"/>
      <c r="I228" s="71"/>
      <c r="J228" s="72"/>
      <c r="K228" s="71"/>
      <c r="L228" s="71"/>
      <c r="M228" s="71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23.25" customHeight="1">
      <c r="A229" s="27"/>
      <c r="B229" s="69"/>
      <c r="C229" s="69"/>
      <c r="D229" s="69"/>
      <c r="E229" s="69"/>
      <c r="F229" s="70"/>
      <c r="G229" s="71"/>
      <c r="H229" s="25"/>
      <c r="I229" s="71"/>
      <c r="J229" s="72"/>
      <c r="K229" s="71"/>
      <c r="L229" s="71"/>
      <c r="M229" s="71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23.25" customHeight="1">
      <c r="A230" s="27"/>
      <c r="B230" s="69"/>
      <c r="C230" s="69"/>
      <c r="D230" s="69"/>
      <c r="E230" s="69"/>
      <c r="F230" s="70"/>
      <c r="G230" s="71"/>
      <c r="H230" s="25"/>
      <c r="I230" s="71"/>
      <c r="J230" s="72"/>
      <c r="K230" s="71"/>
      <c r="L230" s="71"/>
      <c r="M230" s="71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23.25" customHeight="1">
      <c r="A231" s="27"/>
      <c r="B231" s="69"/>
      <c r="C231" s="69"/>
      <c r="D231" s="69"/>
      <c r="E231" s="69"/>
      <c r="F231" s="70"/>
      <c r="G231" s="71"/>
      <c r="H231" s="25"/>
      <c r="I231" s="71"/>
      <c r="J231" s="72"/>
      <c r="K231" s="71"/>
      <c r="L231" s="71"/>
      <c r="M231" s="71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23.25" customHeight="1">
      <c r="A232" s="27"/>
      <c r="B232" s="69"/>
      <c r="C232" s="69"/>
      <c r="D232" s="69"/>
      <c r="E232" s="69"/>
      <c r="F232" s="70"/>
      <c r="G232" s="71"/>
      <c r="H232" s="25"/>
      <c r="I232" s="71"/>
      <c r="J232" s="72"/>
      <c r="K232" s="71"/>
      <c r="L232" s="71"/>
      <c r="M232" s="71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23.25" customHeight="1">
      <c r="A233" s="27"/>
      <c r="B233" s="69"/>
      <c r="C233" s="69"/>
      <c r="D233" s="69"/>
      <c r="E233" s="69"/>
      <c r="F233" s="70"/>
      <c r="G233" s="71"/>
      <c r="H233" s="25"/>
      <c r="I233" s="71"/>
      <c r="J233" s="72"/>
      <c r="K233" s="71"/>
      <c r="L233" s="71"/>
      <c r="M233" s="71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23.25" customHeight="1">
      <c r="A234" s="27"/>
      <c r="B234" s="69"/>
      <c r="C234" s="69"/>
      <c r="D234" s="69"/>
      <c r="E234" s="69"/>
      <c r="F234" s="70"/>
      <c r="G234" s="71"/>
      <c r="H234" s="25"/>
      <c r="I234" s="71"/>
      <c r="J234" s="72"/>
      <c r="K234" s="71"/>
      <c r="L234" s="71"/>
      <c r="M234" s="71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23.25" customHeight="1">
      <c r="A235" s="27"/>
      <c r="B235" s="69"/>
      <c r="C235" s="69"/>
      <c r="D235" s="69"/>
      <c r="E235" s="69"/>
      <c r="F235" s="70"/>
      <c r="G235" s="71"/>
      <c r="H235" s="25"/>
      <c r="I235" s="71"/>
      <c r="J235" s="72"/>
      <c r="K235" s="71"/>
      <c r="L235" s="71"/>
      <c r="M235" s="71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23.25" customHeight="1">
      <c r="A236" s="27"/>
      <c r="B236" s="69"/>
      <c r="C236" s="69"/>
      <c r="D236" s="69"/>
      <c r="E236" s="69"/>
      <c r="F236" s="70"/>
      <c r="G236" s="71"/>
      <c r="H236" s="25"/>
      <c r="I236" s="71"/>
      <c r="J236" s="72"/>
      <c r="K236" s="71"/>
      <c r="L236" s="71"/>
      <c r="M236" s="71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23.25" customHeight="1">
      <c r="A237" s="27"/>
      <c r="B237" s="69"/>
      <c r="C237" s="69"/>
      <c r="D237" s="69"/>
      <c r="E237" s="69"/>
      <c r="F237" s="70"/>
      <c r="G237" s="71"/>
      <c r="H237" s="25"/>
      <c r="I237" s="71"/>
      <c r="J237" s="72"/>
      <c r="K237" s="71"/>
      <c r="L237" s="71"/>
      <c r="M237" s="71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23.25" customHeight="1">
      <c r="A238" s="27"/>
      <c r="B238" s="69"/>
      <c r="C238" s="69"/>
      <c r="D238" s="69"/>
      <c r="E238" s="69"/>
      <c r="F238" s="70"/>
      <c r="G238" s="71"/>
      <c r="H238" s="25"/>
      <c r="I238" s="71"/>
      <c r="J238" s="72"/>
      <c r="K238" s="71"/>
      <c r="L238" s="71"/>
      <c r="M238" s="71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23.25" customHeight="1">
      <c r="A239" s="27"/>
      <c r="B239" s="69"/>
      <c r="C239" s="69"/>
      <c r="D239" s="69"/>
      <c r="E239" s="69"/>
      <c r="F239" s="70"/>
      <c r="G239" s="71"/>
      <c r="H239" s="25"/>
      <c r="I239" s="71"/>
      <c r="J239" s="72"/>
      <c r="K239" s="71"/>
      <c r="L239" s="71"/>
      <c r="M239" s="71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23.25" customHeight="1">
      <c r="A240" s="27"/>
      <c r="B240" s="69"/>
      <c r="C240" s="69"/>
      <c r="D240" s="69"/>
      <c r="E240" s="69"/>
      <c r="F240" s="70"/>
      <c r="G240" s="71"/>
      <c r="H240" s="25"/>
      <c r="I240" s="71"/>
      <c r="J240" s="72"/>
      <c r="K240" s="71"/>
      <c r="L240" s="71"/>
      <c r="M240" s="71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23.25" customHeight="1">
      <c r="A241" s="27"/>
      <c r="B241" s="69"/>
      <c r="C241" s="69"/>
      <c r="D241" s="69"/>
      <c r="E241" s="69"/>
      <c r="F241" s="70"/>
      <c r="G241" s="71"/>
      <c r="H241" s="25"/>
      <c r="I241" s="71"/>
      <c r="J241" s="72"/>
      <c r="K241" s="71"/>
      <c r="L241" s="71"/>
      <c r="M241" s="71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23.25" customHeight="1">
      <c r="A242" s="27"/>
      <c r="B242" s="69"/>
      <c r="C242" s="69"/>
      <c r="D242" s="69"/>
      <c r="E242" s="69"/>
      <c r="F242" s="70"/>
      <c r="G242" s="71"/>
      <c r="H242" s="25"/>
      <c r="I242" s="71"/>
      <c r="J242" s="72"/>
      <c r="K242" s="71"/>
      <c r="L242" s="71"/>
      <c r="M242" s="71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23.25" customHeight="1">
      <c r="A243" s="27"/>
      <c r="B243" s="69"/>
      <c r="C243" s="69"/>
      <c r="D243" s="69"/>
      <c r="E243" s="69"/>
      <c r="F243" s="70"/>
      <c r="G243" s="71"/>
      <c r="H243" s="25"/>
      <c r="I243" s="71"/>
      <c r="J243" s="72"/>
      <c r="K243" s="71"/>
      <c r="L243" s="71"/>
      <c r="M243" s="71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23.25" customHeight="1">
      <c r="A244" s="27"/>
      <c r="B244" s="69"/>
      <c r="C244" s="69"/>
      <c r="D244" s="69"/>
      <c r="E244" s="69"/>
      <c r="F244" s="70"/>
      <c r="G244" s="71"/>
      <c r="H244" s="25"/>
      <c r="I244" s="71"/>
      <c r="J244" s="72"/>
      <c r="K244" s="71"/>
      <c r="L244" s="71"/>
      <c r="M244" s="71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23.25" customHeight="1">
      <c r="A245" s="27"/>
      <c r="B245" s="69"/>
      <c r="C245" s="69"/>
      <c r="D245" s="69"/>
      <c r="E245" s="69"/>
      <c r="F245" s="70"/>
      <c r="G245" s="71"/>
      <c r="H245" s="25"/>
      <c r="I245" s="71"/>
      <c r="J245" s="72"/>
      <c r="K245" s="71"/>
      <c r="L245" s="71"/>
      <c r="M245" s="71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23.25" customHeight="1">
      <c r="A246" s="27"/>
      <c r="B246" s="69"/>
      <c r="C246" s="69"/>
      <c r="D246" s="69"/>
      <c r="E246" s="69"/>
      <c r="F246" s="70"/>
      <c r="G246" s="71"/>
      <c r="H246" s="25"/>
      <c r="I246" s="71"/>
      <c r="J246" s="72"/>
      <c r="K246" s="71"/>
      <c r="L246" s="71"/>
      <c r="M246" s="71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23.25" customHeight="1">
      <c r="A247" s="27"/>
      <c r="B247" s="69"/>
      <c r="C247" s="69"/>
      <c r="D247" s="69"/>
      <c r="E247" s="69"/>
      <c r="F247" s="70"/>
      <c r="G247" s="71"/>
      <c r="H247" s="25"/>
      <c r="I247" s="71"/>
      <c r="J247" s="72"/>
      <c r="K247" s="71"/>
      <c r="L247" s="71"/>
      <c r="M247" s="71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23.25" customHeight="1">
      <c r="A248" s="27"/>
      <c r="B248" s="69"/>
      <c r="C248" s="69"/>
      <c r="D248" s="69"/>
      <c r="E248" s="69"/>
      <c r="F248" s="70"/>
      <c r="G248" s="71"/>
      <c r="H248" s="25"/>
      <c r="I248" s="71"/>
      <c r="J248" s="72"/>
      <c r="K248" s="71"/>
      <c r="L248" s="71"/>
      <c r="M248" s="71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23.25" customHeight="1">
      <c r="A249" s="27"/>
      <c r="B249" s="69"/>
      <c r="C249" s="69"/>
      <c r="D249" s="69"/>
      <c r="E249" s="69"/>
      <c r="F249" s="70"/>
      <c r="G249" s="71"/>
      <c r="H249" s="25"/>
      <c r="I249" s="71"/>
      <c r="J249" s="72"/>
      <c r="K249" s="71"/>
      <c r="L249" s="71"/>
      <c r="M249" s="71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23.25" customHeight="1">
      <c r="A250" s="27"/>
      <c r="B250" s="69"/>
      <c r="C250" s="69"/>
      <c r="D250" s="69"/>
      <c r="E250" s="69"/>
      <c r="F250" s="70"/>
      <c r="G250" s="71"/>
      <c r="H250" s="25"/>
      <c r="I250" s="71"/>
      <c r="J250" s="72"/>
      <c r="K250" s="71"/>
      <c r="L250" s="71"/>
      <c r="M250" s="71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23.25" customHeight="1">
      <c r="A251" s="27"/>
      <c r="B251" s="69"/>
      <c r="C251" s="69"/>
      <c r="D251" s="69"/>
      <c r="E251" s="69"/>
      <c r="F251" s="70"/>
      <c r="G251" s="71"/>
      <c r="H251" s="25"/>
      <c r="I251" s="71"/>
      <c r="J251" s="72"/>
      <c r="K251" s="71"/>
      <c r="L251" s="71"/>
      <c r="M251" s="71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23.25" customHeight="1">
      <c r="A252" s="27"/>
      <c r="B252" s="69"/>
      <c r="C252" s="69"/>
      <c r="D252" s="69"/>
      <c r="E252" s="69"/>
      <c r="F252" s="70"/>
      <c r="G252" s="71"/>
      <c r="H252" s="25"/>
      <c r="I252" s="71"/>
      <c r="J252" s="72"/>
      <c r="K252" s="71"/>
      <c r="L252" s="71"/>
      <c r="M252" s="71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23.25" customHeight="1">
      <c r="A253" s="27"/>
      <c r="B253" s="69"/>
      <c r="C253" s="69"/>
      <c r="D253" s="69"/>
      <c r="E253" s="69"/>
      <c r="F253" s="70"/>
      <c r="G253" s="71"/>
      <c r="H253" s="25"/>
      <c r="I253" s="71"/>
      <c r="J253" s="72"/>
      <c r="K253" s="71"/>
      <c r="L253" s="71"/>
      <c r="M253" s="71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23.25" customHeight="1">
      <c r="A254" s="27"/>
      <c r="B254" s="69"/>
      <c r="C254" s="69"/>
      <c r="D254" s="69"/>
      <c r="E254" s="69"/>
      <c r="F254" s="70"/>
      <c r="G254" s="71"/>
      <c r="H254" s="25"/>
      <c r="I254" s="71"/>
      <c r="J254" s="72"/>
      <c r="K254" s="71"/>
      <c r="L254" s="71"/>
      <c r="M254" s="71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23.25" customHeight="1">
      <c r="A255" s="27"/>
      <c r="B255" s="69"/>
      <c r="C255" s="69"/>
      <c r="D255" s="69"/>
      <c r="E255" s="69"/>
      <c r="F255" s="70"/>
      <c r="G255" s="71"/>
      <c r="H255" s="25"/>
      <c r="I255" s="71"/>
      <c r="J255" s="72"/>
      <c r="K255" s="71"/>
      <c r="L255" s="71"/>
      <c r="M255" s="71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23.25" customHeight="1">
      <c r="A256" s="27"/>
      <c r="B256" s="69"/>
      <c r="C256" s="69"/>
      <c r="D256" s="69"/>
      <c r="E256" s="69"/>
      <c r="F256" s="70"/>
      <c r="G256" s="71"/>
      <c r="H256" s="25"/>
      <c r="I256" s="71"/>
      <c r="J256" s="72"/>
      <c r="K256" s="71"/>
      <c r="L256" s="71"/>
      <c r="M256" s="71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23.25" customHeight="1">
      <c r="A257" s="27"/>
      <c r="B257" s="69"/>
      <c r="C257" s="69"/>
      <c r="D257" s="69"/>
      <c r="E257" s="69"/>
      <c r="F257" s="70"/>
      <c r="G257" s="71"/>
      <c r="H257" s="25"/>
      <c r="I257" s="71"/>
      <c r="J257" s="72"/>
      <c r="K257" s="71"/>
      <c r="L257" s="71"/>
      <c r="M257" s="71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23.25" customHeight="1">
      <c r="A258" s="27"/>
      <c r="B258" s="69"/>
      <c r="C258" s="69"/>
      <c r="D258" s="69"/>
      <c r="E258" s="69"/>
      <c r="F258" s="70"/>
      <c r="G258" s="71"/>
      <c r="H258" s="25"/>
      <c r="I258" s="71"/>
      <c r="J258" s="72"/>
      <c r="K258" s="71"/>
      <c r="L258" s="71"/>
      <c r="M258" s="71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23.25" customHeight="1">
      <c r="A259" s="27"/>
      <c r="B259" s="69"/>
      <c r="C259" s="69"/>
      <c r="D259" s="69"/>
      <c r="E259" s="69"/>
      <c r="F259" s="70"/>
      <c r="G259" s="71"/>
      <c r="H259" s="25"/>
      <c r="I259" s="71"/>
      <c r="J259" s="72"/>
      <c r="K259" s="71"/>
      <c r="L259" s="71"/>
      <c r="M259" s="71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23.25" customHeight="1">
      <c r="A260" s="27"/>
      <c r="B260" s="69"/>
      <c r="C260" s="69"/>
      <c r="D260" s="69"/>
      <c r="E260" s="69"/>
      <c r="F260" s="70"/>
      <c r="G260" s="71"/>
      <c r="H260" s="25"/>
      <c r="I260" s="71"/>
      <c r="J260" s="72"/>
      <c r="K260" s="71"/>
      <c r="L260" s="71"/>
      <c r="M260" s="71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23.25" customHeight="1">
      <c r="A261" s="27"/>
      <c r="B261" s="69"/>
      <c r="C261" s="69"/>
      <c r="D261" s="69"/>
      <c r="E261" s="69"/>
      <c r="F261" s="70"/>
      <c r="G261" s="71"/>
      <c r="H261" s="25"/>
      <c r="I261" s="71"/>
      <c r="J261" s="72"/>
      <c r="K261" s="71"/>
      <c r="L261" s="71"/>
      <c r="M261" s="71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23.25" customHeight="1">
      <c r="A262" s="27"/>
      <c r="B262" s="69"/>
      <c r="C262" s="69"/>
      <c r="D262" s="69"/>
      <c r="E262" s="69"/>
      <c r="F262" s="70"/>
      <c r="G262" s="71"/>
      <c r="H262" s="25"/>
      <c r="I262" s="71"/>
      <c r="J262" s="72"/>
      <c r="K262" s="71"/>
      <c r="L262" s="71"/>
      <c r="M262" s="71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11">
    <mergeCell ref="K2:K3"/>
    <mergeCell ref="L2:L3"/>
    <mergeCell ref="D2:F2"/>
    <mergeCell ref="A62:F62"/>
    <mergeCell ref="A1:M1"/>
    <mergeCell ref="A2:A3"/>
    <mergeCell ref="B2:B3"/>
    <mergeCell ref="G2:G3"/>
    <mergeCell ref="I2:I3"/>
    <mergeCell ref="J2:J3"/>
    <mergeCell ref="M2:M3"/>
  </mergeCells>
  <conditionalFormatting sqref="I4:J61">
    <cfRule type="cellIs" dxfId="12" priority="1" operator="equal">
      <formula>"สั่งซื้อเพิ่ม"</formula>
    </cfRule>
  </conditionalFormatting>
  <conditionalFormatting sqref="I2:L2">
    <cfRule type="cellIs" dxfId="11" priority="4" operator="equal">
      <formula>"สั่งซื้อเพิ่ม"</formula>
    </cfRule>
  </conditionalFormatting>
  <pageMargins left="0" right="0" top="0.19685039370078741" bottom="0" header="0" footer="0"/>
  <pageSetup paperSize="9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3CC33"/>
    <pageSetUpPr fitToPage="1"/>
  </sheetPr>
  <dimension ref="A1:Z1016"/>
  <sheetViews>
    <sheetView topLeftCell="A69" zoomScale="70" zoomScaleNormal="70" workbookViewId="0">
      <selection activeCell="S79" sqref="S79"/>
    </sheetView>
  </sheetViews>
  <sheetFormatPr defaultColWidth="14.453125" defaultRowHeight="15" customHeight="1"/>
  <cols>
    <col min="1" max="1" width="8.6328125" customWidth="1"/>
    <col min="2" max="2" width="15" customWidth="1"/>
    <col min="3" max="3" width="10.453125" customWidth="1"/>
    <col min="4" max="6" width="8.6328125" customWidth="1"/>
    <col min="12" max="12" width="21.453125" customWidth="1"/>
    <col min="13" max="13" width="24.453125" customWidth="1"/>
    <col min="14" max="26" width="8.6328125" customWidth="1"/>
  </cols>
  <sheetData>
    <row r="1" spans="1:26" ht="36" customHeight="1">
      <c r="A1" s="484" t="s">
        <v>24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27" customHeight="1">
      <c r="A2" s="475" t="s">
        <v>4</v>
      </c>
      <c r="B2" s="475" t="s">
        <v>5</v>
      </c>
      <c r="C2" s="28" t="s">
        <v>6</v>
      </c>
      <c r="D2" s="476" t="s">
        <v>7</v>
      </c>
      <c r="E2" s="466"/>
      <c r="F2" s="467"/>
      <c r="G2" s="485" t="s">
        <v>8</v>
      </c>
      <c r="H2" s="75" t="s">
        <v>9</v>
      </c>
      <c r="I2" s="475" t="s">
        <v>10</v>
      </c>
      <c r="J2" s="475" t="s">
        <v>11</v>
      </c>
      <c r="K2" s="475" t="s">
        <v>12</v>
      </c>
      <c r="L2" s="475" t="s">
        <v>13</v>
      </c>
      <c r="M2" s="483" t="s">
        <v>14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7" customHeight="1">
      <c r="A3" s="469"/>
      <c r="B3" s="469"/>
      <c r="C3" s="31" t="s">
        <v>0</v>
      </c>
      <c r="D3" s="31" t="s">
        <v>0</v>
      </c>
      <c r="E3" s="31" t="s">
        <v>1</v>
      </c>
      <c r="F3" s="31" t="s">
        <v>2</v>
      </c>
      <c r="G3" s="469"/>
      <c r="H3" s="76" t="s">
        <v>25</v>
      </c>
      <c r="I3" s="469"/>
      <c r="J3" s="469"/>
      <c r="K3" s="469"/>
      <c r="L3" s="469"/>
      <c r="M3" s="469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7" customHeight="1">
      <c r="A4" s="34" t="s">
        <v>16</v>
      </c>
      <c r="B4" s="77"/>
      <c r="C4" s="47"/>
      <c r="D4" s="78">
        <v>15.875</v>
      </c>
      <c r="E4" s="79">
        <v>62</v>
      </c>
      <c r="F4" s="79">
        <v>300</v>
      </c>
      <c r="G4" s="79">
        <v>1400</v>
      </c>
      <c r="H4" s="80"/>
      <c r="I4" s="81">
        <f t="shared" ref="I4:I35" si="0">D4*E4*F4*G4/1000000000</f>
        <v>0.413385</v>
      </c>
      <c r="J4" s="81">
        <f t="shared" ref="J4:J35" si="1">I4*35.315</f>
        <v>14.598691274999998</v>
      </c>
      <c r="K4" s="47">
        <v>17000</v>
      </c>
      <c r="L4" s="81">
        <f t="shared" ref="L4:L35" si="2">I4*K4</f>
        <v>7027.5450000000001</v>
      </c>
      <c r="M4" s="82" t="s">
        <v>26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7" customHeight="1">
      <c r="A5" s="34" t="s">
        <v>16</v>
      </c>
      <c r="B5" s="77"/>
      <c r="C5" s="47"/>
      <c r="D5" s="78">
        <v>15.875</v>
      </c>
      <c r="E5" s="79">
        <v>62</v>
      </c>
      <c r="F5" s="79">
        <v>300</v>
      </c>
      <c r="G5" s="79">
        <v>1500</v>
      </c>
      <c r="H5" s="80"/>
      <c r="I5" s="81">
        <f t="shared" si="0"/>
        <v>0.44291249999999999</v>
      </c>
      <c r="J5" s="81">
        <f t="shared" si="1"/>
        <v>15.641454937499999</v>
      </c>
      <c r="K5" s="47">
        <v>17000</v>
      </c>
      <c r="L5" s="81">
        <f t="shared" si="2"/>
        <v>7529.5124999999998</v>
      </c>
      <c r="M5" s="82" t="s">
        <v>26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7" customHeight="1">
      <c r="A6" s="34" t="s">
        <v>16</v>
      </c>
      <c r="B6" s="77"/>
      <c r="C6" s="47"/>
      <c r="D6" s="78">
        <v>15.875</v>
      </c>
      <c r="E6" s="79">
        <v>52</v>
      </c>
      <c r="F6" s="79">
        <v>300</v>
      </c>
      <c r="G6" s="79">
        <v>3120</v>
      </c>
      <c r="H6" s="80"/>
      <c r="I6" s="81">
        <f t="shared" si="0"/>
        <v>0.77266800000000002</v>
      </c>
      <c r="J6" s="81">
        <f t="shared" si="1"/>
        <v>27.28677042</v>
      </c>
      <c r="K6" s="47">
        <v>17000</v>
      </c>
      <c r="L6" s="81">
        <f t="shared" si="2"/>
        <v>13135.356</v>
      </c>
      <c r="M6" s="82" t="s">
        <v>26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27" customHeight="1">
      <c r="A7" s="34" t="s">
        <v>16</v>
      </c>
      <c r="B7" s="77"/>
      <c r="C7" s="47"/>
      <c r="D7" s="78">
        <v>15.875</v>
      </c>
      <c r="E7" s="79">
        <v>62</v>
      </c>
      <c r="F7" s="79">
        <v>300</v>
      </c>
      <c r="G7" s="79">
        <v>1600</v>
      </c>
      <c r="H7" s="80"/>
      <c r="I7" s="81">
        <f t="shared" si="0"/>
        <v>0.47244000000000003</v>
      </c>
      <c r="J7" s="81">
        <f t="shared" si="1"/>
        <v>16.684218600000001</v>
      </c>
      <c r="K7" s="47">
        <v>17000</v>
      </c>
      <c r="L7" s="81">
        <f t="shared" si="2"/>
        <v>8031.4800000000005</v>
      </c>
      <c r="M7" s="82" t="s">
        <v>26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7" customHeight="1">
      <c r="A8" s="34" t="s">
        <v>16</v>
      </c>
      <c r="B8" s="77"/>
      <c r="C8" s="47"/>
      <c r="D8" s="78"/>
      <c r="E8" s="79"/>
      <c r="F8" s="79"/>
      <c r="G8" s="79"/>
      <c r="H8" s="80"/>
      <c r="I8" s="81">
        <f t="shared" si="0"/>
        <v>0</v>
      </c>
      <c r="J8" s="81">
        <f t="shared" si="1"/>
        <v>0</v>
      </c>
      <c r="K8" s="47">
        <v>17000</v>
      </c>
      <c r="L8" s="81">
        <f t="shared" si="2"/>
        <v>0</v>
      </c>
      <c r="M8" s="82" t="s">
        <v>26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7" customHeight="1">
      <c r="A9" s="34" t="s">
        <v>16</v>
      </c>
      <c r="B9" s="77"/>
      <c r="C9" s="47"/>
      <c r="D9" s="78">
        <v>1100</v>
      </c>
      <c r="E9" s="79">
        <v>100</v>
      </c>
      <c r="F9" s="79">
        <v>950</v>
      </c>
      <c r="G9" s="79">
        <v>1</v>
      </c>
      <c r="H9" s="80"/>
      <c r="I9" s="81">
        <f t="shared" si="0"/>
        <v>0.1045</v>
      </c>
      <c r="J9" s="81">
        <f t="shared" si="1"/>
        <v>3.6904174999999997</v>
      </c>
      <c r="K9" s="47">
        <v>17000</v>
      </c>
      <c r="L9" s="81">
        <f t="shared" si="2"/>
        <v>1776.5</v>
      </c>
      <c r="M9" s="82" t="s">
        <v>26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27" customHeight="1">
      <c r="A10" s="34" t="s">
        <v>16</v>
      </c>
      <c r="B10" s="77"/>
      <c r="C10" s="47"/>
      <c r="D10" s="78">
        <v>1060</v>
      </c>
      <c r="E10" s="79">
        <v>1140</v>
      </c>
      <c r="F10" s="79">
        <v>1110</v>
      </c>
      <c r="G10" s="79">
        <v>1</v>
      </c>
      <c r="H10" s="80"/>
      <c r="I10" s="81">
        <f t="shared" si="0"/>
        <v>1.341324</v>
      </c>
      <c r="J10" s="81">
        <f t="shared" si="1"/>
        <v>47.368857059999996</v>
      </c>
      <c r="K10" s="47">
        <v>17000</v>
      </c>
      <c r="L10" s="81">
        <f t="shared" si="2"/>
        <v>22802.507999999998</v>
      </c>
      <c r="M10" s="82" t="s">
        <v>26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27" customHeight="1">
      <c r="A11" s="34" t="s">
        <v>16</v>
      </c>
      <c r="B11" s="77"/>
      <c r="C11" s="47"/>
      <c r="D11" s="78">
        <v>1050</v>
      </c>
      <c r="E11" s="79">
        <v>1110</v>
      </c>
      <c r="F11" s="79">
        <v>1110</v>
      </c>
      <c r="G11" s="79">
        <v>1</v>
      </c>
      <c r="H11" s="80"/>
      <c r="I11" s="81">
        <f t="shared" si="0"/>
        <v>1.2937050000000001</v>
      </c>
      <c r="J11" s="81">
        <f t="shared" si="1"/>
        <v>45.687192074999999</v>
      </c>
      <c r="K11" s="47">
        <v>17000</v>
      </c>
      <c r="L11" s="81">
        <f t="shared" si="2"/>
        <v>21992.985000000001</v>
      </c>
      <c r="M11" s="82" t="s">
        <v>26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27" customHeight="1">
      <c r="A12" s="34" t="s">
        <v>16</v>
      </c>
      <c r="B12" s="77"/>
      <c r="C12" s="47"/>
      <c r="D12" s="78">
        <v>1050</v>
      </c>
      <c r="E12" s="79">
        <v>1090</v>
      </c>
      <c r="F12" s="79">
        <v>1200</v>
      </c>
      <c r="G12" s="79">
        <v>1</v>
      </c>
      <c r="H12" s="80"/>
      <c r="I12" s="81">
        <f t="shared" si="0"/>
        <v>1.3734</v>
      </c>
      <c r="J12" s="81">
        <f t="shared" si="1"/>
        <v>48.501620999999993</v>
      </c>
      <c r="K12" s="47">
        <v>17000</v>
      </c>
      <c r="L12" s="81">
        <f t="shared" si="2"/>
        <v>23347.8</v>
      </c>
      <c r="M12" s="82" t="s">
        <v>26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27" customHeight="1">
      <c r="A13" s="34" t="s">
        <v>16</v>
      </c>
      <c r="B13" s="77"/>
      <c r="C13" s="47"/>
      <c r="D13" s="78">
        <v>1100</v>
      </c>
      <c r="E13" s="79">
        <v>1000</v>
      </c>
      <c r="F13" s="79">
        <v>1140</v>
      </c>
      <c r="G13" s="79">
        <v>1</v>
      </c>
      <c r="H13" s="80"/>
      <c r="I13" s="81">
        <f t="shared" si="0"/>
        <v>1.254</v>
      </c>
      <c r="J13" s="81">
        <f t="shared" si="1"/>
        <v>44.28501</v>
      </c>
      <c r="K13" s="47">
        <v>17000</v>
      </c>
      <c r="L13" s="81">
        <f t="shared" si="2"/>
        <v>21318</v>
      </c>
      <c r="M13" s="82" t="s">
        <v>26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27" customHeight="1">
      <c r="A14" s="34" t="s">
        <v>16</v>
      </c>
      <c r="B14" s="77"/>
      <c r="C14" s="47"/>
      <c r="D14" s="78">
        <v>1050</v>
      </c>
      <c r="E14" s="79">
        <v>1100</v>
      </c>
      <c r="F14" s="79">
        <v>1200</v>
      </c>
      <c r="G14" s="79">
        <v>1</v>
      </c>
      <c r="H14" s="80"/>
      <c r="I14" s="81">
        <f t="shared" si="0"/>
        <v>1.3859999999999999</v>
      </c>
      <c r="J14" s="81">
        <f t="shared" si="1"/>
        <v>48.946589999999993</v>
      </c>
      <c r="K14" s="47">
        <v>17000</v>
      </c>
      <c r="L14" s="81">
        <f t="shared" si="2"/>
        <v>23562</v>
      </c>
      <c r="M14" s="82" t="s">
        <v>26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27" customHeight="1">
      <c r="A15" s="34" t="s">
        <v>16</v>
      </c>
      <c r="B15" s="77"/>
      <c r="C15" s="47"/>
      <c r="D15" s="78">
        <v>1050</v>
      </c>
      <c r="E15" s="79">
        <v>1100</v>
      </c>
      <c r="F15" s="79">
        <v>1120</v>
      </c>
      <c r="G15" s="79">
        <v>1</v>
      </c>
      <c r="H15" s="80"/>
      <c r="I15" s="81">
        <f t="shared" si="0"/>
        <v>1.2936000000000001</v>
      </c>
      <c r="J15" s="81">
        <f t="shared" si="1"/>
        <v>45.683484</v>
      </c>
      <c r="K15" s="47">
        <v>17000</v>
      </c>
      <c r="L15" s="81">
        <f t="shared" si="2"/>
        <v>21991.200000000001</v>
      </c>
      <c r="M15" s="82" t="s">
        <v>26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27" customHeight="1">
      <c r="A16" s="34" t="s">
        <v>16</v>
      </c>
      <c r="B16" s="77"/>
      <c r="C16" s="47"/>
      <c r="D16" s="78">
        <v>1070</v>
      </c>
      <c r="E16" s="79">
        <v>1140</v>
      </c>
      <c r="F16" s="79">
        <v>1100</v>
      </c>
      <c r="G16" s="79">
        <v>1</v>
      </c>
      <c r="H16" s="80"/>
      <c r="I16" s="81">
        <f t="shared" si="0"/>
        <v>1.34178</v>
      </c>
      <c r="J16" s="81">
        <f t="shared" si="1"/>
        <v>47.384960699999993</v>
      </c>
      <c r="K16" s="47">
        <v>17000</v>
      </c>
      <c r="L16" s="81">
        <f t="shared" si="2"/>
        <v>22810.26</v>
      </c>
      <c r="M16" s="82" t="s">
        <v>26</v>
      </c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27" customHeight="1">
      <c r="A17" s="34" t="s">
        <v>16</v>
      </c>
      <c r="B17" s="77"/>
      <c r="C17" s="47"/>
      <c r="D17" s="78">
        <v>1030</v>
      </c>
      <c r="E17" s="79">
        <v>960</v>
      </c>
      <c r="F17" s="79">
        <v>1220</v>
      </c>
      <c r="G17" s="79">
        <v>1</v>
      </c>
      <c r="H17" s="80"/>
      <c r="I17" s="81">
        <f t="shared" si="0"/>
        <v>1.2063360000000001</v>
      </c>
      <c r="J17" s="81">
        <f t="shared" si="1"/>
        <v>42.601755840000003</v>
      </c>
      <c r="K17" s="47">
        <v>17000</v>
      </c>
      <c r="L17" s="81">
        <f t="shared" si="2"/>
        <v>20507.712</v>
      </c>
      <c r="M17" s="82" t="s">
        <v>26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27" customHeight="1">
      <c r="A18" s="34" t="s">
        <v>16</v>
      </c>
      <c r="B18" s="77"/>
      <c r="C18" s="47"/>
      <c r="D18" s="78">
        <v>500</v>
      </c>
      <c r="E18" s="79">
        <v>750</v>
      </c>
      <c r="F18" s="79">
        <v>450</v>
      </c>
      <c r="G18" s="79">
        <v>1</v>
      </c>
      <c r="H18" s="80"/>
      <c r="I18" s="81">
        <f t="shared" si="0"/>
        <v>0.16875000000000001</v>
      </c>
      <c r="J18" s="81">
        <f t="shared" si="1"/>
        <v>5.9594062499999998</v>
      </c>
      <c r="K18" s="47">
        <v>17000</v>
      </c>
      <c r="L18" s="81">
        <f t="shared" si="2"/>
        <v>2868.75</v>
      </c>
      <c r="M18" s="82" t="s">
        <v>26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27" customHeight="1">
      <c r="A19" s="34" t="s">
        <v>16</v>
      </c>
      <c r="B19" s="77"/>
      <c r="C19" s="47"/>
      <c r="D19" s="78">
        <v>1100</v>
      </c>
      <c r="E19" s="79">
        <v>1000</v>
      </c>
      <c r="F19" s="79">
        <v>1150</v>
      </c>
      <c r="G19" s="79">
        <v>1</v>
      </c>
      <c r="H19" s="80"/>
      <c r="I19" s="81">
        <f t="shared" si="0"/>
        <v>1.2649999999999999</v>
      </c>
      <c r="J19" s="81">
        <f t="shared" si="1"/>
        <v>44.673474999999996</v>
      </c>
      <c r="K19" s="47">
        <v>17000</v>
      </c>
      <c r="L19" s="81">
        <f t="shared" si="2"/>
        <v>21505</v>
      </c>
      <c r="M19" s="82" t="s">
        <v>26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27" customHeight="1">
      <c r="A20" s="34" t="s">
        <v>16</v>
      </c>
      <c r="B20" s="77"/>
      <c r="C20" s="47"/>
      <c r="D20" s="78">
        <v>1100</v>
      </c>
      <c r="E20" s="79">
        <v>1200</v>
      </c>
      <c r="F20" s="79">
        <v>1100</v>
      </c>
      <c r="G20" s="79">
        <v>1</v>
      </c>
      <c r="H20" s="80"/>
      <c r="I20" s="81">
        <f t="shared" si="0"/>
        <v>1.452</v>
      </c>
      <c r="J20" s="81">
        <f t="shared" si="1"/>
        <v>51.277379999999994</v>
      </c>
      <c r="K20" s="47">
        <v>17000</v>
      </c>
      <c r="L20" s="81">
        <f t="shared" si="2"/>
        <v>24684</v>
      </c>
      <c r="M20" s="82" t="s">
        <v>26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27" customHeight="1">
      <c r="A21" s="34" t="s">
        <v>16</v>
      </c>
      <c r="B21" s="77"/>
      <c r="C21" s="47"/>
      <c r="D21" s="78">
        <v>750</v>
      </c>
      <c r="E21" s="79">
        <v>550</v>
      </c>
      <c r="F21" s="79">
        <v>800</v>
      </c>
      <c r="G21" s="79">
        <v>1</v>
      </c>
      <c r="H21" s="80"/>
      <c r="I21" s="81">
        <f t="shared" si="0"/>
        <v>0.33</v>
      </c>
      <c r="J21" s="81">
        <f t="shared" si="1"/>
        <v>11.65395</v>
      </c>
      <c r="K21" s="47">
        <v>17000</v>
      </c>
      <c r="L21" s="81">
        <f t="shared" si="2"/>
        <v>5610</v>
      </c>
      <c r="M21" s="82" t="s">
        <v>26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27" customHeight="1">
      <c r="A22" s="34" t="s">
        <v>16</v>
      </c>
      <c r="B22" s="77"/>
      <c r="C22" s="47"/>
      <c r="D22" s="78">
        <v>1050</v>
      </c>
      <c r="E22" s="79">
        <v>1100</v>
      </c>
      <c r="F22" s="79">
        <v>1000</v>
      </c>
      <c r="G22" s="79">
        <v>1</v>
      </c>
      <c r="H22" s="80"/>
      <c r="I22" s="81">
        <f t="shared" si="0"/>
        <v>1.155</v>
      </c>
      <c r="J22" s="81">
        <f t="shared" si="1"/>
        <v>40.788824999999996</v>
      </c>
      <c r="K22" s="47">
        <v>17000</v>
      </c>
      <c r="L22" s="81">
        <f t="shared" si="2"/>
        <v>19635</v>
      </c>
      <c r="M22" s="82" t="s">
        <v>26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27" customHeight="1">
      <c r="A23" s="34" t="s">
        <v>16</v>
      </c>
      <c r="B23" s="77"/>
      <c r="C23" s="47"/>
      <c r="D23" s="78">
        <v>1040</v>
      </c>
      <c r="E23" s="79">
        <v>1100</v>
      </c>
      <c r="F23" s="79">
        <v>1120</v>
      </c>
      <c r="G23" s="79">
        <v>1</v>
      </c>
      <c r="H23" s="80"/>
      <c r="I23" s="81">
        <f t="shared" si="0"/>
        <v>1.28128</v>
      </c>
      <c r="J23" s="81">
        <f t="shared" si="1"/>
        <v>45.248403199999998</v>
      </c>
      <c r="K23" s="47">
        <v>17000</v>
      </c>
      <c r="L23" s="81">
        <f t="shared" si="2"/>
        <v>21781.759999999998</v>
      </c>
      <c r="M23" s="82" t="s">
        <v>26</v>
      </c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27" customHeight="1">
      <c r="A24" s="34" t="s">
        <v>16</v>
      </c>
      <c r="B24" s="77"/>
      <c r="C24" s="47"/>
      <c r="D24" s="78">
        <v>1100</v>
      </c>
      <c r="E24" s="79">
        <v>1070</v>
      </c>
      <c r="F24" s="79">
        <v>1130</v>
      </c>
      <c r="G24" s="79">
        <v>1</v>
      </c>
      <c r="H24" s="80"/>
      <c r="I24" s="81">
        <f t="shared" si="0"/>
        <v>1.3300099999999999</v>
      </c>
      <c r="J24" s="81">
        <f t="shared" si="1"/>
        <v>46.969303149999995</v>
      </c>
      <c r="K24" s="47">
        <v>17000</v>
      </c>
      <c r="L24" s="81">
        <f t="shared" si="2"/>
        <v>22610.17</v>
      </c>
      <c r="M24" s="82" t="s">
        <v>26</v>
      </c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27" customHeight="1">
      <c r="A25" s="34" t="s">
        <v>16</v>
      </c>
      <c r="B25" s="77"/>
      <c r="C25" s="47"/>
      <c r="D25" s="78">
        <v>1090</v>
      </c>
      <c r="E25" s="79">
        <v>1090</v>
      </c>
      <c r="F25" s="79">
        <v>1120</v>
      </c>
      <c r="G25" s="79">
        <v>1</v>
      </c>
      <c r="H25" s="80"/>
      <c r="I25" s="81">
        <f t="shared" si="0"/>
        <v>1.3306720000000001</v>
      </c>
      <c r="J25" s="81">
        <f t="shared" si="1"/>
        <v>46.992681679999997</v>
      </c>
      <c r="K25" s="47">
        <v>17000</v>
      </c>
      <c r="L25" s="81">
        <f t="shared" si="2"/>
        <v>22621.424000000003</v>
      </c>
      <c r="M25" s="82" t="s">
        <v>26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27" customHeight="1">
      <c r="A26" s="34" t="s">
        <v>16</v>
      </c>
      <c r="B26" s="77"/>
      <c r="C26" s="47"/>
      <c r="D26" s="78">
        <v>1080</v>
      </c>
      <c r="E26" s="79">
        <v>1100</v>
      </c>
      <c r="F26" s="79">
        <v>1000</v>
      </c>
      <c r="G26" s="79">
        <v>1</v>
      </c>
      <c r="H26" s="80"/>
      <c r="I26" s="81">
        <f t="shared" si="0"/>
        <v>1.1879999999999999</v>
      </c>
      <c r="J26" s="81">
        <f t="shared" si="1"/>
        <v>41.954219999999992</v>
      </c>
      <c r="K26" s="47">
        <v>17000</v>
      </c>
      <c r="L26" s="81">
        <f t="shared" si="2"/>
        <v>20196</v>
      </c>
      <c r="M26" s="82" t="s">
        <v>26</v>
      </c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27" customHeight="1">
      <c r="A27" s="34" t="s">
        <v>16</v>
      </c>
      <c r="B27" s="77"/>
      <c r="C27" s="47"/>
      <c r="D27" s="78">
        <v>1050</v>
      </c>
      <c r="E27" s="79">
        <v>1100</v>
      </c>
      <c r="F27" s="79">
        <v>1000</v>
      </c>
      <c r="G27" s="79">
        <v>1</v>
      </c>
      <c r="H27" s="80"/>
      <c r="I27" s="81">
        <f t="shared" si="0"/>
        <v>1.155</v>
      </c>
      <c r="J27" s="81">
        <f t="shared" si="1"/>
        <v>40.788824999999996</v>
      </c>
      <c r="K27" s="47">
        <v>17000</v>
      </c>
      <c r="L27" s="81">
        <f t="shared" si="2"/>
        <v>19635</v>
      </c>
      <c r="M27" s="82" t="s">
        <v>26</v>
      </c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27" customHeight="1">
      <c r="A28" s="34" t="s">
        <v>16</v>
      </c>
      <c r="B28" s="77"/>
      <c r="C28" s="47"/>
      <c r="D28" s="78">
        <v>1100</v>
      </c>
      <c r="E28" s="79">
        <v>1200</v>
      </c>
      <c r="F28" s="79">
        <v>1020</v>
      </c>
      <c r="G28" s="79">
        <v>1</v>
      </c>
      <c r="H28" s="80"/>
      <c r="I28" s="81">
        <f t="shared" si="0"/>
        <v>1.3464</v>
      </c>
      <c r="J28" s="81">
        <f t="shared" si="1"/>
        <v>47.548116</v>
      </c>
      <c r="K28" s="47">
        <v>17000</v>
      </c>
      <c r="L28" s="81">
        <f t="shared" si="2"/>
        <v>22888.799999999999</v>
      </c>
      <c r="M28" s="82" t="s">
        <v>26</v>
      </c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27" customHeight="1">
      <c r="A29" s="34" t="s">
        <v>16</v>
      </c>
      <c r="B29" s="77"/>
      <c r="C29" s="47"/>
      <c r="D29" s="78">
        <v>1050</v>
      </c>
      <c r="E29" s="79">
        <v>1120</v>
      </c>
      <c r="F29" s="79">
        <v>1100</v>
      </c>
      <c r="G29" s="79">
        <v>1</v>
      </c>
      <c r="H29" s="80"/>
      <c r="I29" s="81">
        <f t="shared" si="0"/>
        <v>1.2936000000000001</v>
      </c>
      <c r="J29" s="81">
        <f t="shared" si="1"/>
        <v>45.683484</v>
      </c>
      <c r="K29" s="47">
        <v>17000</v>
      </c>
      <c r="L29" s="81">
        <f t="shared" si="2"/>
        <v>21991.200000000001</v>
      </c>
      <c r="M29" s="82" t="s">
        <v>26</v>
      </c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27" customHeight="1">
      <c r="A30" s="34" t="s">
        <v>16</v>
      </c>
      <c r="B30" s="77"/>
      <c r="C30" s="47"/>
      <c r="D30" s="78">
        <v>1040</v>
      </c>
      <c r="E30" s="79">
        <v>1100</v>
      </c>
      <c r="F30" s="79">
        <v>1200</v>
      </c>
      <c r="G30" s="79">
        <v>1</v>
      </c>
      <c r="H30" s="80"/>
      <c r="I30" s="81">
        <f t="shared" si="0"/>
        <v>1.3728</v>
      </c>
      <c r="J30" s="81">
        <f t="shared" si="1"/>
        <v>48.480432</v>
      </c>
      <c r="K30" s="47">
        <v>17000</v>
      </c>
      <c r="L30" s="81">
        <f t="shared" si="2"/>
        <v>23337.599999999999</v>
      </c>
      <c r="M30" s="82" t="s">
        <v>26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27" customHeight="1">
      <c r="A31" s="34" t="s">
        <v>16</v>
      </c>
      <c r="B31" s="77"/>
      <c r="C31" s="47"/>
      <c r="D31" s="78">
        <v>1070</v>
      </c>
      <c r="E31" s="79">
        <v>1200</v>
      </c>
      <c r="F31" s="79">
        <v>1100</v>
      </c>
      <c r="G31" s="79">
        <v>1</v>
      </c>
      <c r="H31" s="80"/>
      <c r="I31" s="81">
        <f t="shared" si="0"/>
        <v>1.4124000000000001</v>
      </c>
      <c r="J31" s="81">
        <f t="shared" si="1"/>
        <v>49.878906000000001</v>
      </c>
      <c r="K31" s="47">
        <v>17000</v>
      </c>
      <c r="L31" s="81">
        <f t="shared" si="2"/>
        <v>24010.800000000003</v>
      </c>
      <c r="M31" s="82" t="s">
        <v>26</v>
      </c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27" customHeight="1">
      <c r="A32" s="34" t="s">
        <v>16</v>
      </c>
      <c r="B32" s="77"/>
      <c r="C32" s="47"/>
      <c r="D32" s="78">
        <v>1200</v>
      </c>
      <c r="E32" s="79">
        <v>1000</v>
      </c>
      <c r="F32" s="79">
        <v>1140</v>
      </c>
      <c r="G32" s="79">
        <v>1</v>
      </c>
      <c r="H32" s="80"/>
      <c r="I32" s="81">
        <f t="shared" si="0"/>
        <v>1.3680000000000001</v>
      </c>
      <c r="J32" s="81">
        <f t="shared" si="1"/>
        <v>48.310920000000003</v>
      </c>
      <c r="K32" s="47">
        <v>17000</v>
      </c>
      <c r="L32" s="81">
        <f t="shared" si="2"/>
        <v>23256</v>
      </c>
      <c r="M32" s="82" t="s">
        <v>26</v>
      </c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27" customHeight="1">
      <c r="A33" s="34" t="s">
        <v>16</v>
      </c>
      <c r="B33" s="77"/>
      <c r="C33" s="47"/>
      <c r="D33" s="78">
        <v>1020</v>
      </c>
      <c r="E33" s="79">
        <v>1000</v>
      </c>
      <c r="F33" s="79">
        <v>1100</v>
      </c>
      <c r="G33" s="79">
        <v>1</v>
      </c>
      <c r="H33" s="80"/>
      <c r="I33" s="81">
        <f t="shared" si="0"/>
        <v>1.1220000000000001</v>
      </c>
      <c r="J33" s="81">
        <f t="shared" si="1"/>
        <v>39.623429999999999</v>
      </c>
      <c r="K33" s="47">
        <v>17000</v>
      </c>
      <c r="L33" s="81">
        <f t="shared" si="2"/>
        <v>19074.000000000004</v>
      </c>
      <c r="M33" s="82" t="s">
        <v>26</v>
      </c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27" customHeight="1">
      <c r="A34" s="34" t="s">
        <v>16</v>
      </c>
      <c r="B34" s="77"/>
      <c r="C34" s="47"/>
      <c r="D34" s="78">
        <v>1040</v>
      </c>
      <c r="E34" s="79">
        <v>1050</v>
      </c>
      <c r="F34" s="79">
        <v>1150</v>
      </c>
      <c r="G34" s="79">
        <v>1</v>
      </c>
      <c r="H34" s="80"/>
      <c r="I34" s="81">
        <f t="shared" si="0"/>
        <v>1.2558</v>
      </c>
      <c r="J34" s="81">
        <f t="shared" si="1"/>
        <v>44.348576999999999</v>
      </c>
      <c r="K34" s="47">
        <v>17000</v>
      </c>
      <c r="L34" s="81">
        <f t="shared" si="2"/>
        <v>21348.600000000002</v>
      </c>
      <c r="M34" s="82" t="s">
        <v>26</v>
      </c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27" customHeight="1">
      <c r="A35" s="34" t="s">
        <v>16</v>
      </c>
      <c r="B35" s="77"/>
      <c r="C35" s="47"/>
      <c r="D35" s="78">
        <v>1060</v>
      </c>
      <c r="E35" s="79">
        <v>1130</v>
      </c>
      <c r="F35" s="79">
        <v>1070</v>
      </c>
      <c r="G35" s="79">
        <v>1</v>
      </c>
      <c r="H35" s="80"/>
      <c r="I35" s="81">
        <f t="shared" si="0"/>
        <v>1.2816460000000001</v>
      </c>
      <c r="J35" s="81">
        <f t="shared" si="1"/>
        <v>45.261328489999997</v>
      </c>
      <c r="K35" s="47">
        <v>17000</v>
      </c>
      <c r="L35" s="81">
        <f t="shared" si="2"/>
        <v>21787.982</v>
      </c>
      <c r="M35" s="82" t="s">
        <v>26</v>
      </c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27" customHeight="1">
      <c r="A36" s="34" t="s">
        <v>16</v>
      </c>
      <c r="B36" s="77"/>
      <c r="C36" s="47"/>
      <c r="D36" s="78">
        <v>1050</v>
      </c>
      <c r="E36" s="79">
        <v>1020</v>
      </c>
      <c r="F36" s="79">
        <v>1100</v>
      </c>
      <c r="G36" s="79">
        <v>1</v>
      </c>
      <c r="H36" s="80"/>
      <c r="I36" s="81">
        <f t="shared" ref="I36:I69" si="3">D36*E36*F36*G36/1000000000</f>
        <v>1.1780999999999999</v>
      </c>
      <c r="J36" s="81">
        <f t="shared" ref="J36:J67" si="4">I36*35.315</f>
        <v>41.604601499999994</v>
      </c>
      <c r="K36" s="47">
        <v>17000</v>
      </c>
      <c r="L36" s="81">
        <f t="shared" ref="L36:L67" si="5">I36*K36</f>
        <v>20027.699999999997</v>
      </c>
      <c r="M36" s="82" t="s">
        <v>26</v>
      </c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27" customHeight="1">
      <c r="A37" s="34" t="s">
        <v>16</v>
      </c>
      <c r="B37" s="77"/>
      <c r="C37" s="47"/>
      <c r="D37" s="78">
        <v>1130</v>
      </c>
      <c r="E37" s="79">
        <v>1100</v>
      </c>
      <c r="F37" s="79">
        <v>1110</v>
      </c>
      <c r="G37" s="79">
        <v>1</v>
      </c>
      <c r="H37" s="80"/>
      <c r="I37" s="81">
        <f t="shared" si="3"/>
        <v>1.3797299999999999</v>
      </c>
      <c r="J37" s="81">
        <f t="shared" si="4"/>
        <v>48.725164949999993</v>
      </c>
      <c r="K37" s="47">
        <v>17000</v>
      </c>
      <c r="L37" s="81">
        <f t="shared" si="5"/>
        <v>23455.41</v>
      </c>
      <c r="M37" s="82" t="s">
        <v>26</v>
      </c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27" customHeight="1">
      <c r="A38" s="34" t="s">
        <v>16</v>
      </c>
      <c r="B38" s="77"/>
      <c r="C38" s="47"/>
      <c r="D38" s="78">
        <v>1060</v>
      </c>
      <c r="E38" s="79">
        <v>1180</v>
      </c>
      <c r="F38" s="79">
        <v>1000</v>
      </c>
      <c r="G38" s="79">
        <v>1</v>
      </c>
      <c r="H38" s="80"/>
      <c r="I38" s="81">
        <f t="shared" si="3"/>
        <v>1.2507999999999999</v>
      </c>
      <c r="J38" s="81">
        <f t="shared" si="4"/>
        <v>44.172001999999992</v>
      </c>
      <c r="K38" s="47">
        <v>17000</v>
      </c>
      <c r="L38" s="81">
        <f t="shared" si="5"/>
        <v>21263.599999999999</v>
      </c>
      <c r="M38" s="82" t="s">
        <v>26</v>
      </c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27" customHeight="1">
      <c r="A39" s="34" t="s">
        <v>16</v>
      </c>
      <c r="B39" s="77"/>
      <c r="C39" s="47"/>
      <c r="D39" s="78">
        <v>1020</v>
      </c>
      <c r="E39" s="79">
        <v>1010</v>
      </c>
      <c r="F39" s="79">
        <v>1220</v>
      </c>
      <c r="G39" s="79">
        <v>1</v>
      </c>
      <c r="H39" s="80"/>
      <c r="I39" s="81">
        <f t="shared" si="3"/>
        <v>1.2568440000000001</v>
      </c>
      <c r="J39" s="81">
        <f t="shared" si="4"/>
        <v>44.385445859999997</v>
      </c>
      <c r="K39" s="47">
        <v>17000</v>
      </c>
      <c r="L39" s="81">
        <f t="shared" si="5"/>
        <v>21366.348000000002</v>
      </c>
      <c r="M39" s="82" t="s">
        <v>26</v>
      </c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27" customHeight="1">
      <c r="A40" s="34" t="s">
        <v>16</v>
      </c>
      <c r="B40" s="77"/>
      <c r="C40" s="47"/>
      <c r="D40" s="78">
        <v>1050</v>
      </c>
      <c r="E40" s="79">
        <v>1040</v>
      </c>
      <c r="F40" s="79">
        <v>1000</v>
      </c>
      <c r="G40" s="79">
        <v>1</v>
      </c>
      <c r="H40" s="80"/>
      <c r="I40" s="81">
        <f t="shared" si="3"/>
        <v>1.0920000000000001</v>
      </c>
      <c r="J40" s="81">
        <f t="shared" si="4"/>
        <v>38.563980000000001</v>
      </c>
      <c r="K40" s="47">
        <v>17000</v>
      </c>
      <c r="L40" s="81">
        <f t="shared" si="5"/>
        <v>18564</v>
      </c>
      <c r="M40" s="82" t="s">
        <v>26</v>
      </c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27" customHeight="1">
      <c r="A41" s="34" t="s">
        <v>16</v>
      </c>
      <c r="B41" s="77"/>
      <c r="C41" s="47"/>
      <c r="D41" s="78">
        <v>1100</v>
      </c>
      <c r="E41" s="79">
        <v>1100</v>
      </c>
      <c r="F41" s="79">
        <v>1130</v>
      </c>
      <c r="G41" s="79">
        <v>1</v>
      </c>
      <c r="H41" s="80"/>
      <c r="I41" s="81">
        <f t="shared" si="3"/>
        <v>1.3673</v>
      </c>
      <c r="J41" s="81">
        <f t="shared" si="4"/>
        <v>48.286199499999995</v>
      </c>
      <c r="K41" s="47">
        <v>17000</v>
      </c>
      <c r="L41" s="81">
        <f t="shared" si="5"/>
        <v>23244.1</v>
      </c>
      <c r="M41" s="82" t="s">
        <v>26</v>
      </c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27" customHeight="1">
      <c r="A42" s="34" t="s">
        <v>16</v>
      </c>
      <c r="B42" s="77"/>
      <c r="C42" s="47"/>
      <c r="D42" s="78">
        <v>1060</v>
      </c>
      <c r="E42" s="79">
        <v>1120</v>
      </c>
      <c r="F42" s="79">
        <v>1100</v>
      </c>
      <c r="G42" s="79">
        <v>1</v>
      </c>
      <c r="H42" s="80"/>
      <c r="I42" s="81">
        <f t="shared" si="3"/>
        <v>1.30592</v>
      </c>
      <c r="J42" s="81">
        <f t="shared" si="4"/>
        <v>46.118564799999994</v>
      </c>
      <c r="K42" s="47">
        <v>17000</v>
      </c>
      <c r="L42" s="81">
        <f t="shared" si="5"/>
        <v>22200.639999999999</v>
      </c>
      <c r="M42" s="82" t="s">
        <v>26</v>
      </c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27" customHeight="1">
      <c r="A43" s="34" t="s">
        <v>16</v>
      </c>
      <c r="B43" s="77"/>
      <c r="C43" s="47"/>
      <c r="D43" s="78">
        <v>1100</v>
      </c>
      <c r="E43" s="79">
        <v>1060</v>
      </c>
      <c r="F43" s="79">
        <v>1150</v>
      </c>
      <c r="G43" s="79">
        <v>1</v>
      </c>
      <c r="H43" s="80"/>
      <c r="I43" s="81">
        <f t="shared" si="3"/>
        <v>1.3409</v>
      </c>
      <c r="J43" s="81">
        <f t="shared" si="4"/>
        <v>47.353883499999995</v>
      </c>
      <c r="K43" s="47">
        <v>17000</v>
      </c>
      <c r="L43" s="81">
        <f t="shared" si="5"/>
        <v>22795.3</v>
      </c>
      <c r="M43" s="82" t="s">
        <v>26</v>
      </c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27" customHeight="1">
      <c r="A44" s="34" t="s">
        <v>16</v>
      </c>
      <c r="B44" s="77"/>
      <c r="C44" s="47"/>
      <c r="D44" s="78">
        <v>1090</v>
      </c>
      <c r="E44" s="79">
        <v>950</v>
      </c>
      <c r="F44" s="79">
        <v>1120</v>
      </c>
      <c r="G44" s="79">
        <v>1</v>
      </c>
      <c r="H44" s="80"/>
      <c r="I44" s="81">
        <f t="shared" si="3"/>
        <v>1.1597599999999999</v>
      </c>
      <c r="J44" s="81">
        <f t="shared" si="4"/>
        <v>40.956924399999991</v>
      </c>
      <c r="K44" s="47">
        <v>17000</v>
      </c>
      <c r="L44" s="81">
        <f t="shared" si="5"/>
        <v>19715.919999999998</v>
      </c>
      <c r="M44" s="82" t="s">
        <v>26</v>
      </c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27" customHeight="1">
      <c r="A45" s="34" t="s">
        <v>16</v>
      </c>
      <c r="B45" s="77"/>
      <c r="C45" s="47"/>
      <c r="D45" s="78">
        <v>1100</v>
      </c>
      <c r="E45" s="79">
        <v>1100</v>
      </c>
      <c r="F45" s="79">
        <v>1000</v>
      </c>
      <c r="G45" s="79">
        <v>1</v>
      </c>
      <c r="H45" s="80"/>
      <c r="I45" s="81">
        <f t="shared" si="3"/>
        <v>1.21</v>
      </c>
      <c r="J45" s="81">
        <f t="shared" si="4"/>
        <v>42.73115</v>
      </c>
      <c r="K45" s="47">
        <v>17000</v>
      </c>
      <c r="L45" s="81">
        <f t="shared" si="5"/>
        <v>20570</v>
      </c>
      <c r="M45" s="82" t="s">
        <v>26</v>
      </c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27" customHeight="1">
      <c r="A46" s="34" t="s">
        <v>16</v>
      </c>
      <c r="B46" s="77"/>
      <c r="C46" s="47"/>
      <c r="D46" s="78">
        <v>1090</v>
      </c>
      <c r="E46" s="79">
        <v>1120</v>
      </c>
      <c r="F46" s="79">
        <v>1100</v>
      </c>
      <c r="G46" s="79">
        <v>1</v>
      </c>
      <c r="H46" s="80"/>
      <c r="I46" s="81">
        <f t="shared" si="3"/>
        <v>1.3428800000000001</v>
      </c>
      <c r="J46" s="81">
        <f t="shared" si="4"/>
        <v>47.423807199999999</v>
      </c>
      <c r="K46" s="47">
        <v>17000</v>
      </c>
      <c r="L46" s="81">
        <f t="shared" si="5"/>
        <v>22828.960000000003</v>
      </c>
      <c r="M46" s="82" t="s">
        <v>26</v>
      </c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27" customHeight="1">
      <c r="A47" s="34" t="s">
        <v>16</v>
      </c>
      <c r="B47" s="77"/>
      <c r="C47" s="47"/>
      <c r="D47" s="78">
        <v>1060</v>
      </c>
      <c r="E47" s="79">
        <v>1120</v>
      </c>
      <c r="F47" s="79">
        <v>1100</v>
      </c>
      <c r="G47" s="79">
        <v>1</v>
      </c>
      <c r="H47" s="80"/>
      <c r="I47" s="81">
        <f t="shared" si="3"/>
        <v>1.30592</v>
      </c>
      <c r="J47" s="81">
        <f t="shared" si="4"/>
        <v>46.118564799999994</v>
      </c>
      <c r="K47" s="47">
        <v>17000</v>
      </c>
      <c r="L47" s="81">
        <f t="shared" si="5"/>
        <v>22200.639999999999</v>
      </c>
      <c r="M47" s="82" t="s">
        <v>26</v>
      </c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27" customHeight="1">
      <c r="A48" s="34" t="s">
        <v>16</v>
      </c>
      <c r="B48" s="77"/>
      <c r="C48" s="47"/>
      <c r="D48" s="78">
        <v>1100</v>
      </c>
      <c r="E48" s="79">
        <v>1000</v>
      </c>
      <c r="F48" s="79">
        <v>1000</v>
      </c>
      <c r="G48" s="79">
        <v>1</v>
      </c>
      <c r="H48" s="80"/>
      <c r="I48" s="81">
        <f t="shared" si="3"/>
        <v>1.1000000000000001</v>
      </c>
      <c r="J48" s="81">
        <f t="shared" si="4"/>
        <v>38.846499999999999</v>
      </c>
      <c r="K48" s="47">
        <v>17000</v>
      </c>
      <c r="L48" s="81">
        <f t="shared" si="5"/>
        <v>18700</v>
      </c>
      <c r="M48" s="82" t="s">
        <v>26</v>
      </c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27" customHeight="1">
      <c r="A49" s="34" t="s">
        <v>16</v>
      </c>
      <c r="B49" s="77"/>
      <c r="C49" s="47"/>
      <c r="D49" s="78">
        <v>1100</v>
      </c>
      <c r="E49" s="79">
        <v>1130</v>
      </c>
      <c r="F49" s="79">
        <v>1180</v>
      </c>
      <c r="G49" s="79">
        <v>1</v>
      </c>
      <c r="H49" s="80"/>
      <c r="I49" s="81">
        <f t="shared" si="3"/>
        <v>1.4667399999999999</v>
      </c>
      <c r="J49" s="81">
        <f t="shared" si="4"/>
        <v>51.797923099999991</v>
      </c>
      <c r="K49" s="47">
        <v>17000</v>
      </c>
      <c r="L49" s="81">
        <f t="shared" si="5"/>
        <v>24934.579999999998</v>
      </c>
      <c r="M49" s="82" t="s">
        <v>26</v>
      </c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27" customHeight="1">
      <c r="A50" s="34" t="s">
        <v>16</v>
      </c>
      <c r="B50" s="77"/>
      <c r="C50" s="47"/>
      <c r="D50" s="78">
        <v>1120</v>
      </c>
      <c r="E50" s="79">
        <v>1010</v>
      </c>
      <c r="F50" s="79">
        <v>1130</v>
      </c>
      <c r="G50" s="79">
        <v>1</v>
      </c>
      <c r="H50" s="80"/>
      <c r="I50" s="81">
        <f t="shared" si="3"/>
        <v>1.2782560000000001</v>
      </c>
      <c r="J50" s="81">
        <f t="shared" si="4"/>
        <v>45.141610639999996</v>
      </c>
      <c r="K50" s="47">
        <v>17000</v>
      </c>
      <c r="L50" s="81">
        <f t="shared" si="5"/>
        <v>21730.352000000003</v>
      </c>
      <c r="M50" s="82" t="s">
        <v>26</v>
      </c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27" customHeight="1">
      <c r="A51" s="34" t="s">
        <v>16</v>
      </c>
      <c r="B51" s="77"/>
      <c r="C51" s="47"/>
      <c r="D51" s="78">
        <v>1150</v>
      </c>
      <c r="E51" s="79">
        <v>1150</v>
      </c>
      <c r="F51" s="79">
        <v>1120</v>
      </c>
      <c r="G51" s="79">
        <v>1</v>
      </c>
      <c r="H51" s="80"/>
      <c r="I51" s="81">
        <f t="shared" si="3"/>
        <v>1.4812000000000001</v>
      </c>
      <c r="J51" s="81">
        <f t="shared" si="4"/>
        <v>52.308577999999997</v>
      </c>
      <c r="K51" s="47">
        <v>17000</v>
      </c>
      <c r="L51" s="81">
        <f t="shared" si="5"/>
        <v>25180.400000000001</v>
      </c>
      <c r="M51" s="82" t="s">
        <v>26</v>
      </c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27" customHeight="1">
      <c r="A52" s="34" t="s">
        <v>16</v>
      </c>
      <c r="B52" s="77"/>
      <c r="C52" s="47"/>
      <c r="D52" s="78">
        <v>1020</v>
      </c>
      <c r="E52" s="79">
        <v>1020</v>
      </c>
      <c r="F52" s="79">
        <v>450</v>
      </c>
      <c r="G52" s="79">
        <v>1</v>
      </c>
      <c r="H52" s="80"/>
      <c r="I52" s="81">
        <f t="shared" si="3"/>
        <v>0.46817999999999999</v>
      </c>
      <c r="J52" s="81">
        <f t="shared" si="4"/>
        <v>16.533776699999997</v>
      </c>
      <c r="K52" s="47">
        <v>17000</v>
      </c>
      <c r="L52" s="81">
        <f t="shared" si="5"/>
        <v>7959.0599999999995</v>
      </c>
      <c r="M52" s="82" t="s">
        <v>26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27" customHeight="1">
      <c r="A53" s="34" t="s">
        <v>16</v>
      </c>
      <c r="B53" s="77"/>
      <c r="C53" s="47"/>
      <c r="D53" s="78">
        <v>1000</v>
      </c>
      <c r="E53" s="79">
        <v>560</v>
      </c>
      <c r="F53" s="79">
        <v>450</v>
      </c>
      <c r="G53" s="79">
        <v>1</v>
      </c>
      <c r="H53" s="80"/>
      <c r="I53" s="81">
        <f t="shared" si="3"/>
        <v>0.252</v>
      </c>
      <c r="J53" s="81">
        <f t="shared" si="4"/>
        <v>8.899379999999999</v>
      </c>
      <c r="K53" s="47">
        <v>17000</v>
      </c>
      <c r="L53" s="81">
        <f t="shared" si="5"/>
        <v>4284</v>
      </c>
      <c r="M53" s="82" t="s">
        <v>26</v>
      </c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27" customHeight="1">
      <c r="A54" s="34" t="s">
        <v>16</v>
      </c>
      <c r="B54" s="77"/>
      <c r="C54" s="47"/>
      <c r="D54" s="78">
        <v>1020</v>
      </c>
      <c r="E54" s="79">
        <v>1050</v>
      </c>
      <c r="F54" s="79">
        <v>1000</v>
      </c>
      <c r="G54" s="79">
        <v>1</v>
      </c>
      <c r="H54" s="80"/>
      <c r="I54" s="81">
        <f t="shared" si="3"/>
        <v>1.071</v>
      </c>
      <c r="J54" s="81">
        <f t="shared" si="4"/>
        <v>37.822364999999998</v>
      </c>
      <c r="K54" s="47">
        <v>17000</v>
      </c>
      <c r="L54" s="81">
        <f t="shared" si="5"/>
        <v>18207</v>
      </c>
      <c r="M54" s="82" t="s">
        <v>26</v>
      </c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27" customHeight="1">
      <c r="A55" s="34" t="s">
        <v>16</v>
      </c>
      <c r="B55" s="77"/>
      <c r="C55" s="47"/>
      <c r="D55" s="78">
        <v>1090</v>
      </c>
      <c r="E55" s="79">
        <v>1130</v>
      </c>
      <c r="F55" s="79">
        <v>1120</v>
      </c>
      <c r="G55" s="79">
        <v>1</v>
      </c>
      <c r="H55" s="80"/>
      <c r="I55" s="81">
        <f t="shared" si="3"/>
        <v>1.3795040000000001</v>
      </c>
      <c r="J55" s="81">
        <f t="shared" si="4"/>
        <v>48.717183759999998</v>
      </c>
      <c r="K55" s="47">
        <v>17000</v>
      </c>
      <c r="L55" s="81">
        <f t="shared" si="5"/>
        <v>23451.567999999999</v>
      </c>
      <c r="M55" s="82" t="s">
        <v>26</v>
      </c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27" customHeight="1">
      <c r="A56" s="34" t="s">
        <v>16</v>
      </c>
      <c r="B56" s="77"/>
      <c r="C56" s="47"/>
      <c r="D56" s="78">
        <v>1080</v>
      </c>
      <c r="E56" s="79">
        <v>1100</v>
      </c>
      <c r="F56" s="79">
        <v>1090</v>
      </c>
      <c r="G56" s="79">
        <v>1</v>
      </c>
      <c r="H56" s="80"/>
      <c r="I56" s="81">
        <f t="shared" si="3"/>
        <v>1.2949200000000001</v>
      </c>
      <c r="J56" s="81">
        <f t="shared" si="4"/>
        <v>45.730099799999998</v>
      </c>
      <c r="K56" s="47">
        <v>17000</v>
      </c>
      <c r="L56" s="81">
        <f t="shared" si="5"/>
        <v>22013.64</v>
      </c>
      <c r="M56" s="82" t="s">
        <v>26</v>
      </c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27" customHeight="1">
      <c r="A57" s="34" t="s">
        <v>16</v>
      </c>
      <c r="B57" s="77"/>
      <c r="C57" s="47"/>
      <c r="D57" s="78">
        <v>1100</v>
      </c>
      <c r="E57" s="79">
        <v>1000</v>
      </c>
      <c r="F57" s="79">
        <v>1020</v>
      </c>
      <c r="G57" s="79">
        <v>1</v>
      </c>
      <c r="H57" s="80"/>
      <c r="I57" s="81">
        <f t="shared" si="3"/>
        <v>1.1220000000000001</v>
      </c>
      <c r="J57" s="81">
        <f t="shared" si="4"/>
        <v>39.623429999999999</v>
      </c>
      <c r="K57" s="47">
        <v>17000</v>
      </c>
      <c r="L57" s="81">
        <f t="shared" si="5"/>
        <v>19074.000000000004</v>
      </c>
      <c r="M57" s="82" t="s">
        <v>26</v>
      </c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27" customHeight="1">
      <c r="A58" s="34" t="s">
        <v>16</v>
      </c>
      <c r="B58" s="77"/>
      <c r="C58" s="47"/>
      <c r="D58" s="78">
        <v>1100</v>
      </c>
      <c r="E58" s="79">
        <v>1120</v>
      </c>
      <c r="F58" s="79">
        <v>1000</v>
      </c>
      <c r="G58" s="79">
        <v>1</v>
      </c>
      <c r="H58" s="80"/>
      <c r="I58" s="81">
        <f t="shared" si="3"/>
        <v>1.232</v>
      </c>
      <c r="J58" s="81">
        <f t="shared" si="4"/>
        <v>43.50808</v>
      </c>
      <c r="K58" s="47">
        <v>17000</v>
      </c>
      <c r="L58" s="81">
        <f t="shared" si="5"/>
        <v>20944</v>
      </c>
      <c r="M58" s="82" t="s">
        <v>26</v>
      </c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27" customHeight="1">
      <c r="A59" s="34" t="s">
        <v>16</v>
      </c>
      <c r="B59" s="77"/>
      <c r="C59" s="47"/>
      <c r="D59" s="78">
        <v>1000</v>
      </c>
      <c r="E59" s="79">
        <v>1080</v>
      </c>
      <c r="F59" s="79">
        <v>1130</v>
      </c>
      <c r="G59" s="79">
        <v>1</v>
      </c>
      <c r="H59" s="80"/>
      <c r="I59" s="81">
        <f t="shared" si="3"/>
        <v>1.2203999999999999</v>
      </c>
      <c r="J59" s="81">
        <f t="shared" si="4"/>
        <v>43.098425999999996</v>
      </c>
      <c r="K59" s="47">
        <v>17000</v>
      </c>
      <c r="L59" s="81">
        <f t="shared" si="5"/>
        <v>20746.8</v>
      </c>
      <c r="M59" s="82" t="s">
        <v>26</v>
      </c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27" customHeight="1">
      <c r="A60" s="34" t="s">
        <v>16</v>
      </c>
      <c r="B60" s="77"/>
      <c r="C60" s="47"/>
      <c r="D60" s="78">
        <v>1170</v>
      </c>
      <c r="E60" s="79">
        <v>1170</v>
      </c>
      <c r="F60" s="79">
        <v>1120</v>
      </c>
      <c r="G60" s="79">
        <v>1</v>
      </c>
      <c r="H60" s="80"/>
      <c r="I60" s="81">
        <f t="shared" si="3"/>
        <v>1.5331680000000001</v>
      </c>
      <c r="J60" s="81">
        <f t="shared" si="4"/>
        <v>54.14382792</v>
      </c>
      <c r="K60" s="47">
        <v>17000</v>
      </c>
      <c r="L60" s="81">
        <f t="shared" si="5"/>
        <v>26063.856</v>
      </c>
      <c r="M60" s="82" t="s">
        <v>26</v>
      </c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27" customHeight="1">
      <c r="A61" s="34" t="s">
        <v>16</v>
      </c>
      <c r="B61" s="77"/>
      <c r="C61" s="47"/>
      <c r="D61" s="78">
        <v>1110</v>
      </c>
      <c r="E61" s="79">
        <v>1060</v>
      </c>
      <c r="F61" s="79">
        <v>1110</v>
      </c>
      <c r="G61" s="79">
        <v>1</v>
      </c>
      <c r="H61" s="80"/>
      <c r="I61" s="81">
        <f t="shared" si="3"/>
        <v>1.3060259999999999</v>
      </c>
      <c r="J61" s="81">
        <f t="shared" si="4"/>
        <v>46.122308189999991</v>
      </c>
      <c r="K61" s="47">
        <v>17000</v>
      </c>
      <c r="L61" s="81">
        <f t="shared" si="5"/>
        <v>22202.441999999999</v>
      </c>
      <c r="M61" s="82" t="s">
        <v>26</v>
      </c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27" customHeight="1">
      <c r="A62" s="34" t="s">
        <v>16</v>
      </c>
      <c r="B62" s="77"/>
      <c r="C62" s="47"/>
      <c r="D62" s="78">
        <v>1100</v>
      </c>
      <c r="E62" s="79">
        <v>1100</v>
      </c>
      <c r="F62" s="79">
        <v>1040</v>
      </c>
      <c r="G62" s="79">
        <v>1</v>
      </c>
      <c r="H62" s="80"/>
      <c r="I62" s="81">
        <f t="shared" si="3"/>
        <v>1.2584</v>
      </c>
      <c r="J62" s="81">
        <f t="shared" si="4"/>
        <v>44.440395999999993</v>
      </c>
      <c r="K62" s="47">
        <v>17000</v>
      </c>
      <c r="L62" s="81">
        <f t="shared" si="5"/>
        <v>21392.799999999999</v>
      </c>
      <c r="M62" s="82" t="s">
        <v>26</v>
      </c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27" customHeight="1">
      <c r="A63" s="34" t="s">
        <v>16</v>
      </c>
      <c r="B63" s="77"/>
      <c r="C63" s="47"/>
      <c r="D63" s="78">
        <v>1100</v>
      </c>
      <c r="E63" s="79">
        <v>1104</v>
      </c>
      <c r="F63" s="79">
        <v>1103</v>
      </c>
      <c r="G63" s="79">
        <v>1</v>
      </c>
      <c r="H63" s="80"/>
      <c r="I63" s="81">
        <f t="shared" si="3"/>
        <v>1.3394832000000001</v>
      </c>
      <c r="J63" s="81">
        <f t="shared" si="4"/>
        <v>47.303849208000003</v>
      </c>
      <c r="K63" s="47">
        <v>17000</v>
      </c>
      <c r="L63" s="81">
        <f t="shared" si="5"/>
        <v>22771.214400000001</v>
      </c>
      <c r="M63" s="82" t="s">
        <v>26</v>
      </c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27" customHeight="1">
      <c r="A64" s="34" t="s">
        <v>16</v>
      </c>
      <c r="B64" s="77"/>
      <c r="C64" s="47"/>
      <c r="D64" s="78">
        <v>1200</v>
      </c>
      <c r="E64" s="79">
        <v>1100</v>
      </c>
      <c r="F64" s="79">
        <v>1120</v>
      </c>
      <c r="G64" s="79">
        <v>1</v>
      </c>
      <c r="H64" s="80"/>
      <c r="I64" s="81">
        <f t="shared" si="3"/>
        <v>1.4783999999999999</v>
      </c>
      <c r="J64" s="81">
        <f t="shared" si="4"/>
        <v>52.209695999999994</v>
      </c>
      <c r="K64" s="47">
        <v>17000</v>
      </c>
      <c r="L64" s="81">
        <f t="shared" si="5"/>
        <v>25132.799999999999</v>
      </c>
      <c r="M64" s="82" t="s">
        <v>26</v>
      </c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27" customHeight="1">
      <c r="A65" s="34" t="s">
        <v>16</v>
      </c>
      <c r="B65" s="77"/>
      <c r="C65" s="47"/>
      <c r="D65" s="78">
        <v>1090</v>
      </c>
      <c r="E65" s="79">
        <v>1130</v>
      </c>
      <c r="F65" s="79">
        <v>1120</v>
      </c>
      <c r="G65" s="79">
        <v>1</v>
      </c>
      <c r="H65" s="80"/>
      <c r="I65" s="81">
        <f t="shared" si="3"/>
        <v>1.3795040000000001</v>
      </c>
      <c r="J65" s="81">
        <f t="shared" si="4"/>
        <v>48.717183759999998</v>
      </c>
      <c r="K65" s="47">
        <v>17000</v>
      </c>
      <c r="L65" s="81">
        <f t="shared" si="5"/>
        <v>23451.567999999999</v>
      </c>
      <c r="M65" s="82" t="s">
        <v>26</v>
      </c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27" customHeight="1">
      <c r="A66" s="34" t="s">
        <v>16</v>
      </c>
      <c r="B66" s="77"/>
      <c r="C66" s="47"/>
      <c r="D66" s="78">
        <v>1000</v>
      </c>
      <c r="E66" s="79">
        <v>1100</v>
      </c>
      <c r="F66" s="79">
        <v>1030</v>
      </c>
      <c r="G66" s="79">
        <v>1</v>
      </c>
      <c r="H66" s="80"/>
      <c r="I66" s="81">
        <f t="shared" si="3"/>
        <v>1.133</v>
      </c>
      <c r="J66" s="81">
        <f t="shared" si="4"/>
        <v>40.011894999999996</v>
      </c>
      <c r="K66" s="47">
        <v>17000</v>
      </c>
      <c r="L66" s="81">
        <f t="shared" si="5"/>
        <v>19261</v>
      </c>
      <c r="M66" s="82" t="s">
        <v>26</v>
      </c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27" customHeight="1">
      <c r="A67" s="34" t="s">
        <v>16</v>
      </c>
      <c r="B67" s="77"/>
      <c r="C67" s="47"/>
      <c r="D67" s="78">
        <v>1130</v>
      </c>
      <c r="E67" s="79">
        <v>1120</v>
      </c>
      <c r="F67" s="79">
        <v>1200</v>
      </c>
      <c r="G67" s="79">
        <v>1</v>
      </c>
      <c r="H67" s="80"/>
      <c r="I67" s="81">
        <f t="shared" si="3"/>
        <v>1.5187200000000001</v>
      </c>
      <c r="J67" s="81">
        <f t="shared" si="4"/>
        <v>53.633596799999999</v>
      </c>
      <c r="K67" s="47">
        <v>17000</v>
      </c>
      <c r="L67" s="81">
        <f t="shared" si="5"/>
        <v>25818.240000000002</v>
      </c>
      <c r="M67" s="82" t="s">
        <v>26</v>
      </c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27" customHeight="1">
      <c r="A68" s="34" t="s">
        <v>16</v>
      </c>
      <c r="B68" s="77"/>
      <c r="C68" s="47"/>
      <c r="D68" s="78">
        <v>1100</v>
      </c>
      <c r="E68" s="79">
        <v>1120</v>
      </c>
      <c r="F68" s="79">
        <v>1000</v>
      </c>
      <c r="G68" s="79">
        <v>1</v>
      </c>
      <c r="H68" s="80"/>
      <c r="I68" s="81">
        <f t="shared" si="3"/>
        <v>1.232</v>
      </c>
      <c r="J68" s="81">
        <f t="shared" ref="J68:J69" si="6">I68*35.315</f>
        <v>43.50808</v>
      </c>
      <c r="K68" s="47">
        <v>17000</v>
      </c>
      <c r="L68" s="81">
        <f t="shared" ref="L68:L69" si="7">I68*K68</f>
        <v>20944</v>
      </c>
      <c r="M68" s="82" t="s">
        <v>26</v>
      </c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27" customHeight="1">
      <c r="A69" s="34" t="s">
        <v>16</v>
      </c>
      <c r="B69" s="77"/>
      <c r="C69" s="47"/>
      <c r="D69" s="78">
        <v>1070</v>
      </c>
      <c r="E69" s="79">
        <v>1110</v>
      </c>
      <c r="F69" s="79">
        <v>1130</v>
      </c>
      <c r="G69" s="79">
        <v>1</v>
      </c>
      <c r="H69" s="80"/>
      <c r="I69" s="81">
        <f t="shared" si="3"/>
        <v>1.342101</v>
      </c>
      <c r="J69" s="81">
        <f t="shared" si="6"/>
        <v>47.396296814999999</v>
      </c>
      <c r="K69" s="47">
        <v>17000</v>
      </c>
      <c r="L69" s="81">
        <f t="shared" si="7"/>
        <v>22815.717000000001</v>
      </c>
      <c r="M69" s="82" t="s">
        <v>26</v>
      </c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27" customHeight="1">
      <c r="A70" s="477" t="s">
        <v>18</v>
      </c>
      <c r="B70" s="466"/>
      <c r="C70" s="466"/>
      <c r="D70" s="466"/>
      <c r="E70" s="466"/>
      <c r="F70" s="467"/>
      <c r="G70" s="51">
        <f>SUM(G4:G69)</f>
        <v>7681</v>
      </c>
      <c r="H70" s="83"/>
      <c r="I70" s="84">
        <f>SUM(I4:I69)</f>
        <v>75.881564699999984</v>
      </c>
      <c r="J70" s="84">
        <f>SUM(J4:J69)</f>
        <v>2679.7574573804995</v>
      </c>
      <c r="K70" s="84"/>
      <c r="L70" s="84">
        <f>SUM(L4:L69)</f>
        <v>1289986.5998999998</v>
      </c>
      <c r="M70" s="85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9.5" customHeight="1">
      <c r="A71" s="74"/>
      <c r="B71" s="74"/>
      <c r="C71" s="74"/>
      <c r="D71" s="74"/>
      <c r="E71" s="74"/>
      <c r="F71" s="74"/>
      <c r="G71" s="74"/>
      <c r="H71" s="87"/>
      <c r="I71" s="74"/>
      <c r="J71" s="88"/>
      <c r="K71" s="88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9.5" customHeight="1">
      <c r="A72" s="74"/>
      <c r="B72" s="74"/>
      <c r="C72" s="74"/>
      <c r="D72" s="74"/>
      <c r="E72" s="74"/>
      <c r="F72" s="74"/>
      <c r="G72" s="74"/>
      <c r="H72" s="87"/>
      <c r="I72" s="74"/>
      <c r="J72" s="88"/>
      <c r="K72" s="88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9.5" customHeight="1">
      <c r="A73" s="74"/>
      <c r="B73" s="74"/>
      <c r="C73" s="74"/>
      <c r="D73" s="74"/>
      <c r="E73" s="74"/>
      <c r="F73" s="74"/>
      <c r="G73" s="74"/>
      <c r="H73" s="87"/>
      <c r="I73" s="74"/>
      <c r="J73" s="88"/>
      <c r="K73" s="88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9.5" customHeight="1">
      <c r="A74" s="74"/>
      <c r="B74" s="74"/>
      <c r="C74" s="74"/>
      <c r="D74" s="74"/>
      <c r="E74" s="74"/>
      <c r="F74" s="74"/>
      <c r="G74" s="74"/>
      <c r="H74" s="87"/>
      <c r="I74" s="74"/>
      <c r="J74" s="88"/>
      <c r="K74" s="88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9.5" customHeight="1">
      <c r="A75" s="74"/>
      <c r="B75" s="74"/>
      <c r="C75" s="74"/>
      <c r="D75" s="74"/>
      <c r="E75" s="74"/>
      <c r="F75" s="74"/>
      <c r="G75" s="74"/>
      <c r="H75" s="87"/>
      <c r="I75" s="74"/>
      <c r="J75" s="88"/>
      <c r="K75" s="88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9.5" customHeight="1">
      <c r="A76" s="74"/>
      <c r="B76" s="74"/>
      <c r="C76" s="74"/>
      <c r="D76" s="74"/>
      <c r="E76" s="74"/>
      <c r="F76" s="74"/>
      <c r="G76" s="74"/>
      <c r="H76" s="87"/>
      <c r="I76" s="74"/>
      <c r="J76" s="88"/>
      <c r="K76" s="88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9.5" customHeight="1">
      <c r="A77" s="74"/>
      <c r="B77" s="74"/>
      <c r="C77" s="74"/>
      <c r="D77" s="74"/>
      <c r="E77" s="74"/>
      <c r="F77" s="74"/>
      <c r="G77" s="74"/>
      <c r="H77" s="87"/>
      <c r="I77" s="74"/>
      <c r="J77" s="88"/>
      <c r="K77" s="88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9.5" customHeight="1">
      <c r="A78" s="74"/>
      <c r="B78" s="74"/>
      <c r="C78" s="74"/>
      <c r="D78" s="74"/>
      <c r="E78" s="74"/>
      <c r="F78" s="74"/>
      <c r="G78" s="74"/>
      <c r="H78" s="87"/>
      <c r="I78" s="74"/>
      <c r="J78" s="88"/>
      <c r="K78" s="88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9.5" customHeight="1">
      <c r="A79" s="74"/>
      <c r="B79" s="74"/>
      <c r="C79" s="74"/>
      <c r="D79" s="74"/>
      <c r="E79" s="74"/>
      <c r="F79" s="74"/>
      <c r="G79" s="74"/>
      <c r="H79" s="87"/>
      <c r="I79" s="74"/>
      <c r="J79" s="88"/>
      <c r="K79" s="88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9.5" customHeight="1">
      <c r="A80" s="74"/>
      <c r="B80" s="74"/>
      <c r="C80" s="74"/>
      <c r="D80" s="74"/>
      <c r="E80" s="74"/>
      <c r="F80" s="74"/>
      <c r="G80" s="74"/>
      <c r="H80" s="87"/>
      <c r="I80" s="74"/>
      <c r="J80" s="88"/>
      <c r="K80" s="88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9.5" customHeight="1">
      <c r="A81" s="74"/>
      <c r="B81" s="74"/>
      <c r="C81" s="74"/>
      <c r="D81" s="74"/>
      <c r="E81" s="74"/>
      <c r="F81" s="74"/>
      <c r="G81" s="74"/>
      <c r="H81" s="87"/>
      <c r="I81" s="74"/>
      <c r="J81" s="88"/>
      <c r="K81" s="88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9.5" customHeight="1">
      <c r="A82" s="74"/>
      <c r="B82" s="74"/>
      <c r="C82" s="74"/>
      <c r="D82" s="74"/>
      <c r="E82" s="74"/>
      <c r="F82" s="74"/>
      <c r="G82" s="74"/>
      <c r="H82" s="87"/>
      <c r="I82" s="74"/>
      <c r="J82" s="88"/>
      <c r="K82" s="88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9.5" customHeight="1">
      <c r="A83" s="74"/>
      <c r="B83" s="74"/>
      <c r="C83" s="74"/>
      <c r="D83" s="74"/>
      <c r="E83" s="74"/>
      <c r="F83" s="74"/>
      <c r="G83" s="74"/>
      <c r="H83" s="87"/>
      <c r="I83" s="74"/>
      <c r="J83" s="88"/>
      <c r="K83" s="88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9.5" customHeight="1">
      <c r="A84" s="74"/>
      <c r="B84" s="74"/>
      <c r="C84" s="74"/>
      <c r="D84" s="74"/>
      <c r="E84" s="74"/>
      <c r="F84" s="74"/>
      <c r="G84" s="74"/>
      <c r="H84" s="87"/>
      <c r="I84" s="74"/>
      <c r="J84" s="88"/>
      <c r="K84" s="88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9.5" customHeight="1">
      <c r="A85" s="74"/>
      <c r="B85" s="74"/>
      <c r="C85" s="74"/>
      <c r="D85" s="74"/>
      <c r="E85" s="74"/>
      <c r="F85" s="74"/>
      <c r="G85" s="74"/>
      <c r="H85" s="87"/>
      <c r="I85" s="74"/>
      <c r="J85" s="88"/>
      <c r="K85" s="88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9.5" customHeight="1">
      <c r="A86" s="74"/>
      <c r="B86" s="74"/>
      <c r="C86" s="74"/>
      <c r="D86" s="74"/>
      <c r="E86" s="74"/>
      <c r="F86" s="74"/>
      <c r="G86" s="74"/>
      <c r="H86" s="87"/>
      <c r="I86" s="74"/>
      <c r="J86" s="88"/>
      <c r="K86" s="88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9.5" customHeight="1">
      <c r="A87" s="74"/>
      <c r="B87" s="74"/>
      <c r="C87" s="74"/>
      <c r="D87" s="74"/>
      <c r="E87" s="74"/>
      <c r="F87" s="74"/>
      <c r="G87" s="74"/>
      <c r="H87" s="87"/>
      <c r="I87" s="74"/>
      <c r="J87" s="88"/>
      <c r="K87" s="88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9.5" customHeight="1">
      <c r="A88" s="74"/>
      <c r="B88" s="74"/>
      <c r="C88" s="74"/>
      <c r="D88" s="74"/>
      <c r="E88" s="74"/>
      <c r="F88" s="74"/>
      <c r="G88" s="74"/>
      <c r="H88" s="87"/>
      <c r="I88" s="74"/>
      <c r="J88" s="88"/>
      <c r="K88" s="88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9.5" customHeight="1">
      <c r="A89" s="74"/>
      <c r="B89" s="74"/>
      <c r="C89" s="74"/>
      <c r="D89" s="74"/>
      <c r="E89" s="74"/>
      <c r="F89" s="74"/>
      <c r="G89" s="74"/>
      <c r="H89" s="87"/>
      <c r="I89" s="74"/>
      <c r="J89" s="88"/>
      <c r="K89" s="88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9.5" customHeight="1">
      <c r="A90" s="74"/>
      <c r="B90" s="74"/>
      <c r="C90" s="74"/>
      <c r="D90" s="74"/>
      <c r="E90" s="74"/>
      <c r="F90" s="74"/>
      <c r="G90" s="74"/>
      <c r="H90" s="87"/>
      <c r="I90" s="74"/>
      <c r="J90" s="88"/>
      <c r="K90" s="88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9.5" customHeight="1">
      <c r="A91" s="74"/>
      <c r="B91" s="74"/>
      <c r="C91" s="74"/>
      <c r="D91" s="74"/>
      <c r="E91" s="74"/>
      <c r="F91" s="74"/>
      <c r="G91" s="74"/>
      <c r="H91" s="87"/>
      <c r="I91" s="74"/>
      <c r="J91" s="88"/>
      <c r="K91" s="88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9.5" customHeight="1">
      <c r="A92" s="74"/>
      <c r="B92" s="74"/>
      <c r="C92" s="74"/>
      <c r="D92" s="74"/>
      <c r="E92" s="74"/>
      <c r="F92" s="74"/>
      <c r="G92" s="74"/>
      <c r="H92" s="87"/>
      <c r="I92" s="74"/>
      <c r="J92" s="88"/>
      <c r="K92" s="88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9.5" customHeight="1">
      <c r="A93" s="74"/>
      <c r="B93" s="74"/>
      <c r="C93" s="74"/>
      <c r="D93" s="74"/>
      <c r="E93" s="74"/>
      <c r="F93" s="74"/>
      <c r="G93" s="74"/>
      <c r="H93" s="87"/>
      <c r="I93" s="74"/>
      <c r="J93" s="88"/>
      <c r="K93" s="88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9.5" customHeight="1">
      <c r="A94" s="74"/>
      <c r="B94" s="74"/>
      <c r="C94" s="74"/>
      <c r="D94" s="74"/>
      <c r="E94" s="74"/>
      <c r="F94" s="74"/>
      <c r="G94" s="74"/>
      <c r="H94" s="87"/>
      <c r="I94" s="74"/>
      <c r="J94" s="88"/>
      <c r="K94" s="88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9.5" customHeight="1">
      <c r="A95" s="74"/>
      <c r="B95" s="74"/>
      <c r="C95" s="74"/>
      <c r="D95" s="74"/>
      <c r="E95" s="74"/>
      <c r="F95" s="74"/>
      <c r="G95" s="74"/>
      <c r="H95" s="87"/>
      <c r="I95" s="74"/>
      <c r="J95" s="88"/>
      <c r="K95" s="88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9.5" customHeight="1">
      <c r="A96" s="74"/>
      <c r="B96" s="74"/>
      <c r="C96" s="74"/>
      <c r="D96" s="74"/>
      <c r="E96" s="74"/>
      <c r="F96" s="74"/>
      <c r="G96" s="74"/>
      <c r="H96" s="87"/>
      <c r="I96" s="74"/>
      <c r="J96" s="88"/>
      <c r="K96" s="88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9.5" customHeight="1">
      <c r="A97" s="74"/>
      <c r="B97" s="74"/>
      <c r="C97" s="74"/>
      <c r="D97" s="74"/>
      <c r="E97" s="74"/>
      <c r="F97" s="74"/>
      <c r="G97" s="74"/>
      <c r="H97" s="87"/>
      <c r="I97" s="74"/>
      <c r="J97" s="88"/>
      <c r="K97" s="88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9.5" customHeight="1">
      <c r="A98" s="74"/>
      <c r="B98" s="74"/>
      <c r="C98" s="74"/>
      <c r="D98" s="74"/>
      <c r="E98" s="74"/>
      <c r="F98" s="74"/>
      <c r="G98" s="74"/>
      <c r="H98" s="87"/>
      <c r="I98" s="74"/>
      <c r="J98" s="88"/>
      <c r="K98" s="88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9.5" customHeight="1">
      <c r="A99" s="74"/>
      <c r="B99" s="74"/>
      <c r="C99" s="74"/>
      <c r="D99" s="74"/>
      <c r="E99" s="74"/>
      <c r="F99" s="74"/>
      <c r="G99" s="74"/>
      <c r="H99" s="87"/>
      <c r="I99" s="74"/>
      <c r="J99" s="88"/>
      <c r="K99" s="88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9.5" customHeight="1">
      <c r="A100" s="74"/>
      <c r="B100" s="74"/>
      <c r="C100" s="74"/>
      <c r="D100" s="74"/>
      <c r="E100" s="74"/>
      <c r="F100" s="74"/>
      <c r="G100" s="74"/>
      <c r="H100" s="87"/>
      <c r="I100" s="74"/>
      <c r="J100" s="88"/>
      <c r="K100" s="88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9.5" customHeight="1">
      <c r="A101" s="74"/>
      <c r="B101" s="74"/>
      <c r="C101" s="74"/>
      <c r="D101" s="74"/>
      <c r="E101" s="74"/>
      <c r="F101" s="74"/>
      <c r="G101" s="74"/>
      <c r="H101" s="87"/>
      <c r="I101" s="74"/>
      <c r="J101" s="88"/>
      <c r="K101" s="88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9.5" customHeight="1">
      <c r="A102" s="74"/>
      <c r="B102" s="74"/>
      <c r="C102" s="74"/>
      <c r="D102" s="74"/>
      <c r="E102" s="74"/>
      <c r="F102" s="74"/>
      <c r="G102" s="74"/>
      <c r="H102" s="87"/>
      <c r="I102" s="74"/>
      <c r="J102" s="88"/>
      <c r="K102" s="88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9.5" customHeight="1">
      <c r="A103" s="74"/>
      <c r="B103" s="74"/>
      <c r="C103" s="74"/>
      <c r="D103" s="74"/>
      <c r="E103" s="74"/>
      <c r="F103" s="74"/>
      <c r="G103" s="74"/>
      <c r="H103" s="87"/>
      <c r="I103" s="74"/>
      <c r="J103" s="88"/>
      <c r="K103" s="88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9.5" customHeight="1">
      <c r="A104" s="74"/>
      <c r="B104" s="74"/>
      <c r="C104" s="74"/>
      <c r="D104" s="74"/>
      <c r="E104" s="74"/>
      <c r="F104" s="74"/>
      <c r="G104" s="74"/>
      <c r="H104" s="87"/>
      <c r="I104" s="74"/>
      <c r="J104" s="88"/>
      <c r="K104" s="88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9.5" customHeight="1">
      <c r="A105" s="74"/>
      <c r="B105" s="74"/>
      <c r="C105" s="74"/>
      <c r="D105" s="74"/>
      <c r="E105" s="74"/>
      <c r="F105" s="74"/>
      <c r="G105" s="74"/>
      <c r="H105" s="87"/>
      <c r="I105" s="74"/>
      <c r="J105" s="88"/>
      <c r="K105" s="88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9.5" customHeight="1">
      <c r="A106" s="74"/>
      <c r="B106" s="74"/>
      <c r="C106" s="74"/>
      <c r="D106" s="74"/>
      <c r="E106" s="74"/>
      <c r="F106" s="74"/>
      <c r="G106" s="74"/>
      <c r="H106" s="87"/>
      <c r="I106" s="74"/>
      <c r="J106" s="88"/>
      <c r="K106" s="88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9.5" customHeight="1">
      <c r="A107" s="74"/>
      <c r="B107" s="74"/>
      <c r="C107" s="74"/>
      <c r="D107" s="74"/>
      <c r="E107" s="74"/>
      <c r="F107" s="74"/>
      <c r="G107" s="74"/>
      <c r="H107" s="87"/>
      <c r="I107" s="74"/>
      <c r="J107" s="88"/>
      <c r="K107" s="88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9.5" customHeight="1">
      <c r="A108" s="74"/>
      <c r="B108" s="74"/>
      <c r="C108" s="74"/>
      <c r="D108" s="74"/>
      <c r="E108" s="74"/>
      <c r="F108" s="74"/>
      <c r="G108" s="74"/>
      <c r="H108" s="87"/>
      <c r="I108" s="74"/>
      <c r="J108" s="88"/>
      <c r="K108" s="88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9.5" customHeight="1">
      <c r="A109" s="74"/>
      <c r="B109" s="74"/>
      <c r="C109" s="74"/>
      <c r="D109" s="74"/>
      <c r="E109" s="74"/>
      <c r="F109" s="74"/>
      <c r="G109" s="74"/>
      <c r="H109" s="87"/>
      <c r="I109" s="74"/>
      <c r="J109" s="88"/>
      <c r="K109" s="88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9.5" customHeight="1">
      <c r="A110" s="74"/>
      <c r="B110" s="74"/>
      <c r="C110" s="74"/>
      <c r="D110" s="74"/>
      <c r="E110" s="74"/>
      <c r="F110" s="74"/>
      <c r="G110" s="74"/>
      <c r="H110" s="87"/>
      <c r="I110" s="74"/>
      <c r="J110" s="88"/>
      <c r="K110" s="88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9.5" customHeight="1">
      <c r="A111" s="74"/>
      <c r="B111" s="74"/>
      <c r="C111" s="74"/>
      <c r="D111" s="74"/>
      <c r="E111" s="74"/>
      <c r="F111" s="74"/>
      <c r="G111" s="74"/>
      <c r="H111" s="87"/>
      <c r="I111" s="74"/>
      <c r="J111" s="88"/>
      <c r="K111" s="88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9.5" customHeight="1">
      <c r="A112" s="74"/>
      <c r="B112" s="74"/>
      <c r="C112" s="74"/>
      <c r="D112" s="74"/>
      <c r="E112" s="74"/>
      <c r="F112" s="74"/>
      <c r="G112" s="74"/>
      <c r="H112" s="87"/>
      <c r="I112" s="74"/>
      <c r="J112" s="88"/>
      <c r="K112" s="88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9.5" customHeight="1">
      <c r="A113" s="74"/>
      <c r="B113" s="74"/>
      <c r="C113" s="74"/>
      <c r="D113" s="74"/>
      <c r="E113" s="74"/>
      <c r="F113" s="74"/>
      <c r="G113" s="74"/>
      <c r="H113" s="87"/>
      <c r="I113" s="74"/>
      <c r="J113" s="88"/>
      <c r="K113" s="88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9.5" customHeight="1">
      <c r="A114" s="74"/>
      <c r="B114" s="74"/>
      <c r="C114" s="74"/>
      <c r="D114" s="74"/>
      <c r="E114" s="74"/>
      <c r="F114" s="74"/>
      <c r="G114" s="74"/>
      <c r="H114" s="87"/>
      <c r="I114" s="74"/>
      <c r="J114" s="88"/>
      <c r="K114" s="88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9.5" customHeight="1">
      <c r="A115" s="74"/>
      <c r="B115" s="74"/>
      <c r="C115" s="74"/>
      <c r="D115" s="74"/>
      <c r="E115" s="74"/>
      <c r="F115" s="74"/>
      <c r="G115" s="74"/>
      <c r="H115" s="87"/>
      <c r="I115" s="74"/>
      <c r="J115" s="88"/>
      <c r="K115" s="88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9.5" customHeight="1">
      <c r="A116" s="74"/>
      <c r="B116" s="74"/>
      <c r="C116" s="74"/>
      <c r="D116" s="74"/>
      <c r="E116" s="74"/>
      <c r="F116" s="74"/>
      <c r="G116" s="74"/>
      <c r="H116" s="87"/>
      <c r="I116" s="74"/>
      <c r="J116" s="88"/>
      <c r="K116" s="88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9.5" customHeight="1">
      <c r="A117" s="74"/>
      <c r="B117" s="74"/>
      <c r="C117" s="74"/>
      <c r="D117" s="74"/>
      <c r="E117" s="74"/>
      <c r="F117" s="74"/>
      <c r="G117" s="74"/>
      <c r="H117" s="87"/>
      <c r="I117" s="74"/>
      <c r="J117" s="88"/>
      <c r="K117" s="88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9.5" customHeight="1">
      <c r="A118" s="74"/>
      <c r="B118" s="74"/>
      <c r="C118" s="74"/>
      <c r="D118" s="74"/>
      <c r="E118" s="74"/>
      <c r="F118" s="74"/>
      <c r="G118" s="74"/>
      <c r="H118" s="87"/>
      <c r="I118" s="74"/>
      <c r="J118" s="88"/>
      <c r="K118" s="88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9.5" customHeight="1">
      <c r="A119" s="74"/>
      <c r="B119" s="74"/>
      <c r="C119" s="74"/>
      <c r="D119" s="74"/>
      <c r="E119" s="74"/>
      <c r="F119" s="74"/>
      <c r="G119" s="74"/>
      <c r="H119" s="87"/>
      <c r="I119" s="74"/>
      <c r="J119" s="88"/>
      <c r="K119" s="88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9.5" customHeight="1">
      <c r="A120" s="74"/>
      <c r="B120" s="74"/>
      <c r="C120" s="74"/>
      <c r="D120" s="74"/>
      <c r="E120" s="74"/>
      <c r="F120" s="74"/>
      <c r="G120" s="74"/>
      <c r="H120" s="87"/>
      <c r="I120" s="74"/>
      <c r="J120" s="88"/>
      <c r="K120" s="88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9.5" customHeight="1">
      <c r="A121" s="74"/>
      <c r="B121" s="74"/>
      <c r="C121" s="74"/>
      <c r="D121" s="74"/>
      <c r="E121" s="74"/>
      <c r="F121" s="74"/>
      <c r="G121" s="74"/>
      <c r="H121" s="87"/>
      <c r="I121" s="74"/>
      <c r="J121" s="88"/>
      <c r="K121" s="88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9.5" customHeight="1">
      <c r="A122" s="74"/>
      <c r="B122" s="74"/>
      <c r="C122" s="74"/>
      <c r="D122" s="74"/>
      <c r="E122" s="74"/>
      <c r="F122" s="74"/>
      <c r="G122" s="74"/>
      <c r="H122" s="87"/>
      <c r="I122" s="74"/>
      <c r="J122" s="88"/>
      <c r="K122" s="88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9.5" customHeight="1">
      <c r="A123" s="74"/>
      <c r="B123" s="74"/>
      <c r="C123" s="74"/>
      <c r="D123" s="74"/>
      <c r="E123" s="74"/>
      <c r="F123" s="74"/>
      <c r="G123" s="74"/>
      <c r="H123" s="87"/>
      <c r="I123" s="74"/>
      <c r="J123" s="88"/>
      <c r="K123" s="88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9.5" customHeight="1">
      <c r="A124" s="74"/>
      <c r="B124" s="74"/>
      <c r="C124" s="74"/>
      <c r="D124" s="74"/>
      <c r="E124" s="74"/>
      <c r="F124" s="74"/>
      <c r="G124" s="74"/>
      <c r="H124" s="87"/>
      <c r="I124" s="74"/>
      <c r="J124" s="88"/>
      <c r="K124" s="88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9.5" customHeight="1">
      <c r="A125" s="74"/>
      <c r="B125" s="74"/>
      <c r="C125" s="74"/>
      <c r="D125" s="74"/>
      <c r="E125" s="74"/>
      <c r="F125" s="74"/>
      <c r="G125" s="74"/>
      <c r="H125" s="87"/>
      <c r="I125" s="74"/>
      <c r="J125" s="88"/>
      <c r="K125" s="88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9.5" customHeight="1">
      <c r="A126" s="74"/>
      <c r="B126" s="74"/>
      <c r="C126" s="74"/>
      <c r="D126" s="74"/>
      <c r="E126" s="74"/>
      <c r="F126" s="74"/>
      <c r="G126" s="74"/>
      <c r="H126" s="87"/>
      <c r="I126" s="74"/>
      <c r="J126" s="88"/>
      <c r="K126" s="88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9.5" customHeight="1">
      <c r="A127" s="74"/>
      <c r="B127" s="74"/>
      <c r="C127" s="74"/>
      <c r="D127" s="74"/>
      <c r="E127" s="74"/>
      <c r="F127" s="74"/>
      <c r="G127" s="74"/>
      <c r="H127" s="87"/>
      <c r="I127" s="74"/>
      <c r="J127" s="88"/>
      <c r="K127" s="88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9.5" customHeight="1">
      <c r="A128" s="74"/>
      <c r="B128" s="74"/>
      <c r="C128" s="74"/>
      <c r="D128" s="74"/>
      <c r="E128" s="74"/>
      <c r="F128" s="74"/>
      <c r="G128" s="74"/>
      <c r="H128" s="87"/>
      <c r="I128" s="74"/>
      <c r="J128" s="88"/>
      <c r="K128" s="88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9.5" customHeight="1">
      <c r="A129" s="74"/>
      <c r="B129" s="74"/>
      <c r="C129" s="74"/>
      <c r="D129" s="74"/>
      <c r="E129" s="74"/>
      <c r="F129" s="74"/>
      <c r="G129" s="74"/>
      <c r="H129" s="87"/>
      <c r="I129" s="74"/>
      <c r="J129" s="88"/>
      <c r="K129" s="88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9.5" customHeight="1">
      <c r="A130" s="74"/>
      <c r="B130" s="74"/>
      <c r="C130" s="74"/>
      <c r="D130" s="74"/>
      <c r="E130" s="74"/>
      <c r="F130" s="74"/>
      <c r="G130" s="74"/>
      <c r="H130" s="87"/>
      <c r="I130" s="74"/>
      <c r="J130" s="88"/>
      <c r="K130" s="88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9.5" customHeight="1">
      <c r="A131" s="74"/>
      <c r="B131" s="74"/>
      <c r="C131" s="74"/>
      <c r="D131" s="74"/>
      <c r="E131" s="74"/>
      <c r="F131" s="74"/>
      <c r="G131" s="74"/>
      <c r="H131" s="87"/>
      <c r="I131" s="74"/>
      <c r="J131" s="88"/>
      <c r="K131" s="88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9.5" customHeight="1">
      <c r="A132" s="74"/>
      <c r="B132" s="74"/>
      <c r="C132" s="74"/>
      <c r="D132" s="74"/>
      <c r="E132" s="74"/>
      <c r="F132" s="74"/>
      <c r="G132" s="74"/>
      <c r="H132" s="87"/>
      <c r="I132" s="74"/>
      <c r="J132" s="88"/>
      <c r="K132" s="88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9.5" customHeight="1">
      <c r="A133" s="74"/>
      <c r="B133" s="74"/>
      <c r="C133" s="74"/>
      <c r="D133" s="74"/>
      <c r="E133" s="74"/>
      <c r="F133" s="74"/>
      <c r="G133" s="74"/>
      <c r="H133" s="87"/>
      <c r="I133" s="74"/>
      <c r="J133" s="88"/>
      <c r="K133" s="88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9.5" customHeight="1">
      <c r="A134" s="74"/>
      <c r="B134" s="74"/>
      <c r="C134" s="74"/>
      <c r="D134" s="74"/>
      <c r="E134" s="74"/>
      <c r="F134" s="74"/>
      <c r="G134" s="74"/>
      <c r="H134" s="87"/>
      <c r="I134" s="74"/>
      <c r="J134" s="88"/>
      <c r="K134" s="88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9.5" customHeight="1">
      <c r="A135" s="74"/>
      <c r="B135" s="74"/>
      <c r="C135" s="74"/>
      <c r="D135" s="74"/>
      <c r="E135" s="74"/>
      <c r="F135" s="74"/>
      <c r="G135" s="74"/>
      <c r="H135" s="87"/>
      <c r="I135" s="74"/>
      <c r="J135" s="88"/>
      <c r="K135" s="88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9.5" customHeight="1">
      <c r="A136" s="74"/>
      <c r="B136" s="74"/>
      <c r="C136" s="74"/>
      <c r="D136" s="74"/>
      <c r="E136" s="74"/>
      <c r="F136" s="74"/>
      <c r="G136" s="74"/>
      <c r="H136" s="87"/>
      <c r="I136" s="74"/>
      <c r="J136" s="88"/>
      <c r="K136" s="88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9.5" customHeight="1">
      <c r="A137" s="74"/>
      <c r="B137" s="74"/>
      <c r="C137" s="74"/>
      <c r="D137" s="74"/>
      <c r="E137" s="74"/>
      <c r="F137" s="74"/>
      <c r="G137" s="74"/>
      <c r="H137" s="87"/>
      <c r="I137" s="74"/>
      <c r="J137" s="88"/>
      <c r="K137" s="88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9.5" customHeight="1">
      <c r="A138" s="74"/>
      <c r="B138" s="74"/>
      <c r="C138" s="74"/>
      <c r="D138" s="74"/>
      <c r="E138" s="74"/>
      <c r="F138" s="74"/>
      <c r="G138" s="74"/>
      <c r="H138" s="87"/>
      <c r="I138" s="74"/>
      <c r="J138" s="88"/>
      <c r="K138" s="88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9.5" customHeight="1">
      <c r="A139" s="74"/>
      <c r="B139" s="74"/>
      <c r="C139" s="74"/>
      <c r="D139" s="74"/>
      <c r="E139" s="74"/>
      <c r="F139" s="74"/>
      <c r="G139" s="74"/>
      <c r="H139" s="87"/>
      <c r="I139" s="74"/>
      <c r="J139" s="88"/>
      <c r="K139" s="88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9.5" customHeight="1">
      <c r="A140" s="74"/>
      <c r="B140" s="74"/>
      <c r="C140" s="74"/>
      <c r="D140" s="74"/>
      <c r="E140" s="74"/>
      <c r="F140" s="74"/>
      <c r="G140" s="74"/>
      <c r="H140" s="87"/>
      <c r="I140" s="74"/>
      <c r="J140" s="88"/>
      <c r="K140" s="88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9.5" customHeight="1">
      <c r="A141" s="74"/>
      <c r="B141" s="74"/>
      <c r="C141" s="74"/>
      <c r="D141" s="74"/>
      <c r="E141" s="74"/>
      <c r="F141" s="74"/>
      <c r="G141" s="74"/>
      <c r="H141" s="87"/>
      <c r="I141" s="74"/>
      <c r="J141" s="88"/>
      <c r="K141" s="88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9.5" customHeight="1">
      <c r="A142" s="74"/>
      <c r="B142" s="74"/>
      <c r="C142" s="74"/>
      <c r="D142" s="74"/>
      <c r="E142" s="74"/>
      <c r="F142" s="74"/>
      <c r="G142" s="74"/>
      <c r="H142" s="87"/>
      <c r="I142" s="74"/>
      <c r="J142" s="88"/>
      <c r="K142" s="88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9.5" customHeight="1">
      <c r="A143" s="74"/>
      <c r="B143" s="74"/>
      <c r="C143" s="74"/>
      <c r="D143" s="74"/>
      <c r="E143" s="74"/>
      <c r="F143" s="74"/>
      <c r="G143" s="74"/>
      <c r="H143" s="87"/>
      <c r="I143" s="74"/>
      <c r="J143" s="88"/>
      <c r="K143" s="88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9.5" customHeight="1">
      <c r="A144" s="74"/>
      <c r="B144" s="74"/>
      <c r="C144" s="74"/>
      <c r="D144" s="74"/>
      <c r="E144" s="74"/>
      <c r="F144" s="74"/>
      <c r="G144" s="74"/>
      <c r="H144" s="87"/>
      <c r="I144" s="74"/>
      <c r="J144" s="88"/>
      <c r="K144" s="88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9.5" customHeight="1">
      <c r="A145" s="74"/>
      <c r="B145" s="74"/>
      <c r="C145" s="74"/>
      <c r="D145" s="74"/>
      <c r="E145" s="74"/>
      <c r="F145" s="74"/>
      <c r="G145" s="74"/>
      <c r="H145" s="87"/>
      <c r="I145" s="74"/>
      <c r="J145" s="88"/>
      <c r="K145" s="88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9.5" customHeight="1">
      <c r="A146" s="74"/>
      <c r="B146" s="74"/>
      <c r="C146" s="74"/>
      <c r="D146" s="74"/>
      <c r="E146" s="74"/>
      <c r="F146" s="74"/>
      <c r="G146" s="74"/>
      <c r="H146" s="87"/>
      <c r="I146" s="74"/>
      <c r="J146" s="88"/>
      <c r="K146" s="88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9.5" customHeight="1">
      <c r="A147" s="74"/>
      <c r="B147" s="74"/>
      <c r="C147" s="74"/>
      <c r="D147" s="74"/>
      <c r="E147" s="74"/>
      <c r="F147" s="74"/>
      <c r="G147" s="74"/>
      <c r="H147" s="87"/>
      <c r="I147" s="74"/>
      <c r="J147" s="88"/>
      <c r="K147" s="88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9.5" customHeight="1">
      <c r="A148" s="74"/>
      <c r="B148" s="74"/>
      <c r="C148" s="74"/>
      <c r="D148" s="74"/>
      <c r="E148" s="74"/>
      <c r="F148" s="74"/>
      <c r="G148" s="74"/>
      <c r="H148" s="87"/>
      <c r="I148" s="74"/>
      <c r="J148" s="88"/>
      <c r="K148" s="88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9.5" customHeight="1">
      <c r="A149" s="74"/>
      <c r="B149" s="74"/>
      <c r="C149" s="74"/>
      <c r="D149" s="74"/>
      <c r="E149" s="74"/>
      <c r="F149" s="74"/>
      <c r="G149" s="74"/>
      <c r="H149" s="87"/>
      <c r="I149" s="74"/>
      <c r="J149" s="88"/>
      <c r="K149" s="88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9.5" customHeight="1">
      <c r="A150" s="74"/>
      <c r="B150" s="74"/>
      <c r="C150" s="74"/>
      <c r="D150" s="74"/>
      <c r="E150" s="74"/>
      <c r="F150" s="74"/>
      <c r="G150" s="74"/>
      <c r="H150" s="87"/>
      <c r="I150" s="74"/>
      <c r="J150" s="88"/>
      <c r="K150" s="88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9.5" customHeight="1">
      <c r="A151" s="74"/>
      <c r="B151" s="74"/>
      <c r="C151" s="74"/>
      <c r="D151" s="74"/>
      <c r="E151" s="74"/>
      <c r="F151" s="74"/>
      <c r="G151" s="74"/>
      <c r="H151" s="87"/>
      <c r="I151" s="74"/>
      <c r="J151" s="88"/>
      <c r="K151" s="88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9.5" customHeight="1">
      <c r="A152" s="74"/>
      <c r="B152" s="74"/>
      <c r="C152" s="74"/>
      <c r="D152" s="74"/>
      <c r="E152" s="74"/>
      <c r="F152" s="74"/>
      <c r="G152" s="74"/>
      <c r="H152" s="87"/>
      <c r="I152" s="74"/>
      <c r="J152" s="88"/>
      <c r="K152" s="88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9.5" customHeight="1">
      <c r="A153" s="74"/>
      <c r="B153" s="74"/>
      <c r="C153" s="74"/>
      <c r="D153" s="74"/>
      <c r="E153" s="74"/>
      <c r="F153" s="74"/>
      <c r="G153" s="74"/>
      <c r="H153" s="87"/>
      <c r="I153" s="74"/>
      <c r="J153" s="88"/>
      <c r="K153" s="88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9.5" customHeight="1">
      <c r="A154" s="74"/>
      <c r="B154" s="74"/>
      <c r="C154" s="74"/>
      <c r="D154" s="74"/>
      <c r="E154" s="74"/>
      <c r="F154" s="74"/>
      <c r="G154" s="74"/>
      <c r="H154" s="87"/>
      <c r="I154" s="74"/>
      <c r="J154" s="88"/>
      <c r="K154" s="88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9.5" customHeight="1">
      <c r="A155" s="74"/>
      <c r="B155" s="74"/>
      <c r="C155" s="74"/>
      <c r="D155" s="74"/>
      <c r="E155" s="74"/>
      <c r="F155" s="74"/>
      <c r="G155" s="74"/>
      <c r="H155" s="87"/>
      <c r="I155" s="74"/>
      <c r="J155" s="88"/>
      <c r="K155" s="88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9.5" customHeight="1">
      <c r="A156" s="74"/>
      <c r="B156" s="74"/>
      <c r="C156" s="74"/>
      <c r="D156" s="74"/>
      <c r="E156" s="74"/>
      <c r="F156" s="74"/>
      <c r="G156" s="74"/>
      <c r="H156" s="87"/>
      <c r="I156" s="74"/>
      <c r="J156" s="88"/>
      <c r="K156" s="88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9.5" customHeight="1">
      <c r="A157" s="74"/>
      <c r="B157" s="74"/>
      <c r="C157" s="74"/>
      <c r="D157" s="74"/>
      <c r="E157" s="74"/>
      <c r="F157" s="74"/>
      <c r="G157" s="74"/>
      <c r="H157" s="87"/>
      <c r="I157" s="74"/>
      <c r="J157" s="88"/>
      <c r="K157" s="88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9.5" customHeight="1">
      <c r="A158" s="74"/>
      <c r="B158" s="74"/>
      <c r="C158" s="74"/>
      <c r="D158" s="74"/>
      <c r="E158" s="74"/>
      <c r="F158" s="74"/>
      <c r="G158" s="74"/>
      <c r="H158" s="87"/>
      <c r="I158" s="74"/>
      <c r="J158" s="88"/>
      <c r="K158" s="88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9.5" customHeight="1">
      <c r="A159" s="74"/>
      <c r="B159" s="74"/>
      <c r="C159" s="74"/>
      <c r="D159" s="74"/>
      <c r="E159" s="74"/>
      <c r="F159" s="74"/>
      <c r="G159" s="74"/>
      <c r="H159" s="87"/>
      <c r="I159" s="74"/>
      <c r="J159" s="88"/>
      <c r="K159" s="88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9.5" customHeight="1">
      <c r="A160" s="74"/>
      <c r="B160" s="74"/>
      <c r="C160" s="74"/>
      <c r="D160" s="74"/>
      <c r="E160" s="74"/>
      <c r="F160" s="74"/>
      <c r="G160" s="74"/>
      <c r="H160" s="87"/>
      <c r="I160" s="74"/>
      <c r="J160" s="88"/>
      <c r="K160" s="88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9.5" customHeight="1">
      <c r="A161" s="74"/>
      <c r="B161" s="74"/>
      <c r="C161" s="74"/>
      <c r="D161" s="74"/>
      <c r="E161" s="74"/>
      <c r="F161" s="74"/>
      <c r="G161" s="74"/>
      <c r="H161" s="87"/>
      <c r="I161" s="74"/>
      <c r="J161" s="88"/>
      <c r="K161" s="88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9.5" customHeight="1">
      <c r="A162" s="74"/>
      <c r="B162" s="74"/>
      <c r="C162" s="74"/>
      <c r="D162" s="74"/>
      <c r="E162" s="74"/>
      <c r="F162" s="74"/>
      <c r="G162" s="74"/>
      <c r="H162" s="87"/>
      <c r="I162" s="74"/>
      <c r="J162" s="88"/>
      <c r="K162" s="88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9.5" customHeight="1">
      <c r="A163" s="74"/>
      <c r="B163" s="74"/>
      <c r="C163" s="74"/>
      <c r="D163" s="74"/>
      <c r="E163" s="74"/>
      <c r="F163" s="74"/>
      <c r="G163" s="74"/>
      <c r="H163" s="87"/>
      <c r="I163" s="74"/>
      <c r="J163" s="88"/>
      <c r="K163" s="88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9.5" customHeight="1">
      <c r="A164" s="74"/>
      <c r="B164" s="74"/>
      <c r="C164" s="74"/>
      <c r="D164" s="74"/>
      <c r="E164" s="74"/>
      <c r="F164" s="74"/>
      <c r="G164" s="74"/>
      <c r="H164" s="87"/>
      <c r="I164" s="74"/>
      <c r="J164" s="88"/>
      <c r="K164" s="88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9.5" customHeight="1">
      <c r="A165" s="74"/>
      <c r="B165" s="74"/>
      <c r="C165" s="74"/>
      <c r="D165" s="74"/>
      <c r="E165" s="74"/>
      <c r="F165" s="74"/>
      <c r="G165" s="74"/>
      <c r="H165" s="87"/>
      <c r="I165" s="74"/>
      <c r="J165" s="88"/>
      <c r="K165" s="88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9.5" customHeight="1">
      <c r="A166" s="74"/>
      <c r="B166" s="74"/>
      <c r="C166" s="74"/>
      <c r="D166" s="74"/>
      <c r="E166" s="74"/>
      <c r="F166" s="74"/>
      <c r="G166" s="74"/>
      <c r="H166" s="87"/>
      <c r="I166" s="74"/>
      <c r="J166" s="88"/>
      <c r="K166" s="88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9.5" customHeight="1">
      <c r="A167" s="74"/>
      <c r="B167" s="74"/>
      <c r="C167" s="74"/>
      <c r="D167" s="74"/>
      <c r="E167" s="74"/>
      <c r="F167" s="74"/>
      <c r="G167" s="74"/>
      <c r="H167" s="87"/>
      <c r="I167" s="74"/>
      <c r="J167" s="88"/>
      <c r="K167" s="88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9.5" customHeight="1">
      <c r="A168" s="74"/>
      <c r="B168" s="74"/>
      <c r="C168" s="74"/>
      <c r="D168" s="74"/>
      <c r="E168" s="74"/>
      <c r="F168" s="74"/>
      <c r="G168" s="74"/>
      <c r="H168" s="87"/>
      <c r="I168" s="74"/>
      <c r="J168" s="88"/>
      <c r="K168" s="88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9.5" customHeight="1">
      <c r="A169" s="74"/>
      <c r="B169" s="74"/>
      <c r="C169" s="74"/>
      <c r="D169" s="74"/>
      <c r="E169" s="74"/>
      <c r="F169" s="74"/>
      <c r="G169" s="74"/>
      <c r="H169" s="87"/>
      <c r="I169" s="74"/>
      <c r="J169" s="88"/>
      <c r="K169" s="88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9.5" customHeight="1">
      <c r="A170" s="74"/>
      <c r="B170" s="74"/>
      <c r="C170" s="74"/>
      <c r="D170" s="74"/>
      <c r="E170" s="74"/>
      <c r="F170" s="74"/>
      <c r="G170" s="74"/>
      <c r="H170" s="87"/>
      <c r="I170" s="74"/>
      <c r="J170" s="88"/>
      <c r="K170" s="88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9.5" customHeight="1">
      <c r="A171" s="74"/>
      <c r="B171" s="74"/>
      <c r="C171" s="74"/>
      <c r="D171" s="74"/>
      <c r="E171" s="74"/>
      <c r="F171" s="74"/>
      <c r="G171" s="74"/>
      <c r="H171" s="87"/>
      <c r="I171" s="74"/>
      <c r="J171" s="88"/>
      <c r="K171" s="88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9.5" customHeight="1">
      <c r="A172" s="74"/>
      <c r="B172" s="74"/>
      <c r="C172" s="74"/>
      <c r="D172" s="74"/>
      <c r="E172" s="74"/>
      <c r="F172" s="74"/>
      <c r="G172" s="74"/>
      <c r="H172" s="87"/>
      <c r="I172" s="74"/>
      <c r="J172" s="88"/>
      <c r="K172" s="88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9.5" customHeight="1">
      <c r="A173" s="74"/>
      <c r="B173" s="74"/>
      <c r="C173" s="74"/>
      <c r="D173" s="74"/>
      <c r="E173" s="74"/>
      <c r="F173" s="74"/>
      <c r="G173" s="74"/>
      <c r="H173" s="87"/>
      <c r="I173" s="74"/>
      <c r="J173" s="88"/>
      <c r="K173" s="88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9.5" customHeight="1">
      <c r="A174" s="74"/>
      <c r="B174" s="74"/>
      <c r="C174" s="74"/>
      <c r="D174" s="74"/>
      <c r="E174" s="74"/>
      <c r="F174" s="74"/>
      <c r="G174" s="74"/>
      <c r="H174" s="87"/>
      <c r="I174" s="74"/>
      <c r="J174" s="88"/>
      <c r="K174" s="88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9.5" customHeight="1">
      <c r="A175" s="74"/>
      <c r="B175" s="74"/>
      <c r="C175" s="74"/>
      <c r="D175" s="74"/>
      <c r="E175" s="74"/>
      <c r="F175" s="74"/>
      <c r="G175" s="74"/>
      <c r="H175" s="87"/>
      <c r="I175" s="74"/>
      <c r="J175" s="88"/>
      <c r="K175" s="88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9.5" customHeight="1">
      <c r="A176" s="74"/>
      <c r="B176" s="74"/>
      <c r="C176" s="74"/>
      <c r="D176" s="74"/>
      <c r="E176" s="74"/>
      <c r="F176" s="74"/>
      <c r="G176" s="74"/>
      <c r="H176" s="87"/>
      <c r="I176" s="74"/>
      <c r="J176" s="88"/>
      <c r="K176" s="88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9.5" customHeight="1">
      <c r="A177" s="74"/>
      <c r="B177" s="74"/>
      <c r="C177" s="74"/>
      <c r="D177" s="74"/>
      <c r="E177" s="74"/>
      <c r="F177" s="74"/>
      <c r="G177" s="74"/>
      <c r="H177" s="87"/>
      <c r="I177" s="74"/>
      <c r="J177" s="88"/>
      <c r="K177" s="88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9.5" customHeight="1">
      <c r="A178" s="74"/>
      <c r="B178" s="74"/>
      <c r="C178" s="74"/>
      <c r="D178" s="74"/>
      <c r="E178" s="74"/>
      <c r="F178" s="74"/>
      <c r="G178" s="74"/>
      <c r="H178" s="87"/>
      <c r="I178" s="74"/>
      <c r="J178" s="88"/>
      <c r="K178" s="88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9.5" customHeight="1">
      <c r="A179" s="74"/>
      <c r="B179" s="74"/>
      <c r="C179" s="74"/>
      <c r="D179" s="74"/>
      <c r="E179" s="74"/>
      <c r="F179" s="74"/>
      <c r="G179" s="74"/>
      <c r="H179" s="87"/>
      <c r="I179" s="74"/>
      <c r="J179" s="88"/>
      <c r="K179" s="88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9.5" customHeight="1">
      <c r="A180" s="74"/>
      <c r="B180" s="74"/>
      <c r="C180" s="74"/>
      <c r="D180" s="74"/>
      <c r="E180" s="74"/>
      <c r="F180" s="74"/>
      <c r="G180" s="74"/>
      <c r="H180" s="87"/>
      <c r="I180" s="74"/>
      <c r="J180" s="88"/>
      <c r="K180" s="88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9.5" customHeight="1">
      <c r="A181" s="74"/>
      <c r="B181" s="74"/>
      <c r="C181" s="74"/>
      <c r="D181" s="74"/>
      <c r="E181" s="74"/>
      <c r="F181" s="74"/>
      <c r="G181" s="74"/>
      <c r="H181" s="87"/>
      <c r="I181" s="74"/>
      <c r="J181" s="88"/>
      <c r="K181" s="88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9.5" customHeight="1">
      <c r="A182" s="74"/>
      <c r="B182" s="74"/>
      <c r="C182" s="74"/>
      <c r="D182" s="74"/>
      <c r="E182" s="74"/>
      <c r="F182" s="74"/>
      <c r="G182" s="74"/>
      <c r="H182" s="87"/>
      <c r="I182" s="74"/>
      <c r="J182" s="88"/>
      <c r="K182" s="88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9.5" customHeight="1">
      <c r="A183" s="74"/>
      <c r="B183" s="74"/>
      <c r="C183" s="74"/>
      <c r="D183" s="74"/>
      <c r="E183" s="74"/>
      <c r="F183" s="74"/>
      <c r="G183" s="74"/>
      <c r="H183" s="87"/>
      <c r="I183" s="74"/>
      <c r="J183" s="88"/>
      <c r="K183" s="88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9.5" customHeight="1">
      <c r="A184" s="74"/>
      <c r="B184" s="74"/>
      <c r="C184" s="74"/>
      <c r="D184" s="74"/>
      <c r="E184" s="74"/>
      <c r="F184" s="74"/>
      <c r="G184" s="74"/>
      <c r="H184" s="87"/>
      <c r="I184" s="74"/>
      <c r="J184" s="88"/>
      <c r="K184" s="88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9.5" customHeight="1">
      <c r="A185" s="74"/>
      <c r="B185" s="74"/>
      <c r="C185" s="74"/>
      <c r="D185" s="74"/>
      <c r="E185" s="74"/>
      <c r="F185" s="74"/>
      <c r="G185" s="74"/>
      <c r="H185" s="87"/>
      <c r="I185" s="74"/>
      <c r="J185" s="88"/>
      <c r="K185" s="88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9.5" customHeight="1">
      <c r="A186" s="74"/>
      <c r="B186" s="74"/>
      <c r="C186" s="74"/>
      <c r="D186" s="74"/>
      <c r="E186" s="74"/>
      <c r="F186" s="74"/>
      <c r="G186" s="74"/>
      <c r="H186" s="87"/>
      <c r="I186" s="74"/>
      <c r="J186" s="88"/>
      <c r="K186" s="88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9.5" customHeight="1">
      <c r="A187" s="74"/>
      <c r="B187" s="74"/>
      <c r="C187" s="74"/>
      <c r="D187" s="74"/>
      <c r="E187" s="74"/>
      <c r="F187" s="74"/>
      <c r="G187" s="74"/>
      <c r="H187" s="87"/>
      <c r="I187" s="74"/>
      <c r="J187" s="88"/>
      <c r="K187" s="88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9.5" customHeight="1">
      <c r="A188" s="74"/>
      <c r="B188" s="74"/>
      <c r="C188" s="74"/>
      <c r="D188" s="74"/>
      <c r="E188" s="74"/>
      <c r="F188" s="74"/>
      <c r="G188" s="74"/>
      <c r="H188" s="87"/>
      <c r="I188" s="74"/>
      <c r="J188" s="88"/>
      <c r="K188" s="88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9.5" customHeight="1">
      <c r="A189" s="74"/>
      <c r="B189" s="74"/>
      <c r="C189" s="74"/>
      <c r="D189" s="74"/>
      <c r="E189" s="74"/>
      <c r="F189" s="74"/>
      <c r="G189" s="74"/>
      <c r="H189" s="87"/>
      <c r="I189" s="74"/>
      <c r="J189" s="88"/>
      <c r="K189" s="88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9.5" customHeight="1">
      <c r="A190" s="74"/>
      <c r="B190" s="74"/>
      <c r="C190" s="74"/>
      <c r="D190" s="74"/>
      <c r="E190" s="74"/>
      <c r="F190" s="74"/>
      <c r="G190" s="74"/>
      <c r="H190" s="87"/>
      <c r="I190" s="74"/>
      <c r="J190" s="88"/>
      <c r="K190" s="88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9.5" customHeight="1">
      <c r="A191" s="74"/>
      <c r="B191" s="74"/>
      <c r="C191" s="74"/>
      <c r="D191" s="74"/>
      <c r="E191" s="74"/>
      <c r="F191" s="74"/>
      <c r="G191" s="74"/>
      <c r="H191" s="87"/>
      <c r="I191" s="74"/>
      <c r="J191" s="88"/>
      <c r="K191" s="88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9.5" customHeight="1">
      <c r="A192" s="74"/>
      <c r="B192" s="74"/>
      <c r="C192" s="74"/>
      <c r="D192" s="74"/>
      <c r="E192" s="74"/>
      <c r="F192" s="74"/>
      <c r="G192" s="74"/>
      <c r="H192" s="87"/>
      <c r="I192" s="74"/>
      <c r="J192" s="88"/>
      <c r="K192" s="88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9.5" customHeight="1">
      <c r="A193" s="74"/>
      <c r="B193" s="74"/>
      <c r="C193" s="74"/>
      <c r="D193" s="74"/>
      <c r="E193" s="74"/>
      <c r="F193" s="74"/>
      <c r="G193" s="74"/>
      <c r="H193" s="87"/>
      <c r="I193" s="74"/>
      <c r="J193" s="88"/>
      <c r="K193" s="88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9.5" customHeight="1">
      <c r="A194" s="74"/>
      <c r="B194" s="74"/>
      <c r="C194" s="74"/>
      <c r="D194" s="74"/>
      <c r="E194" s="74"/>
      <c r="F194" s="74"/>
      <c r="G194" s="74"/>
      <c r="H194" s="87"/>
      <c r="I194" s="74"/>
      <c r="J194" s="88"/>
      <c r="K194" s="88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9.5" customHeight="1">
      <c r="A195" s="74"/>
      <c r="B195" s="74"/>
      <c r="C195" s="74"/>
      <c r="D195" s="74"/>
      <c r="E195" s="74"/>
      <c r="F195" s="74"/>
      <c r="G195" s="74"/>
      <c r="H195" s="87"/>
      <c r="I195" s="74"/>
      <c r="J195" s="88"/>
      <c r="K195" s="88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9.5" customHeight="1">
      <c r="A196" s="74"/>
      <c r="B196" s="74"/>
      <c r="C196" s="74"/>
      <c r="D196" s="74"/>
      <c r="E196" s="74"/>
      <c r="F196" s="74"/>
      <c r="G196" s="74"/>
      <c r="H196" s="87"/>
      <c r="I196" s="74"/>
      <c r="J196" s="88"/>
      <c r="K196" s="88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9.5" customHeight="1">
      <c r="A197" s="74"/>
      <c r="B197" s="74"/>
      <c r="C197" s="74"/>
      <c r="D197" s="74"/>
      <c r="E197" s="74"/>
      <c r="F197" s="74"/>
      <c r="G197" s="74"/>
      <c r="H197" s="87"/>
      <c r="I197" s="74"/>
      <c r="J197" s="88"/>
      <c r="K197" s="88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9.5" customHeight="1">
      <c r="A198" s="74"/>
      <c r="B198" s="74"/>
      <c r="C198" s="74"/>
      <c r="D198" s="74"/>
      <c r="E198" s="74"/>
      <c r="F198" s="74"/>
      <c r="G198" s="74"/>
      <c r="H198" s="87"/>
      <c r="I198" s="74"/>
      <c r="J198" s="88"/>
      <c r="K198" s="88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9.5" customHeight="1">
      <c r="A199" s="74"/>
      <c r="B199" s="74"/>
      <c r="C199" s="74"/>
      <c r="D199" s="74"/>
      <c r="E199" s="74"/>
      <c r="F199" s="74"/>
      <c r="G199" s="74"/>
      <c r="H199" s="87"/>
      <c r="I199" s="74"/>
      <c r="J199" s="88"/>
      <c r="K199" s="88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9.5" customHeight="1">
      <c r="A200" s="74"/>
      <c r="B200" s="74"/>
      <c r="C200" s="74"/>
      <c r="D200" s="74"/>
      <c r="E200" s="74"/>
      <c r="F200" s="74"/>
      <c r="G200" s="74"/>
      <c r="H200" s="87"/>
      <c r="I200" s="74"/>
      <c r="J200" s="88"/>
      <c r="K200" s="88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9.5" customHeight="1">
      <c r="A201" s="74"/>
      <c r="B201" s="74"/>
      <c r="C201" s="74"/>
      <c r="D201" s="74"/>
      <c r="E201" s="74"/>
      <c r="F201" s="74"/>
      <c r="G201" s="74"/>
      <c r="H201" s="87"/>
      <c r="I201" s="74"/>
      <c r="J201" s="88"/>
      <c r="K201" s="88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9.5" customHeight="1">
      <c r="A202" s="74"/>
      <c r="B202" s="74"/>
      <c r="C202" s="74"/>
      <c r="D202" s="74"/>
      <c r="E202" s="74"/>
      <c r="F202" s="74"/>
      <c r="G202" s="74"/>
      <c r="H202" s="87"/>
      <c r="I202" s="74"/>
      <c r="J202" s="88"/>
      <c r="K202" s="88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9.5" customHeight="1">
      <c r="A203" s="74"/>
      <c r="B203" s="74"/>
      <c r="C203" s="74"/>
      <c r="D203" s="74"/>
      <c r="E203" s="74"/>
      <c r="F203" s="74"/>
      <c r="G203" s="74"/>
      <c r="H203" s="87"/>
      <c r="I203" s="74"/>
      <c r="J203" s="88"/>
      <c r="K203" s="88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9.5" customHeight="1">
      <c r="A204" s="74"/>
      <c r="B204" s="74"/>
      <c r="C204" s="74"/>
      <c r="D204" s="74"/>
      <c r="E204" s="74"/>
      <c r="F204" s="74"/>
      <c r="G204" s="74"/>
      <c r="H204" s="87"/>
      <c r="I204" s="74"/>
      <c r="J204" s="88"/>
      <c r="K204" s="88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9.5" customHeight="1">
      <c r="A205" s="74"/>
      <c r="B205" s="74"/>
      <c r="C205" s="74"/>
      <c r="D205" s="74"/>
      <c r="E205" s="74"/>
      <c r="F205" s="74"/>
      <c r="G205" s="74"/>
      <c r="H205" s="87"/>
      <c r="I205" s="74"/>
      <c r="J205" s="88"/>
      <c r="K205" s="88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9.5" customHeight="1">
      <c r="A206" s="74"/>
      <c r="B206" s="74"/>
      <c r="C206" s="74"/>
      <c r="D206" s="74"/>
      <c r="E206" s="74"/>
      <c r="F206" s="74"/>
      <c r="G206" s="74"/>
      <c r="H206" s="87"/>
      <c r="I206" s="74"/>
      <c r="J206" s="88"/>
      <c r="K206" s="88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9.5" customHeight="1">
      <c r="A207" s="74"/>
      <c r="B207" s="74"/>
      <c r="C207" s="74"/>
      <c r="D207" s="74"/>
      <c r="E207" s="74"/>
      <c r="F207" s="74"/>
      <c r="G207" s="74"/>
      <c r="H207" s="87"/>
      <c r="I207" s="74"/>
      <c r="J207" s="88"/>
      <c r="K207" s="88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9.5" customHeight="1">
      <c r="A208" s="74"/>
      <c r="B208" s="74"/>
      <c r="C208" s="74"/>
      <c r="D208" s="74"/>
      <c r="E208" s="74"/>
      <c r="F208" s="74"/>
      <c r="G208" s="74"/>
      <c r="H208" s="87"/>
      <c r="I208" s="74"/>
      <c r="J208" s="88"/>
      <c r="K208" s="88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9.5" customHeight="1">
      <c r="A209" s="74"/>
      <c r="B209" s="74"/>
      <c r="C209" s="74"/>
      <c r="D209" s="74"/>
      <c r="E209" s="74"/>
      <c r="F209" s="74"/>
      <c r="G209" s="74"/>
      <c r="H209" s="87"/>
      <c r="I209" s="74"/>
      <c r="J209" s="88"/>
      <c r="K209" s="88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9.5" customHeight="1">
      <c r="A210" s="74"/>
      <c r="B210" s="74"/>
      <c r="C210" s="74"/>
      <c r="D210" s="74"/>
      <c r="E210" s="74"/>
      <c r="F210" s="74"/>
      <c r="G210" s="74"/>
      <c r="H210" s="87"/>
      <c r="I210" s="74"/>
      <c r="J210" s="88"/>
      <c r="K210" s="88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9.5" customHeight="1">
      <c r="A211" s="74"/>
      <c r="B211" s="74"/>
      <c r="C211" s="74"/>
      <c r="D211" s="74"/>
      <c r="E211" s="74"/>
      <c r="F211" s="74"/>
      <c r="G211" s="74"/>
      <c r="H211" s="87"/>
      <c r="I211" s="74"/>
      <c r="J211" s="88"/>
      <c r="K211" s="88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9.5" customHeight="1">
      <c r="A212" s="74"/>
      <c r="B212" s="74"/>
      <c r="C212" s="74"/>
      <c r="D212" s="74"/>
      <c r="E212" s="74"/>
      <c r="F212" s="74"/>
      <c r="G212" s="74"/>
      <c r="H212" s="87"/>
      <c r="I212" s="74"/>
      <c r="J212" s="88"/>
      <c r="K212" s="88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9.5" customHeight="1">
      <c r="A213" s="74"/>
      <c r="B213" s="74"/>
      <c r="C213" s="74"/>
      <c r="D213" s="74"/>
      <c r="E213" s="74"/>
      <c r="F213" s="74"/>
      <c r="G213" s="74"/>
      <c r="H213" s="87"/>
      <c r="I213" s="74"/>
      <c r="J213" s="88"/>
      <c r="K213" s="88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9.5" customHeight="1">
      <c r="A214" s="74"/>
      <c r="B214" s="74"/>
      <c r="C214" s="74"/>
      <c r="D214" s="74"/>
      <c r="E214" s="74"/>
      <c r="F214" s="74"/>
      <c r="G214" s="74"/>
      <c r="H214" s="87"/>
      <c r="I214" s="74"/>
      <c r="J214" s="88"/>
      <c r="K214" s="88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9.5" customHeight="1">
      <c r="A215" s="74"/>
      <c r="B215" s="74"/>
      <c r="C215" s="74"/>
      <c r="D215" s="74"/>
      <c r="E215" s="74"/>
      <c r="F215" s="74"/>
      <c r="G215" s="74"/>
      <c r="H215" s="87"/>
      <c r="I215" s="74"/>
      <c r="J215" s="88"/>
      <c r="K215" s="88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9.5" customHeight="1">
      <c r="A216" s="74"/>
      <c r="B216" s="74"/>
      <c r="C216" s="74"/>
      <c r="D216" s="74"/>
      <c r="E216" s="74"/>
      <c r="F216" s="74"/>
      <c r="G216" s="74"/>
      <c r="H216" s="87"/>
      <c r="I216" s="74"/>
      <c r="J216" s="88"/>
      <c r="K216" s="88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9.5" customHeight="1">
      <c r="A217" s="74"/>
      <c r="B217" s="74"/>
      <c r="C217" s="74"/>
      <c r="D217" s="74"/>
      <c r="E217" s="74"/>
      <c r="F217" s="74"/>
      <c r="G217" s="74"/>
      <c r="H217" s="87"/>
      <c r="I217" s="74"/>
      <c r="J217" s="88"/>
      <c r="K217" s="88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9.5" customHeight="1">
      <c r="A218" s="74"/>
      <c r="B218" s="74"/>
      <c r="C218" s="74"/>
      <c r="D218" s="74"/>
      <c r="E218" s="74"/>
      <c r="F218" s="74"/>
      <c r="G218" s="74"/>
      <c r="H218" s="87"/>
      <c r="I218" s="74"/>
      <c r="J218" s="88"/>
      <c r="K218" s="88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9.5" customHeight="1">
      <c r="A219" s="74"/>
      <c r="B219" s="74"/>
      <c r="C219" s="74"/>
      <c r="D219" s="74"/>
      <c r="E219" s="74"/>
      <c r="F219" s="74"/>
      <c r="G219" s="74"/>
      <c r="H219" s="87"/>
      <c r="I219" s="74"/>
      <c r="J219" s="88"/>
      <c r="K219" s="88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9.5" customHeight="1">
      <c r="A220" s="74"/>
      <c r="B220" s="74"/>
      <c r="C220" s="74"/>
      <c r="D220" s="74"/>
      <c r="E220" s="74"/>
      <c r="F220" s="74"/>
      <c r="G220" s="74"/>
      <c r="H220" s="87"/>
      <c r="I220" s="74"/>
      <c r="J220" s="88"/>
      <c r="K220" s="88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9.5" customHeight="1">
      <c r="A221" s="74"/>
      <c r="B221" s="74"/>
      <c r="C221" s="74"/>
      <c r="D221" s="74"/>
      <c r="E221" s="74"/>
      <c r="F221" s="74"/>
      <c r="G221" s="74"/>
      <c r="H221" s="87"/>
      <c r="I221" s="74"/>
      <c r="J221" s="88"/>
      <c r="K221" s="88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9.5" customHeight="1">
      <c r="A222" s="74"/>
      <c r="B222" s="74"/>
      <c r="C222" s="74"/>
      <c r="D222" s="74"/>
      <c r="E222" s="74"/>
      <c r="F222" s="74"/>
      <c r="G222" s="74"/>
      <c r="H222" s="87"/>
      <c r="I222" s="74"/>
      <c r="J222" s="88"/>
      <c r="K222" s="88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9.5" customHeight="1">
      <c r="A223" s="74"/>
      <c r="B223" s="74"/>
      <c r="C223" s="74"/>
      <c r="D223" s="74"/>
      <c r="E223" s="74"/>
      <c r="F223" s="74"/>
      <c r="G223" s="74"/>
      <c r="H223" s="87"/>
      <c r="I223" s="74"/>
      <c r="J223" s="88"/>
      <c r="K223" s="88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9.5" customHeight="1">
      <c r="A224" s="74"/>
      <c r="B224" s="74"/>
      <c r="C224" s="74"/>
      <c r="D224" s="74"/>
      <c r="E224" s="74"/>
      <c r="F224" s="74"/>
      <c r="G224" s="74"/>
      <c r="H224" s="87"/>
      <c r="I224" s="74"/>
      <c r="J224" s="88"/>
      <c r="K224" s="88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9.5" customHeight="1">
      <c r="A225" s="74"/>
      <c r="B225" s="74"/>
      <c r="C225" s="74"/>
      <c r="D225" s="74"/>
      <c r="E225" s="74"/>
      <c r="F225" s="74"/>
      <c r="G225" s="74"/>
      <c r="H225" s="87"/>
      <c r="I225" s="74"/>
      <c r="J225" s="88"/>
      <c r="K225" s="88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9.5" customHeight="1">
      <c r="A226" s="74"/>
      <c r="B226" s="74"/>
      <c r="C226" s="74"/>
      <c r="D226" s="74"/>
      <c r="E226" s="74"/>
      <c r="F226" s="74"/>
      <c r="G226" s="74"/>
      <c r="H226" s="87"/>
      <c r="I226" s="74"/>
      <c r="J226" s="88"/>
      <c r="K226" s="88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9.5" customHeight="1">
      <c r="A227" s="74"/>
      <c r="B227" s="74"/>
      <c r="C227" s="74"/>
      <c r="D227" s="74"/>
      <c r="E227" s="74"/>
      <c r="F227" s="74"/>
      <c r="G227" s="74"/>
      <c r="H227" s="87"/>
      <c r="I227" s="74"/>
      <c r="J227" s="88"/>
      <c r="K227" s="88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9.5" customHeight="1">
      <c r="A228" s="74"/>
      <c r="B228" s="74"/>
      <c r="C228" s="74"/>
      <c r="D228" s="74"/>
      <c r="E228" s="74"/>
      <c r="F228" s="74"/>
      <c r="G228" s="74"/>
      <c r="H228" s="87"/>
      <c r="I228" s="74"/>
      <c r="J228" s="88"/>
      <c r="K228" s="88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9.5" customHeight="1">
      <c r="A229" s="74"/>
      <c r="B229" s="74"/>
      <c r="C229" s="74"/>
      <c r="D229" s="74"/>
      <c r="E229" s="74"/>
      <c r="F229" s="74"/>
      <c r="G229" s="74"/>
      <c r="H229" s="87"/>
      <c r="I229" s="74"/>
      <c r="J229" s="88"/>
      <c r="K229" s="88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9.5" customHeight="1">
      <c r="A230" s="74"/>
      <c r="B230" s="74"/>
      <c r="C230" s="74"/>
      <c r="D230" s="74"/>
      <c r="E230" s="74"/>
      <c r="F230" s="74"/>
      <c r="G230" s="74"/>
      <c r="H230" s="87"/>
      <c r="I230" s="74"/>
      <c r="J230" s="88"/>
      <c r="K230" s="88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9.5" customHeight="1">
      <c r="A231" s="74"/>
      <c r="B231" s="74"/>
      <c r="C231" s="74"/>
      <c r="D231" s="74"/>
      <c r="E231" s="74"/>
      <c r="F231" s="74"/>
      <c r="G231" s="74"/>
      <c r="H231" s="87"/>
      <c r="I231" s="74"/>
      <c r="J231" s="88"/>
      <c r="K231" s="88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9.5" customHeight="1">
      <c r="A232" s="74"/>
      <c r="B232" s="74"/>
      <c r="C232" s="74"/>
      <c r="D232" s="74"/>
      <c r="E232" s="74"/>
      <c r="F232" s="74"/>
      <c r="G232" s="74"/>
      <c r="H232" s="87"/>
      <c r="I232" s="74"/>
      <c r="J232" s="88"/>
      <c r="K232" s="88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9.5" customHeight="1">
      <c r="A233" s="74"/>
      <c r="B233" s="74"/>
      <c r="C233" s="74"/>
      <c r="D233" s="74"/>
      <c r="E233" s="74"/>
      <c r="F233" s="74"/>
      <c r="G233" s="74"/>
      <c r="H233" s="87"/>
      <c r="I233" s="74"/>
      <c r="J233" s="88"/>
      <c r="K233" s="88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9.5" customHeight="1">
      <c r="A234" s="74"/>
      <c r="B234" s="74"/>
      <c r="C234" s="74"/>
      <c r="D234" s="74"/>
      <c r="E234" s="74"/>
      <c r="F234" s="74"/>
      <c r="G234" s="74"/>
      <c r="H234" s="87"/>
      <c r="I234" s="74"/>
      <c r="J234" s="88"/>
      <c r="K234" s="88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9.5" customHeight="1">
      <c r="A235" s="74"/>
      <c r="B235" s="74"/>
      <c r="C235" s="74"/>
      <c r="D235" s="74"/>
      <c r="E235" s="74"/>
      <c r="F235" s="74"/>
      <c r="G235" s="74"/>
      <c r="H235" s="87"/>
      <c r="I235" s="74"/>
      <c r="J235" s="88"/>
      <c r="K235" s="88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9.5" customHeight="1">
      <c r="A236" s="74"/>
      <c r="B236" s="74"/>
      <c r="C236" s="74"/>
      <c r="D236" s="74"/>
      <c r="E236" s="74"/>
      <c r="F236" s="74"/>
      <c r="G236" s="74"/>
      <c r="H236" s="87"/>
      <c r="I236" s="74"/>
      <c r="J236" s="88"/>
      <c r="K236" s="88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9.5" customHeight="1">
      <c r="A237" s="74"/>
      <c r="B237" s="74"/>
      <c r="C237" s="74"/>
      <c r="D237" s="74"/>
      <c r="E237" s="74"/>
      <c r="F237" s="74"/>
      <c r="G237" s="74"/>
      <c r="H237" s="87"/>
      <c r="I237" s="74"/>
      <c r="J237" s="88"/>
      <c r="K237" s="88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9.5" customHeight="1">
      <c r="A238" s="74"/>
      <c r="B238" s="74"/>
      <c r="C238" s="74"/>
      <c r="D238" s="74"/>
      <c r="E238" s="74"/>
      <c r="F238" s="74"/>
      <c r="G238" s="74"/>
      <c r="H238" s="87"/>
      <c r="I238" s="74"/>
      <c r="J238" s="88"/>
      <c r="K238" s="88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9.5" customHeight="1">
      <c r="A239" s="74"/>
      <c r="B239" s="74"/>
      <c r="C239" s="74"/>
      <c r="D239" s="74"/>
      <c r="E239" s="74"/>
      <c r="F239" s="74"/>
      <c r="G239" s="74"/>
      <c r="H239" s="87"/>
      <c r="I239" s="74"/>
      <c r="J239" s="88"/>
      <c r="K239" s="88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9.5" customHeight="1">
      <c r="A240" s="74"/>
      <c r="B240" s="74"/>
      <c r="C240" s="74"/>
      <c r="D240" s="74"/>
      <c r="E240" s="74"/>
      <c r="F240" s="74"/>
      <c r="G240" s="74"/>
      <c r="H240" s="87"/>
      <c r="I240" s="74"/>
      <c r="J240" s="88"/>
      <c r="K240" s="88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9.5" customHeight="1">
      <c r="A241" s="74"/>
      <c r="B241" s="74"/>
      <c r="C241" s="74"/>
      <c r="D241" s="74"/>
      <c r="E241" s="74"/>
      <c r="F241" s="74"/>
      <c r="G241" s="74"/>
      <c r="H241" s="87"/>
      <c r="I241" s="74"/>
      <c r="J241" s="88"/>
      <c r="K241" s="88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9.5" customHeight="1">
      <c r="A242" s="74"/>
      <c r="B242" s="74"/>
      <c r="C242" s="74"/>
      <c r="D242" s="74"/>
      <c r="E242" s="74"/>
      <c r="F242" s="74"/>
      <c r="G242" s="74"/>
      <c r="H242" s="87"/>
      <c r="I242" s="74"/>
      <c r="J242" s="88"/>
      <c r="K242" s="88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9.5" customHeight="1">
      <c r="A243" s="74"/>
      <c r="B243" s="74"/>
      <c r="C243" s="74"/>
      <c r="D243" s="74"/>
      <c r="E243" s="74"/>
      <c r="F243" s="74"/>
      <c r="G243" s="74"/>
      <c r="H243" s="87"/>
      <c r="I243" s="74"/>
      <c r="J243" s="88"/>
      <c r="K243" s="88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9.5" customHeight="1">
      <c r="A244" s="74"/>
      <c r="B244" s="74"/>
      <c r="C244" s="74"/>
      <c r="D244" s="74"/>
      <c r="E244" s="74"/>
      <c r="F244" s="74"/>
      <c r="G244" s="74"/>
      <c r="H244" s="87"/>
      <c r="I244" s="74"/>
      <c r="J244" s="88"/>
      <c r="K244" s="88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9.5" customHeight="1">
      <c r="A245" s="74"/>
      <c r="B245" s="74"/>
      <c r="C245" s="74"/>
      <c r="D245" s="74"/>
      <c r="E245" s="74"/>
      <c r="F245" s="74"/>
      <c r="G245" s="74"/>
      <c r="H245" s="87"/>
      <c r="I245" s="74"/>
      <c r="J245" s="88"/>
      <c r="K245" s="88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9.5" customHeight="1">
      <c r="A246" s="74"/>
      <c r="B246" s="74"/>
      <c r="C246" s="74"/>
      <c r="D246" s="74"/>
      <c r="E246" s="74"/>
      <c r="F246" s="74"/>
      <c r="G246" s="74"/>
      <c r="H246" s="87"/>
      <c r="I246" s="74"/>
      <c r="J246" s="88"/>
      <c r="K246" s="88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9.5" customHeight="1">
      <c r="A247" s="74"/>
      <c r="B247" s="74"/>
      <c r="C247" s="74"/>
      <c r="D247" s="74"/>
      <c r="E247" s="74"/>
      <c r="F247" s="74"/>
      <c r="G247" s="74"/>
      <c r="H247" s="87"/>
      <c r="I247" s="74"/>
      <c r="J247" s="88"/>
      <c r="K247" s="88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9.5" customHeight="1">
      <c r="A248" s="74"/>
      <c r="B248" s="74"/>
      <c r="C248" s="74"/>
      <c r="D248" s="74"/>
      <c r="E248" s="74"/>
      <c r="F248" s="74"/>
      <c r="G248" s="74"/>
      <c r="H248" s="87"/>
      <c r="I248" s="74"/>
      <c r="J248" s="88"/>
      <c r="K248" s="88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9.5" customHeight="1">
      <c r="A249" s="74"/>
      <c r="B249" s="74"/>
      <c r="C249" s="74"/>
      <c r="D249" s="74"/>
      <c r="E249" s="74"/>
      <c r="F249" s="74"/>
      <c r="G249" s="74"/>
      <c r="H249" s="87"/>
      <c r="I249" s="74"/>
      <c r="J249" s="88"/>
      <c r="K249" s="88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9.5" customHeight="1">
      <c r="A250" s="74"/>
      <c r="B250" s="74"/>
      <c r="C250" s="74"/>
      <c r="D250" s="74"/>
      <c r="E250" s="74"/>
      <c r="F250" s="74"/>
      <c r="G250" s="74"/>
      <c r="H250" s="87"/>
      <c r="I250" s="74"/>
      <c r="J250" s="88"/>
      <c r="K250" s="88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9.5" customHeight="1">
      <c r="A251" s="74"/>
      <c r="B251" s="74"/>
      <c r="C251" s="74"/>
      <c r="D251" s="74"/>
      <c r="E251" s="74"/>
      <c r="F251" s="74"/>
      <c r="G251" s="74"/>
      <c r="H251" s="87"/>
      <c r="I251" s="74"/>
      <c r="J251" s="88"/>
      <c r="K251" s="88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9.5" customHeight="1">
      <c r="A252" s="74"/>
      <c r="B252" s="74"/>
      <c r="C252" s="74"/>
      <c r="D252" s="74"/>
      <c r="E252" s="74"/>
      <c r="F252" s="74"/>
      <c r="G252" s="74"/>
      <c r="H252" s="87"/>
      <c r="I252" s="74"/>
      <c r="J252" s="88"/>
      <c r="K252" s="88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9.5" customHeight="1">
      <c r="A253" s="74"/>
      <c r="B253" s="74"/>
      <c r="C253" s="74"/>
      <c r="D253" s="74"/>
      <c r="E253" s="74"/>
      <c r="F253" s="74"/>
      <c r="G253" s="74"/>
      <c r="H253" s="87"/>
      <c r="I253" s="74"/>
      <c r="J253" s="88"/>
      <c r="K253" s="88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9.5" customHeight="1">
      <c r="A254" s="74"/>
      <c r="B254" s="74"/>
      <c r="C254" s="74"/>
      <c r="D254" s="74"/>
      <c r="E254" s="74"/>
      <c r="F254" s="74"/>
      <c r="G254" s="74"/>
      <c r="H254" s="87"/>
      <c r="I254" s="74"/>
      <c r="J254" s="88"/>
      <c r="K254" s="88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9.5" customHeight="1">
      <c r="A255" s="74"/>
      <c r="B255" s="74"/>
      <c r="C255" s="74"/>
      <c r="D255" s="74"/>
      <c r="E255" s="74"/>
      <c r="F255" s="74"/>
      <c r="G255" s="74"/>
      <c r="H255" s="87"/>
      <c r="I255" s="74"/>
      <c r="J255" s="88"/>
      <c r="K255" s="88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9.5" customHeight="1">
      <c r="A256" s="74"/>
      <c r="B256" s="74"/>
      <c r="C256" s="74"/>
      <c r="D256" s="74"/>
      <c r="E256" s="74"/>
      <c r="F256" s="74"/>
      <c r="G256" s="74"/>
      <c r="H256" s="87"/>
      <c r="I256" s="74"/>
      <c r="J256" s="88"/>
      <c r="K256" s="88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9.5" customHeight="1">
      <c r="A257" s="74"/>
      <c r="B257" s="74"/>
      <c r="C257" s="74"/>
      <c r="D257" s="74"/>
      <c r="E257" s="74"/>
      <c r="F257" s="74"/>
      <c r="G257" s="74"/>
      <c r="H257" s="87"/>
      <c r="I257" s="74"/>
      <c r="J257" s="88"/>
      <c r="K257" s="88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9.5" customHeight="1">
      <c r="A258" s="74"/>
      <c r="B258" s="74"/>
      <c r="C258" s="74"/>
      <c r="D258" s="74"/>
      <c r="E258" s="74"/>
      <c r="F258" s="74"/>
      <c r="G258" s="74"/>
      <c r="H258" s="87"/>
      <c r="I258" s="74"/>
      <c r="J258" s="88"/>
      <c r="K258" s="88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9.5" customHeight="1">
      <c r="A259" s="74"/>
      <c r="B259" s="74"/>
      <c r="C259" s="74"/>
      <c r="D259" s="74"/>
      <c r="E259" s="74"/>
      <c r="F259" s="74"/>
      <c r="G259" s="74"/>
      <c r="H259" s="87"/>
      <c r="I259" s="74"/>
      <c r="J259" s="88"/>
      <c r="K259" s="88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9.5" customHeight="1">
      <c r="A260" s="74"/>
      <c r="B260" s="74"/>
      <c r="C260" s="74"/>
      <c r="D260" s="74"/>
      <c r="E260" s="74"/>
      <c r="F260" s="74"/>
      <c r="G260" s="74"/>
      <c r="H260" s="87"/>
      <c r="I260" s="74"/>
      <c r="J260" s="88"/>
      <c r="K260" s="88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9.5" customHeight="1">
      <c r="A261" s="74"/>
      <c r="B261" s="74"/>
      <c r="C261" s="74"/>
      <c r="D261" s="74"/>
      <c r="E261" s="74"/>
      <c r="F261" s="74"/>
      <c r="G261" s="74"/>
      <c r="H261" s="87"/>
      <c r="I261" s="74"/>
      <c r="J261" s="88"/>
      <c r="K261" s="88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9.5" customHeight="1">
      <c r="A262" s="74"/>
      <c r="B262" s="74"/>
      <c r="C262" s="74"/>
      <c r="D262" s="74"/>
      <c r="E262" s="74"/>
      <c r="F262" s="74"/>
      <c r="G262" s="74"/>
      <c r="H262" s="87"/>
      <c r="I262" s="74"/>
      <c r="J262" s="88"/>
      <c r="K262" s="88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9.5" customHeight="1">
      <c r="A263" s="74"/>
      <c r="B263" s="74"/>
      <c r="C263" s="74"/>
      <c r="D263" s="74"/>
      <c r="E263" s="74"/>
      <c r="F263" s="74"/>
      <c r="G263" s="74"/>
      <c r="H263" s="87"/>
      <c r="I263" s="74"/>
      <c r="J263" s="88"/>
      <c r="K263" s="88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9.5" customHeight="1">
      <c r="A264" s="74"/>
      <c r="B264" s="74"/>
      <c r="C264" s="74"/>
      <c r="D264" s="74"/>
      <c r="E264" s="74"/>
      <c r="F264" s="74"/>
      <c r="G264" s="74"/>
      <c r="H264" s="87"/>
      <c r="I264" s="74"/>
      <c r="J264" s="88"/>
      <c r="K264" s="88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9.5" customHeight="1">
      <c r="A265" s="74"/>
      <c r="B265" s="74"/>
      <c r="C265" s="74"/>
      <c r="D265" s="74"/>
      <c r="E265" s="74"/>
      <c r="F265" s="74"/>
      <c r="G265" s="74"/>
      <c r="H265" s="87"/>
      <c r="I265" s="74"/>
      <c r="J265" s="88"/>
      <c r="K265" s="88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9.5" customHeight="1">
      <c r="A266" s="74"/>
      <c r="B266" s="74"/>
      <c r="C266" s="74"/>
      <c r="D266" s="74"/>
      <c r="E266" s="74"/>
      <c r="F266" s="74"/>
      <c r="G266" s="74"/>
      <c r="H266" s="87"/>
      <c r="I266" s="74"/>
      <c r="J266" s="88"/>
      <c r="K266" s="88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9.5" customHeight="1">
      <c r="A267" s="74"/>
      <c r="B267" s="74"/>
      <c r="C267" s="74"/>
      <c r="D267" s="74"/>
      <c r="E267" s="74"/>
      <c r="F267" s="74"/>
      <c r="G267" s="74"/>
      <c r="H267" s="87"/>
      <c r="I267" s="74"/>
      <c r="J267" s="88"/>
      <c r="K267" s="88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9.5" customHeight="1">
      <c r="A268" s="74"/>
      <c r="B268" s="74"/>
      <c r="C268" s="74"/>
      <c r="D268" s="74"/>
      <c r="E268" s="74"/>
      <c r="F268" s="74"/>
      <c r="G268" s="74"/>
      <c r="H268" s="87"/>
      <c r="I268" s="74"/>
      <c r="J268" s="88"/>
      <c r="K268" s="88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9.5" customHeight="1">
      <c r="A269" s="74"/>
      <c r="B269" s="74"/>
      <c r="C269" s="74"/>
      <c r="D269" s="74"/>
      <c r="E269" s="74"/>
      <c r="F269" s="74"/>
      <c r="G269" s="74"/>
      <c r="H269" s="87"/>
      <c r="I269" s="74"/>
      <c r="J269" s="88"/>
      <c r="K269" s="88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9.5" customHeight="1">
      <c r="A270" s="74"/>
      <c r="B270" s="74"/>
      <c r="C270" s="74"/>
      <c r="D270" s="74"/>
      <c r="E270" s="74"/>
      <c r="F270" s="74"/>
      <c r="G270" s="74"/>
      <c r="H270" s="87"/>
      <c r="I270" s="74"/>
      <c r="J270" s="88"/>
      <c r="K270" s="88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1">
    <mergeCell ref="K2:K3"/>
    <mergeCell ref="L2:L3"/>
    <mergeCell ref="A70:F70"/>
    <mergeCell ref="A1:M1"/>
    <mergeCell ref="A2:A3"/>
    <mergeCell ref="B2:B3"/>
    <mergeCell ref="D2:F2"/>
    <mergeCell ref="G2:G3"/>
    <mergeCell ref="I2:I3"/>
    <mergeCell ref="J2:J3"/>
    <mergeCell ref="M2:M3"/>
  </mergeCells>
  <conditionalFormatting sqref="I2:L2">
    <cfRule type="cellIs" dxfId="10" priority="1" operator="equal">
      <formula>"สั่งซื้อเพิ่ม"</formula>
    </cfRule>
  </conditionalFormatting>
  <pageMargins left="0" right="0" top="0.19685039370078741" bottom="0" header="0" footer="0"/>
  <pageSetup paperSize="9" scale="4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CC33"/>
  </sheetPr>
  <dimension ref="A1:Z998"/>
  <sheetViews>
    <sheetView topLeftCell="A2" zoomScale="70" zoomScaleNormal="70" workbookViewId="0">
      <selection activeCell="D24" sqref="D24"/>
    </sheetView>
  </sheetViews>
  <sheetFormatPr defaultColWidth="14.453125" defaultRowHeight="15" customHeight="1"/>
  <cols>
    <col min="1" max="1" width="10.08984375" customWidth="1"/>
    <col min="2" max="2" width="15" customWidth="1"/>
    <col min="3" max="3" width="13" customWidth="1"/>
    <col min="4" max="4" width="12.453125" customWidth="1"/>
    <col min="5" max="6" width="12" customWidth="1"/>
    <col min="11" max="11" width="15.453125" customWidth="1"/>
    <col min="12" max="12" width="20.08984375" customWidth="1"/>
    <col min="13" max="13" width="22.08984375" customWidth="1"/>
    <col min="14" max="14" width="8.6328125" customWidth="1"/>
    <col min="15" max="15" width="10.54296875" customWidth="1"/>
    <col min="16" max="26" width="8.6328125" customWidth="1"/>
  </cols>
  <sheetData>
    <row r="1" spans="1:26" ht="42.75" customHeight="1">
      <c r="A1" s="488" t="s">
        <v>27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32.25" customHeight="1">
      <c r="A2" s="486" t="s">
        <v>4</v>
      </c>
      <c r="B2" s="486" t="s">
        <v>5</v>
      </c>
      <c r="C2" s="89" t="s">
        <v>6</v>
      </c>
      <c r="D2" s="489" t="s">
        <v>7</v>
      </c>
      <c r="E2" s="466"/>
      <c r="F2" s="467"/>
      <c r="G2" s="490" t="s">
        <v>8</v>
      </c>
      <c r="H2" s="90" t="s">
        <v>9</v>
      </c>
      <c r="I2" s="486" t="s">
        <v>10</v>
      </c>
      <c r="J2" s="486" t="s">
        <v>11</v>
      </c>
      <c r="K2" s="486" t="s">
        <v>12</v>
      </c>
      <c r="L2" s="486" t="s">
        <v>13</v>
      </c>
      <c r="M2" s="491" t="s">
        <v>14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32.25" customHeight="1">
      <c r="A3" s="469"/>
      <c r="B3" s="469"/>
      <c r="C3" s="91" t="s">
        <v>0</v>
      </c>
      <c r="D3" s="92" t="s">
        <v>0</v>
      </c>
      <c r="E3" s="91" t="s">
        <v>1</v>
      </c>
      <c r="F3" s="91" t="s">
        <v>2</v>
      </c>
      <c r="G3" s="469"/>
      <c r="H3" s="93" t="s">
        <v>28</v>
      </c>
      <c r="I3" s="469"/>
      <c r="J3" s="469"/>
      <c r="K3" s="469"/>
      <c r="L3" s="469"/>
      <c r="M3" s="469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7" customHeight="1">
      <c r="A4" s="6" t="s">
        <v>16</v>
      </c>
      <c r="B4" s="34" t="s">
        <v>134</v>
      </c>
      <c r="C4" s="94"/>
      <c r="D4" s="432">
        <v>15.875</v>
      </c>
      <c r="E4" s="10">
        <v>1200</v>
      </c>
      <c r="F4" s="10">
        <v>1410</v>
      </c>
      <c r="G4" s="95">
        <v>39</v>
      </c>
      <c r="H4" s="34"/>
      <c r="I4" s="48">
        <f t="shared" ref="I4:I30" si="0">D4*E4*F4*G4/1000000000</f>
        <v>1.0475595</v>
      </c>
      <c r="J4" s="48">
        <f t="shared" ref="J4:J30" si="1">I4*35.315</f>
        <v>36.994563742499999</v>
      </c>
      <c r="K4" s="47">
        <v>18000</v>
      </c>
      <c r="L4" s="81">
        <f t="shared" ref="L4:L30" si="2">I4*K4</f>
        <v>18856.071</v>
      </c>
      <c r="M4" s="81"/>
      <c r="N4" s="96" t="s">
        <v>29</v>
      </c>
      <c r="O4" s="96" t="s">
        <v>30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7" customHeight="1">
      <c r="A5" s="6" t="s">
        <v>16</v>
      </c>
      <c r="B5" s="34" t="s">
        <v>134</v>
      </c>
      <c r="C5" s="94"/>
      <c r="D5" s="432">
        <v>15.875</v>
      </c>
      <c r="E5" s="10">
        <v>1200</v>
      </c>
      <c r="F5" s="10">
        <v>1250</v>
      </c>
      <c r="G5" s="95">
        <v>38</v>
      </c>
      <c r="H5" s="34"/>
      <c r="I5" s="48">
        <f t="shared" si="0"/>
        <v>0.90487499999999998</v>
      </c>
      <c r="J5" s="48">
        <f t="shared" si="1"/>
        <v>31.955660624999997</v>
      </c>
      <c r="K5" s="47">
        <v>18000</v>
      </c>
      <c r="L5" s="81">
        <f t="shared" si="2"/>
        <v>16287.75</v>
      </c>
      <c r="M5" s="81"/>
      <c r="N5" s="96" t="s">
        <v>29</v>
      </c>
      <c r="O5" s="96" t="s">
        <v>30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7" customHeight="1">
      <c r="A6" s="6" t="s">
        <v>16</v>
      </c>
      <c r="B6" s="34" t="s">
        <v>135</v>
      </c>
      <c r="C6" s="34"/>
      <c r="D6" s="432">
        <v>15.875</v>
      </c>
      <c r="E6" s="10">
        <v>1200</v>
      </c>
      <c r="F6" s="10">
        <v>820</v>
      </c>
      <c r="G6" s="95">
        <v>38</v>
      </c>
      <c r="H6" s="34"/>
      <c r="I6" s="48">
        <f t="shared" si="0"/>
        <v>0.59359799999999996</v>
      </c>
      <c r="J6" s="48">
        <f t="shared" si="1"/>
        <v>20.962913369999995</v>
      </c>
      <c r="K6" s="47">
        <v>18000</v>
      </c>
      <c r="L6" s="81">
        <f t="shared" si="2"/>
        <v>10684.763999999999</v>
      </c>
      <c r="M6" s="81"/>
      <c r="N6" s="96" t="s">
        <v>29</v>
      </c>
      <c r="O6" s="96" t="s">
        <v>30</v>
      </c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27" customHeight="1">
      <c r="A7" s="6" t="s">
        <v>16</v>
      </c>
      <c r="B7" s="34" t="s">
        <v>134</v>
      </c>
      <c r="C7" s="94"/>
      <c r="D7" s="432">
        <v>15.875</v>
      </c>
      <c r="E7" s="10">
        <v>1200</v>
      </c>
      <c r="F7" s="10">
        <v>560</v>
      </c>
      <c r="G7" s="95">
        <v>30</v>
      </c>
      <c r="H7" s="34"/>
      <c r="I7" s="48">
        <f t="shared" si="0"/>
        <v>0.32003999999999999</v>
      </c>
      <c r="J7" s="48">
        <f t="shared" si="1"/>
        <v>11.302212599999999</v>
      </c>
      <c r="K7" s="47">
        <v>18000</v>
      </c>
      <c r="L7" s="81">
        <f t="shared" si="2"/>
        <v>5760.72</v>
      </c>
      <c r="M7" s="81"/>
      <c r="N7" s="96" t="s">
        <v>29</v>
      </c>
      <c r="O7" s="96" t="s">
        <v>30</v>
      </c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7" customHeight="1">
      <c r="A8" s="6" t="s">
        <v>16</v>
      </c>
      <c r="B8" s="34" t="s">
        <v>136</v>
      </c>
      <c r="C8" s="94"/>
      <c r="D8" s="432">
        <v>15.875</v>
      </c>
      <c r="E8" s="10">
        <v>1200</v>
      </c>
      <c r="F8" s="10">
        <v>540</v>
      </c>
      <c r="G8" s="95">
        <v>15</v>
      </c>
      <c r="H8" s="34"/>
      <c r="I8" s="48">
        <f t="shared" si="0"/>
        <v>0.154305</v>
      </c>
      <c r="J8" s="48">
        <f t="shared" si="1"/>
        <v>5.4492810749999991</v>
      </c>
      <c r="K8" s="47">
        <v>18000</v>
      </c>
      <c r="L8" s="81">
        <f t="shared" si="2"/>
        <v>2777.49</v>
      </c>
      <c r="M8" s="81"/>
      <c r="N8" s="96" t="s">
        <v>29</v>
      </c>
      <c r="O8" s="96" t="s">
        <v>30</v>
      </c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7" customHeight="1">
      <c r="A9" s="6" t="s">
        <v>16</v>
      </c>
      <c r="B9" s="34" t="s">
        <v>136</v>
      </c>
      <c r="C9" s="94"/>
      <c r="D9" s="432">
        <v>15.875</v>
      </c>
      <c r="E9" s="10">
        <v>1200</v>
      </c>
      <c r="F9" s="10">
        <v>540</v>
      </c>
      <c r="G9" s="95">
        <v>36</v>
      </c>
      <c r="H9" s="34"/>
      <c r="I9" s="48">
        <f t="shared" si="0"/>
        <v>0.37033199999999999</v>
      </c>
      <c r="J9" s="48">
        <f t="shared" si="1"/>
        <v>13.078274579999999</v>
      </c>
      <c r="K9" s="47">
        <v>18000</v>
      </c>
      <c r="L9" s="81">
        <f t="shared" si="2"/>
        <v>6665.9759999999997</v>
      </c>
      <c r="M9" s="81"/>
      <c r="N9" s="96" t="s">
        <v>29</v>
      </c>
      <c r="O9" s="96" t="s">
        <v>30</v>
      </c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27" customHeight="1">
      <c r="A10" s="6" t="s">
        <v>16</v>
      </c>
      <c r="B10" s="34" t="s">
        <v>137</v>
      </c>
      <c r="C10" s="94"/>
      <c r="D10" s="432">
        <v>15.875</v>
      </c>
      <c r="E10" s="10">
        <v>1050</v>
      </c>
      <c r="F10" s="10">
        <v>490</v>
      </c>
      <c r="G10" s="95">
        <v>50</v>
      </c>
      <c r="H10" s="34"/>
      <c r="I10" s="48">
        <f t="shared" si="0"/>
        <v>0.40838437500000002</v>
      </c>
      <c r="J10" s="48">
        <f t="shared" si="1"/>
        <v>14.422094203124999</v>
      </c>
      <c r="K10" s="47">
        <v>18000</v>
      </c>
      <c r="L10" s="81">
        <f t="shared" si="2"/>
        <v>7350.9187500000007</v>
      </c>
      <c r="M10" s="81"/>
      <c r="N10" s="96" t="s">
        <v>29</v>
      </c>
      <c r="O10" s="96" t="s">
        <v>30</v>
      </c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27" customHeight="1">
      <c r="A11" s="6" t="s">
        <v>16</v>
      </c>
      <c r="B11" s="34" t="s">
        <v>137</v>
      </c>
      <c r="C11" s="94"/>
      <c r="D11" s="432">
        <v>15.875</v>
      </c>
      <c r="E11" s="10">
        <v>1200</v>
      </c>
      <c r="F11" s="10">
        <v>540</v>
      </c>
      <c r="G11" s="95">
        <v>16</v>
      </c>
      <c r="H11" s="34"/>
      <c r="I11" s="48">
        <f t="shared" si="0"/>
        <v>0.16459199999999999</v>
      </c>
      <c r="J11" s="48">
        <f t="shared" si="1"/>
        <v>5.8125664799999992</v>
      </c>
      <c r="K11" s="47">
        <v>18000</v>
      </c>
      <c r="L11" s="81">
        <f t="shared" si="2"/>
        <v>2962.6559999999999</v>
      </c>
      <c r="M11" s="97"/>
      <c r="N11" s="96" t="s">
        <v>29</v>
      </c>
      <c r="O11" s="96" t="s">
        <v>30</v>
      </c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27" customHeight="1">
      <c r="A12" s="6" t="s">
        <v>16</v>
      </c>
      <c r="B12" s="34" t="s">
        <v>137</v>
      </c>
      <c r="C12" s="94"/>
      <c r="D12" s="432">
        <v>15.875</v>
      </c>
      <c r="E12" s="10">
        <v>1050</v>
      </c>
      <c r="F12" s="10">
        <v>850</v>
      </c>
      <c r="G12" s="95">
        <v>12</v>
      </c>
      <c r="H12" s="34"/>
      <c r="I12" s="48">
        <f t="shared" si="0"/>
        <v>0.17002125000000001</v>
      </c>
      <c r="J12" s="48">
        <f t="shared" si="1"/>
        <v>6.00430044375</v>
      </c>
      <c r="K12" s="47">
        <v>18000</v>
      </c>
      <c r="L12" s="81">
        <f t="shared" si="2"/>
        <v>3060.3825000000002</v>
      </c>
      <c r="M12" s="81"/>
      <c r="N12" s="96" t="s">
        <v>29</v>
      </c>
      <c r="O12" s="96" t="s">
        <v>30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27" customHeight="1">
      <c r="A13" s="6" t="s">
        <v>16</v>
      </c>
      <c r="B13" s="34" t="s">
        <v>134</v>
      </c>
      <c r="C13" s="94"/>
      <c r="D13" s="432">
        <v>15.875</v>
      </c>
      <c r="E13" s="10">
        <v>1200</v>
      </c>
      <c r="F13" s="10">
        <v>490</v>
      </c>
      <c r="G13" s="95">
        <v>12</v>
      </c>
      <c r="H13" s="34"/>
      <c r="I13" s="48">
        <f t="shared" si="0"/>
        <v>0.112014</v>
      </c>
      <c r="J13" s="48">
        <f t="shared" si="1"/>
        <v>3.9557744099999996</v>
      </c>
      <c r="K13" s="47">
        <v>18000</v>
      </c>
      <c r="L13" s="81">
        <f t="shared" si="2"/>
        <v>2016.252</v>
      </c>
      <c r="M13" s="81"/>
      <c r="N13" s="96" t="s">
        <v>29</v>
      </c>
      <c r="O13" s="96" t="s">
        <v>30</v>
      </c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27" customHeight="1">
      <c r="A14" s="6" t="s">
        <v>16</v>
      </c>
      <c r="B14" s="34" t="s">
        <v>134</v>
      </c>
      <c r="C14" s="94"/>
      <c r="D14" s="432">
        <v>15.875</v>
      </c>
      <c r="E14" s="10">
        <v>1200</v>
      </c>
      <c r="F14" s="10">
        <v>490</v>
      </c>
      <c r="G14" s="95">
        <v>58</v>
      </c>
      <c r="H14" s="34"/>
      <c r="I14" s="48">
        <f t="shared" si="0"/>
        <v>0.54140100000000002</v>
      </c>
      <c r="J14" s="48">
        <f t="shared" si="1"/>
        <v>19.119576315</v>
      </c>
      <c r="K14" s="47">
        <v>18000</v>
      </c>
      <c r="L14" s="81">
        <f t="shared" si="2"/>
        <v>9745.2180000000008</v>
      </c>
      <c r="M14" s="81"/>
      <c r="N14" s="96" t="s">
        <v>29</v>
      </c>
      <c r="O14" s="96" t="s">
        <v>30</v>
      </c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27" customHeight="1">
      <c r="A15" s="6" t="s">
        <v>16</v>
      </c>
      <c r="B15" s="34" t="s">
        <v>134</v>
      </c>
      <c r="C15" s="34"/>
      <c r="D15" s="432">
        <v>15.875</v>
      </c>
      <c r="E15" s="10">
        <v>1200</v>
      </c>
      <c r="F15" s="10">
        <v>540</v>
      </c>
      <c r="G15" s="95">
        <v>56</v>
      </c>
      <c r="H15" s="34"/>
      <c r="I15" s="48">
        <f t="shared" si="0"/>
        <v>0.57607200000000003</v>
      </c>
      <c r="J15" s="48">
        <f t="shared" si="1"/>
        <v>20.34398268</v>
      </c>
      <c r="K15" s="47">
        <v>18000</v>
      </c>
      <c r="L15" s="81">
        <f t="shared" si="2"/>
        <v>10369.296</v>
      </c>
      <c r="M15" s="81"/>
      <c r="N15" s="96" t="s">
        <v>29</v>
      </c>
      <c r="O15" s="96" t="s">
        <v>30</v>
      </c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27" customHeight="1">
      <c r="A16" s="6" t="s">
        <v>16</v>
      </c>
      <c r="B16" s="34" t="s">
        <v>134</v>
      </c>
      <c r="C16" s="94"/>
      <c r="D16" s="432">
        <v>15.875</v>
      </c>
      <c r="E16" s="10">
        <v>1100</v>
      </c>
      <c r="F16" s="10">
        <v>540</v>
      </c>
      <c r="G16" s="95">
        <v>70</v>
      </c>
      <c r="H16" s="34"/>
      <c r="I16" s="48">
        <f t="shared" si="0"/>
        <v>0.66008250000000002</v>
      </c>
      <c r="J16" s="48">
        <f t="shared" si="1"/>
        <v>23.310813487499999</v>
      </c>
      <c r="K16" s="47">
        <v>18000</v>
      </c>
      <c r="L16" s="81">
        <f t="shared" si="2"/>
        <v>11881.485000000001</v>
      </c>
      <c r="M16" s="81"/>
      <c r="N16" s="96" t="s">
        <v>29</v>
      </c>
      <c r="O16" s="96" t="s">
        <v>30</v>
      </c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27" customHeight="1">
      <c r="A17" s="6" t="s">
        <v>16</v>
      </c>
      <c r="B17" s="34" t="s">
        <v>134</v>
      </c>
      <c r="C17" s="94"/>
      <c r="D17" s="432">
        <v>15.875</v>
      </c>
      <c r="E17" s="10">
        <v>1200</v>
      </c>
      <c r="F17" s="10">
        <v>540</v>
      </c>
      <c r="G17" s="95">
        <v>76</v>
      </c>
      <c r="H17" s="34"/>
      <c r="I17" s="48">
        <f t="shared" si="0"/>
        <v>0.78181199999999995</v>
      </c>
      <c r="J17" s="48">
        <f t="shared" si="1"/>
        <v>27.609690779999998</v>
      </c>
      <c r="K17" s="47">
        <v>18000</v>
      </c>
      <c r="L17" s="81">
        <f t="shared" si="2"/>
        <v>14072.616</v>
      </c>
      <c r="M17" s="81"/>
      <c r="N17" s="96" t="s">
        <v>29</v>
      </c>
      <c r="O17" s="96" t="s">
        <v>30</v>
      </c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27" customHeight="1">
      <c r="A18" s="6" t="s">
        <v>16</v>
      </c>
      <c r="B18" s="34" t="s">
        <v>134</v>
      </c>
      <c r="C18" s="94"/>
      <c r="D18" s="432">
        <v>15.875</v>
      </c>
      <c r="E18" s="10">
        <v>1200</v>
      </c>
      <c r="F18" s="10">
        <v>490</v>
      </c>
      <c r="G18" s="95">
        <v>34</v>
      </c>
      <c r="H18" s="34"/>
      <c r="I18" s="48">
        <f t="shared" si="0"/>
        <v>0.31737300000000002</v>
      </c>
      <c r="J18" s="48">
        <f t="shared" si="1"/>
        <v>11.208027495</v>
      </c>
      <c r="K18" s="47">
        <v>18000</v>
      </c>
      <c r="L18" s="81">
        <f t="shared" si="2"/>
        <v>5712.7139999999999</v>
      </c>
      <c r="M18" s="81"/>
      <c r="N18" s="96" t="s">
        <v>29</v>
      </c>
      <c r="O18" s="96" t="s">
        <v>30</v>
      </c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27" customHeight="1">
      <c r="A19" s="6" t="s">
        <v>16</v>
      </c>
      <c r="B19" s="34" t="s">
        <v>134</v>
      </c>
      <c r="C19" s="94"/>
      <c r="D19" s="432">
        <v>15.875</v>
      </c>
      <c r="E19" s="10">
        <v>1200</v>
      </c>
      <c r="F19" s="10">
        <v>590</v>
      </c>
      <c r="G19" s="95">
        <v>27</v>
      </c>
      <c r="H19" s="34"/>
      <c r="I19" s="48">
        <f t="shared" si="0"/>
        <v>0.30346649999999997</v>
      </c>
      <c r="J19" s="48">
        <f t="shared" si="1"/>
        <v>10.716919447499999</v>
      </c>
      <c r="K19" s="47">
        <v>18000</v>
      </c>
      <c r="L19" s="81">
        <f t="shared" si="2"/>
        <v>5462.3969999999999</v>
      </c>
      <c r="M19" s="81"/>
      <c r="N19" s="96" t="s">
        <v>29</v>
      </c>
      <c r="O19" s="96" t="s">
        <v>30</v>
      </c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27" customHeight="1">
      <c r="A20" s="6" t="s">
        <v>16</v>
      </c>
      <c r="B20" s="34" t="s">
        <v>134</v>
      </c>
      <c r="C20" s="94"/>
      <c r="D20" s="432">
        <v>15.875</v>
      </c>
      <c r="E20" s="10">
        <v>1200</v>
      </c>
      <c r="F20" s="10">
        <v>590</v>
      </c>
      <c r="G20" s="95">
        <v>30</v>
      </c>
      <c r="H20" s="34"/>
      <c r="I20" s="48">
        <f t="shared" si="0"/>
        <v>0.33718500000000001</v>
      </c>
      <c r="J20" s="48">
        <f t="shared" si="1"/>
        <v>11.907688275</v>
      </c>
      <c r="K20" s="47">
        <v>18000</v>
      </c>
      <c r="L20" s="81">
        <f t="shared" si="2"/>
        <v>6069.33</v>
      </c>
      <c r="M20" s="81"/>
      <c r="N20" s="96" t="s">
        <v>29</v>
      </c>
      <c r="O20" s="96" t="s">
        <v>30</v>
      </c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27" customHeight="1">
      <c r="A21" s="6" t="s">
        <v>16</v>
      </c>
      <c r="B21" s="34" t="s">
        <v>134</v>
      </c>
      <c r="C21" s="94"/>
      <c r="D21" s="432">
        <v>15.875</v>
      </c>
      <c r="E21" s="10">
        <v>1200</v>
      </c>
      <c r="F21" s="10">
        <v>490</v>
      </c>
      <c r="G21" s="95">
        <v>8</v>
      </c>
      <c r="H21" s="34"/>
      <c r="I21" s="48">
        <f t="shared" si="0"/>
        <v>7.4676000000000006E-2</v>
      </c>
      <c r="J21" s="48">
        <f t="shared" si="1"/>
        <v>2.6371829400000002</v>
      </c>
      <c r="K21" s="47">
        <v>18000</v>
      </c>
      <c r="L21" s="81">
        <f t="shared" si="2"/>
        <v>1344.1680000000001</v>
      </c>
      <c r="M21" s="81"/>
      <c r="N21" s="96" t="s">
        <v>29</v>
      </c>
      <c r="O21" s="96" t="s">
        <v>30</v>
      </c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27" customHeight="1">
      <c r="A22" s="6" t="s">
        <v>16</v>
      </c>
      <c r="B22" s="34" t="s">
        <v>135</v>
      </c>
      <c r="C22" s="94"/>
      <c r="D22" s="432">
        <v>15.875</v>
      </c>
      <c r="E22" s="10">
        <v>1200</v>
      </c>
      <c r="F22" s="10">
        <v>820</v>
      </c>
      <c r="G22" s="95">
        <v>38</v>
      </c>
      <c r="H22" s="34"/>
      <c r="I22" s="48">
        <f t="shared" si="0"/>
        <v>0.59359799999999996</v>
      </c>
      <c r="J22" s="48">
        <f t="shared" si="1"/>
        <v>20.962913369999995</v>
      </c>
      <c r="K22" s="47">
        <v>18000</v>
      </c>
      <c r="L22" s="81">
        <f t="shared" si="2"/>
        <v>10684.763999999999</v>
      </c>
      <c r="M22" s="81"/>
      <c r="N22" s="96" t="s">
        <v>29</v>
      </c>
      <c r="O22" s="96" t="s">
        <v>30</v>
      </c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27" customHeight="1">
      <c r="A23" s="6" t="s">
        <v>16</v>
      </c>
      <c r="B23" s="34"/>
      <c r="C23" s="94"/>
      <c r="D23" s="432">
        <v>15.875</v>
      </c>
      <c r="E23" s="10"/>
      <c r="F23" s="10"/>
      <c r="G23" s="95"/>
      <c r="H23" s="34"/>
      <c r="I23" s="48">
        <f t="shared" si="0"/>
        <v>0</v>
      </c>
      <c r="J23" s="48">
        <f t="shared" si="1"/>
        <v>0</v>
      </c>
      <c r="K23" s="47">
        <v>18000</v>
      </c>
      <c r="L23" s="81">
        <f t="shared" si="2"/>
        <v>0</v>
      </c>
      <c r="M23" s="97"/>
      <c r="N23" s="96" t="s">
        <v>29</v>
      </c>
      <c r="O23" s="96" t="s">
        <v>30</v>
      </c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27" customHeight="1">
      <c r="A24" s="6" t="s">
        <v>16</v>
      </c>
      <c r="B24" s="34"/>
      <c r="C24" s="94"/>
      <c r="D24" s="432">
        <v>15.875</v>
      </c>
      <c r="E24" s="10"/>
      <c r="F24" s="10"/>
      <c r="G24" s="95"/>
      <c r="H24" s="34"/>
      <c r="I24" s="48">
        <f t="shared" si="0"/>
        <v>0</v>
      </c>
      <c r="J24" s="48">
        <f t="shared" si="1"/>
        <v>0</v>
      </c>
      <c r="K24" s="47">
        <v>18000</v>
      </c>
      <c r="L24" s="81">
        <f t="shared" si="2"/>
        <v>0</v>
      </c>
      <c r="M24" s="81"/>
      <c r="N24" s="96" t="s">
        <v>29</v>
      </c>
      <c r="O24" s="96" t="s">
        <v>30</v>
      </c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27" customHeight="1">
      <c r="A25" s="6" t="s">
        <v>16</v>
      </c>
      <c r="B25" s="34"/>
      <c r="C25" s="94"/>
      <c r="D25" s="432">
        <v>15.875</v>
      </c>
      <c r="E25" s="10"/>
      <c r="F25" s="10"/>
      <c r="G25" s="95"/>
      <c r="H25" s="34"/>
      <c r="I25" s="48">
        <f t="shared" si="0"/>
        <v>0</v>
      </c>
      <c r="J25" s="48">
        <f t="shared" si="1"/>
        <v>0</v>
      </c>
      <c r="K25" s="47">
        <v>18000</v>
      </c>
      <c r="L25" s="81">
        <f t="shared" si="2"/>
        <v>0</v>
      </c>
      <c r="M25" s="81"/>
      <c r="N25" s="96" t="s">
        <v>29</v>
      </c>
      <c r="O25" s="96" t="s">
        <v>30</v>
      </c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27" customHeight="1">
      <c r="A26" s="6" t="s">
        <v>16</v>
      </c>
      <c r="B26" s="34"/>
      <c r="C26" s="94"/>
      <c r="D26" s="432">
        <v>15.875</v>
      </c>
      <c r="E26" s="10"/>
      <c r="F26" s="10"/>
      <c r="G26" s="95"/>
      <c r="H26" s="34"/>
      <c r="I26" s="48">
        <f t="shared" si="0"/>
        <v>0</v>
      </c>
      <c r="J26" s="48">
        <f t="shared" si="1"/>
        <v>0</v>
      </c>
      <c r="K26" s="47">
        <v>18000</v>
      </c>
      <c r="L26" s="81">
        <f t="shared" si="2"/>
        <v>0</v>
      </c>
      <c r="M26" s="97"/>
      <c r="N26" s="96" t="s">
        <v>29</v>
      </c>
      <c r="O26" s="96" t="s">
        <v>30</v>
      </c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27" customHeight="1">
      <c r="A27" s="6" t="s">
        <v>16</v>
      </c>
      <c r="B27" s="34"/>
      <c r="C27" s="94"/>
      <c r="D27" s="432">
        <v>15.875</v>
      </c>
      <c r="E27" s="10"/>
      <c r="F27" s="10"/>
      <c r="G27" s="95"/>
      <c r="H27" s="34"/>
      <c r="I27" s="48">
        <f t="shared" si="0"/>
        <v>0</v>
      </c>
      <c r="J27" s="48">
        <f t="shared" si="1"/>
        <v>0</v>
      </c>
      <c r="K27" s="47">
        <v>18000</v>
      </c>
      <c r="L27" s="81">
        <f t="shared" si="2"/>
        <v>0</v>
      </c>
      <c r="M27" s="81"/>
      <c r="N27" s="96" t="s">
        <v>29</v>
      </c>
      <c r="O27" s="96" t="s">
        <v>30</v>
      </c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27" customHeight="1">
      <c r="A28" s="6" t="s">
        <v>16</v>
      </c>
      <c r="B28" s="34"/>
      <c r="C28" s="94"/>
      <c r="D28" s="432">
        <v>15.875</v>
      </c>
      <c r="E28" s="10"/>
      <c r="F28" s="10"/>
      <c r="G28" s="95"/>
      <c r="H28" s="34"/>
      <c r="I28" s="48">
        <f t="shared" si="0"/>
        <v>0</v>
      </c>
      <c r="J28" s="48">
        <f t="shared" si="1"/>
        <v>0</v>
      </c>
      <c r="K28" s="47">
        <v>18000</v>
      </c>
      <c r="L28" s="81">
        <f t="shared" si="2"/>
        <v>0</v>
      </c>
      <c r="M28" s="81"/>
      <c r="N28" s="96" t="s">
        <v>29</v>
      </c>
      <c r="O28" s="96" t="s">
        <v>30</v>
      </c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27" customHeight="1">
      <c r="A29" s="6" t="s">
        <v>16</v>
      </c>
      <c r="B29" s="34"/>
      <c r="C29" s="94"/>
      <c r="D29" s="432">
        <v>15.875</v>
      </c>
      <c r="E29" s="10"/>
      <c r="F29" s="10"/>
      <c r="G29" s="95"/>
      <c r="H29" s="34"/>
      <c r="I29" s="48">
        <f t="shared" si="0"/>
        <v>0</v>
      </c>
      <c r="J29" s="48">
        <f t="shared" si="1"/>
        <v>0</v>
      </c>
      <c r="K29" s="47">
        <v>18000</v>
      </c>
      <c r="L29" s="81">
        <f t="shared" si="2"/>
        <v>0</v>
      </c>
      <c r="M29" s="81"/>
      <c r="N29" s="96" t="s">
        <v>29</v>
      </c>
      <c r="O29" s="96" t="s">
        <v>30</v>
      </c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27" customHeight="1">
      <c r="A30" s="6" t="s">
        <v>16</v>
      </c>
      <c r="B30" s="34"/>
      <c r="C30" s="94"/>
      <c r="D30" s="432">
        <v>15.875</v>
      </c>
      <c r="E30" s="10"/>
      <c r="F30" s="10"/>
      <c r="G30" s="95"/>
      <c r="H30" s="34"/>
      <c r="I30" s="48">
        <f t="shared" si="0"/>
        <v>0</v>
      </c>
      <c r="J30" s="48">
        <f t="shared" si="1"/>
        <v>0</v>
      </c>
      <c r="K30" s="47">
        <v>18000</v>
      </c>
      <c r="L30" s="81">
        <f t="shared" si="2"/>
        <v>0</v>
      </c>
      <c r="M30" s="81"/>
      <c r="N30" s="96" t="s">
        <v>29</v>
      </c>
      <c r="O30" s="96" t="s">
        <v>30</v>
      </c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30" customHeight="1">
      <c r="A31" s="487" t="s">
        <v>18</v>
      </c>
      <c r="B31" s="466"/>
      <c r="C31" s="466"/>
      <c r="D31" s="466"/>
      <c r="E31" s="466"/>
      <c r="F31" s="467"/>
      <c r="G31" s="98">
        <f>SUM(G4:G30)</f>
        <v>683</v>
      </c>
      <c r="H31" s="99"/>
      <c r="I31" s="100">
        <f>SUM(I4:I30)</f>
        <v>8.4313871249999988</v>
      </c>
      <c r="J31" s="100">
        <f>SUM(J4:J30)</f>
        <v>297.75443631937503</v>
      </c>
      <c r="K31" s="100"/>
      <c r="L31" s="100">
        <f>SUM(L4:L30)</f>
        <v>151764.96824999998</v>
      </c>
      <c r="M31" s="9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19.5" customHeight="1">
      <c r="A32" s="74"/>
      <c r="B32" s="74"/>
      <c r="C32" s="74"/>
      <c r="D32" s="101"/>
      <c r="E32" s="74"/>
      <c r="F32" s="74"/>
      <c r="G32" s="74"/>
      <c r="H32" s="74"/>
      <c r="I32" s="74"/>
      <c r="J32" s="102"/>
      <c r="K32" s="103"/>
      <c r="L32" s="103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9.5" customHeight="1">
      <c r="A33" s="74"/>
      <c r="B33" s="74"/>
      <c r="C33" s="74"/>
      <c r="D33" s="101"/>
      <c r="E33" s="74"/>
      <c r="F33" s="74"/>
      <c r="G33" s="74"/>
      <c r="H33" s="74"/>
      <c r="I33" s="74"/>
      <c r="J33" s="102"/>
      <c r="K33" s="103"/>
      <c r="L33" s="103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9.5" customHeight="1">
      <c r="A34" s="74"/>
      <c r="B34" s="74"/>
      <c r="C34" s="74"/>
      <c r="D34" s="101"/>
      <c r="E34" s="74"/>
      <c r="F34" s="74"/>
      <c r="G34" s="74"/>
      <c r="H34" s="74"/>
      <c r="I34" s="74"/>
      <c r="J34" s="102"/>
      <c r="K34" s="103"/>
      <c r="L34" s="103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9.5" customHeight="1">
      <c r="A35" s="74"/>
      <c r="B35" s="74"/>
      <c r="C35" s="74"/>
      <c r="D35" s="101"/>
      <c r="E35" s="74"/>
      <c r="F35" s="74"/>
      <c r="G35" s="74"/>
      <c r="H35" s="74"/>
      <c r="I35" s="74"/>
      <c r="J35" s="102"/>
      <c r="K35" s="103"/>
      <c r="L35" s="103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9.5" customHeight="1">
      <c r="A36" s="74"/>
      <c r="B36" s="74"/>
      <c r="C36" s="74"/>
      <c r="D36" s="101"/>
      <c r="E36" s="74"/>
      <c r="F36" s="74"/>
      <c r="G36" s="74"/>
      <c r="H36" s="74"/>
      <c r="I36" s="74"/>
      <c r="J36" s="102"/>
      <c r="K36" s="103"/>
      <c r="L36" s="103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9.5" customHeight="1">
      <c r="A37" s="74"/>
      <c r="B37" s="74"/>
      <c r="C37" s="74"/>
      <c r="D37" s="101"/>
      <c r="E37" s="74"/>
      <c r="F37" s="74"/>
      <c r="G37" s="74"/>
      <c r="H37" s="74"/>
      <c r="I37" s="74"/>
      <c r="J37" s="102"/>
      <c r="K37" s="103"/>
      <c r="L37" s="103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9.5" customHeight="1">
      <c r="A38" s="74"/>
      <c r="B38" s="74"/>
      <c r="C38" s="74"/>
      <c r="D38" s="101"/>
      <c r="E38" s="74"/>
      <c r="F38" s="74"/>
      <c r="G38" s="74"/>
      <c r="H38" s="74"/>
      <c r="I38" s="74"/>
      <c r="J38" s="102"/>
      <c r="K38" s="103"/>
      <c r="L38" s="103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9.5" customHeight="1">
      <c r="A39" s="74"/>
      <c r="B39" s="74"/>
      <c r="C39" s="74"/>
      <c r="D39" s="101"/>
      <c r="E39" s="74"/>
      <c r="F39" s="74"/>
      <c r="G39" s="74"/>
      <c r="H39" s="74"/>
      <c r="I39" s="74"/>
      <c r="J39" s="102"/>
      <c r="K39" s="103"/>
      <c r="L39" s="103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9.5" customHeight="1">
      <c r="A40" s="74"/>
      <c r="B40" s="74"/>
      <c r="C40" s="74"/>
      <c r="D40" s="101"/>
      <c r="E40" s="74"/>
      <c r="F40" s="74"/>
      <c r="G40" s="74"/>
      <c r="H40" s="74"/>
      <c r="I40" s="74"/>
      <c r="J40" s="102"/>
      <c r="K40" s="103"/>
      <c r="L40" s="103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9.5" customHeight="1">
      <c r="A41" s="74"/>
      <c r="B41" s="74"/>
      <c r="C41" s="74"/>
      <c r="D41" s="101"/>
      <c r="E41" s="74"/>
      <c r="F41" s="74"/>
      <c r="G41" s="74"/>
      <c r="H41" s="74"/>
      <c r="I41" s="74"/>
      <c r="J41" s="102"/>
      <c r="K41" s="103"/>
      <c r="L41" s="103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9.5" customHeight="1">
      <c r="A42" s="74"/>
      <c r="B42" s="74"/>
      <c r="C42" s="74"/>
      <c r="D42" s="101"/>
      <c r="E42" s="74"/>
      <c r="F42" s="74"/>
      <c r="G42" s="74"/>
      <c r="H42" s="74"/>
      <c r="I42" s="74"/>
      <c r="J42" s="102"/>
      <c r="K42" s="103"/>
      <c r="L42" s="103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9.5" customHeight="1">
      <c r="A43" s="74"/>
      <c r="B43" s="74"/>
      <c r="C43" s="74"/>
      <c r="D43" s="101"/>
      <c r="E43" s="74"/>
      <c r="F43" s="74"/>
      <c r="G43" s="74"/>
      <c r="H43" s="74"/>
      <c r="I43" s="74"/>
      <c r="J43" s="102"/>
      <c r="K43" s="103"/>
      <c r="L43" s="103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9.5" customHeight="1">
      <c r="A44" s="74"/>
      <c r="B44" s="74"/>
      <c r="C44" s="74"/>
      <c r="D44" s="101"/>
      <c r="E44" s="74"/>
      <c r="F44" s="74"/>
      <c r="G44" s="74"/>
      <c r="H44" s="74"/>
      <c r="I44" s="74"/>
      <c r="J44" s="102"/>
      <c r="K44" s="103"/>
      <c r="L44" s="103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9.5" customHeight="1">
      <c r="A45" s="74"/>
      <c r="B45" s="74"/>
      <c r="C45" s="74"/>
      <c r="D45" s="101"/>
      <c r="E45" s="74"/>
      <c r="F45" s="74"/>
      <c r="G45" s="74"/>
      <c r="H45" s="74"/>
      <c r="I45" s="74"/>
      <c r="J45" s="102"/>
      <c r="K45" s="103"/>
      <c r="L45" s="103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9.5" customHeight="1">
      <c r="A46" s="74"/>
      <c r="B46" s="74"/>
      <c r="C46" s="74"/>
      <c r="D46" s="101"/>
      <c r="E46" s="74"/>
      <c r="F46" s="74"/>
      <c r="G46" s="74"/>
      <c r="H46" s="74"/>
      <c r="I46" s="74"/>
      <c r="J46" s="102"/>
      <c r="K46" s="103"/>
      <c r="L46" s="103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9.5" customHeight="1">
      <c r="A47" s="74"/>
      <c r="B47" s="74"/>
      <c r="C47" s="74"/>
      <c r="D47" s="101"/>
      <c r="E47" s="74"/>
      <c r="F47" s="74"/>
      <c r="G47" s="74"/>
      <c r="H47" s="74"/>
      <c r="I47" s="74"/>
      <c r="J47" s="102"/>
      <c r="K47" s="103"/>
      <c r="L47" s="103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9.5" customHeight="1">
      <c r="A48" s="74"/>
      <c r="B48" s="74"/>
      <c r="C48" s="74"/>
      <c r="D48" s="101"/>
      <c r="E48" s="74"/>
      <c r="F48" s="74"/>
      <c r="G48" s="74"/>
      <c r="H48" s="74"/>
      <c r="I48" s="74"/>
      <c r="J48" s="102"/>
      <c r="K48" s="103"/>
      <c r="L48" s="103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9.5" customHeight="1">
      <c r="A49" s="74"/>
      <c r="B49" s="74"/>
      <c r="C49" s="74"/>
      <c r="D49" s="101"/>
      <c r="E49" s="74"/>
      <c r="F49" s="74"/>
      <c r="G49" s="74"/>
      <c r="H49" s="74"/>
      <c r="I49" s="74"/>
      <c r="J49" s="102"/>
      <c r="K49" s="103"/>
      <c r="L49" s="103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9.5" customHeight="1">
      <c r="A50" s="74"/>
      <c r="B50" s="74"/>
      <c r="C50" s="74"/>
      <c r="D50" s="101"/>
      <c r="E50" s="74"/>
      <c r="F50" s="74"/>
      <c r="G50" s="74"/>
      <c r="H50" s="74"/>
      <c r="I50" s="74"/>
      <c r="J50" s="102"/>
      <c r="K50" s="103"/>
      <c r="L50" s="103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9.5" customHeight="1">
      <c r="A51" s="74"/>
      <c r="B51" s="74"/>
      <c r="C51" s="74"/>
      <c r="D51" s="101"/>
      <c r="E51" s="74"/>
      <c r="F51" s="74"/>
      <c r="G51" s="74"/>
      <c r="H51" s="74"/>
      <c r="I51" s="74"/>
      <c r="J51" s="102"/>
      <c r="K51" s="103"/>
      <c r="L51" s="103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9.5" customHeight="1">
      <c r="A52" s="74"/>
      <c r="B52" s="74"/>
      <c r="C52" s="74"/>
      <c r="D52" s="101"/>
      <c r="E52" s="74"/>
      <c r="F52" s="74"/>
      <c r="G52" s="74"/>
      <c r="H52" s="74"/>
      <c r="I52" s="74"/>
      <c r="J52" s="102"/>
      <c r="K52" s="103"/>
      <c r="L52" s="103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9.5" customHeight="1">
      <c r="A53" s="74"/>
      <c r="B53" s="74"/>
      <c r="C53" s="74"/>
      <c r="D53" s="101"/>
      <c r="E53" s="74"/>
      <c r="F53" s="74"/>
      <c r="G53" s="74"/>
      <c r="H53" s="74"/>
      <c r="I53" s="74"/>
      <c r="J53" s="102"/>
      <c r="K53" s="103"/>
      <c r="L53" s="103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9.5" customHeight="1">
      <c r="A54" s="74"/>
      <c r="B54" s="74"/>
      <c r="C54" s="74"/>
      <c r="D54" s="101"/>
      <c r="E54" s="74"/>
      <c r="F54" s="74"/>
      <c r="G54" s="74"/>
      <c r="H54" s="74"/>
      <c r="I54" s="74"/>
      <c r="J54" s="102"/>
      <c r="K54" s="103"/>
      <c r="L54" s="103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9.5" customHeight="1">
      <c r="A55" s="74"/>
      <c r="B55" s="74"/>
      <c r="C55" s="74"/>
      <c r="D55" s="101"/>
      <c r="E55" s="74"/>
      <c r="F55" s="74"/>
      <c r="G55" s="74"/>
      <c r="H55" s="74"/>
      <c r="I55" s="74"/>
      <c r="J55" s="102"/>
      <c r="K55" s="103"/>
      <c r="L55" s="103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9.5" customHeight="1">
      <c r="A56" s="74"/>
      <c r="B56" s="74"/>
      <c r="C56" s="74"/>
      <c r="D56" s="101"/>
      <c r="E56" s="74"/>
      <c r="F56" s="74"/>
      <c r="G56" s="74"/>
      <c r="H56" s="74"/>
      <c r="I56" s="74"/>
      <c r="J56" s="102"/>
      <c r="K56" s="103"/>
      <c r="L56" s="103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9.5" customHeight="1">
      <c r="A57" s="74"/>
      <c r="B57" s="74"/>
      <c r="C57" s="74"/>
      <c r="D57" s="101"/>
      <c r="E57" s="74"/>
      <c r="F57" s="74"/>
      <c r="G57" s="74"/>
      <c r="H57" s="74"/>
      <c r="I57" s="74"/>
      <c r="J57" s="102"/>
      <c r="K57" s="103"/>
      <c r="L57" s="103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9.5" customHeight="1">
      <c r="A58" s="74"/>
      <c r="B58" s="74"/>
      <c r="C58" s="74"/>
      <c r="D58" s="101"/>
      <c r="E58" s="74"/>
      <c r="F58" s="74"/>
      <c r="G58" s="74"/>
      <c r="H58" s="74"/>
      <c r="I58" s="74"/>
      <c r="J58" s="102"/>
      <c r="K58" s="103"/>
      <c r="L58" s="103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9.5" customHeight="1">
      <c r="A59" s="74"/>
      <c r="B59" s="74"/>
      <c r="C59" s="74"/>
      <c r="D59" s="101"/>
      <c r="E59" s="74"/>
      <c r="F59" s="74"/>
      <c r="G59" s="74"/>
      <c r="H59" s="74"/>
      <c r="I59" s="74"/>
      <c r="J59" s="102"/>
      <c r="K59" s="103"/>
      <c r="L59" s="103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9.5" customHeight="1">
      <c r="A60" s="74"/>
      <c r="B60" s="74"/>
      <c r="C60" s="74"/>
      <c r="D60" s="101"/>
      <c r="E60" s="74"/>
      <c r="F60" s="74"/>
      <c r="G60" s="74"/>
      <c r="H60" s="74"/>
      <c r="I60" s="74"/>
      <c r="J60" s="102"/>
      <c r="K60" s="103"/>
      <c r="L60" s="103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9.5" customHeight="1">
      <c r="A61" s="74"/>
      <c r="B61" s="74"/>
      <c r="C61" s="74"/>
      <c r="D61" s="101"/>
      <c r="E61" s="74"/>
      <c r="F61" s="74"/>
      <c r="G61" s="74"/>
      <c r="H61" s="74"/>
      <c r="I61" s="74"/>
      <c r="J61" s="102"/>
      <c r="K61" s="103"/>
      <c r="L61" s="103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9.5" customHeight="1">
      <c r="A62" s="74"/>
      <c r="B62" s="74"/>
      <c r="C62" s="74"/>
      <c r="D62" s="101"/>
      <c r="E62" s="74"/>
      <c r="F62" s="74"/>
      <c r="G62" s="74"/>
      <c r="H62" s="74"/>
      <c r="I62" s="74"/>
      <c r="J62" s="102"/>
      <c r="K62" s="103"/>
      <c r="L62" s="103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9.5" customHeight="1">
      <c r="A63" s="74"/>
      <c r="B63" s="74"/>
      <c r="C63" s="74"/>
      <c r="D63" s="101"/>
      <c r="E63" s="74"/>
      <c r="F63" s="74"/>
      <c r="G63" s="74"/>
      <c r="H63" s="74"/>
      <c r="I63" s="74"/>
      <c r="J63" s="102"/>
      <c r="K63" s="103"/>
      <c r="L63" s="103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9.5" customHeight="1">
      <c r="A64" s="74"/>
      <c r="B64" s="74"/>
      <c r="C64" s="74"/>
      <c r="D64" s="101"/>
      <c r="E64" s="74"/>
      <c r="F64" s="74"/>
      <c r="G64" s="74"/>
      <c r="H64" s="74"/>
      <c r="I64" s="74"/>
      <c r="J64" s="102"/>
      <c r="K64" s="103"/>
      <c r="L64" s="103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9.5" customHeight="1">
      <c r="A65" s="74"/>
      <c r="B65" s="74"/>
      <c r="C65" s="74"/>
      <c r="D65" s="101"/>
      <c r="E65" s="74"/>
      <c r="F65" s="74"/>
      <c r="G65" s="74"/>
      <c r="H65" s="74"/>
      <c r="I65" s="74"/>
      <c r="J65" s="102"/>
      <c r="K65" s="103"/>
      <c r="L65" s="103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9.5" customHeight="1">
      <c r="A66" s="74"/>
      <c r="B66" s="74"/>
      <c r="C66" s="74"/>
      <c r="D66" s="101"/>
      <c r="E66" s="74"/>
      <c r="F66" s="74"/>
      <c r="G66" s="74"/>
      <c r="H66" s="74"/>
      <c r="I66" s="74"/>
      <c r="J66" s="102"/>
      <c r="K66" s="103"/>
      <c r="L66" s="103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9.5" customHeight="1">
      <c r="A67" s="74"/>
      <c r="B67" s="74"/>
      <c r="C67" s="74"/>
      <c r="D67" s="101"/>
      <c r="E67" s="74"/>
      <c r="F67" s="74"/>
      <c r="G67" s="74"/>
      <c r="H67" s="74"/>
      <c r="I67" s="74"/>
      <c r="J67" s="102"/>
      <c r="K67" s="103"/>
      <c r="L67" s="103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9.5" customHeight="1">
      <c r="A68" s="74"/>
      <c r="B68" s="74"/>
      <c r="C68" s="74"/>
      <c r="D68" s="101"/>
      <c r="E68" s="74"/>
      <c r="F68" s="74"/>
      <c r="G68" s="74"/>
      <c r="H68" s="74"/>
      <c r="I68" s="74"/>
      <c r="J68" s="102"/>
      <c r="K68" s="103"/>
      <c r="L68" s="103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9.5" customHeight="1">
      <c r="A69" s="74"/>
      <c r="B69" s="74"/>
      <c r="C69" s="74"/>
      <c r="D69" s="101"/>
      <c r="E69" s="74"/>
      <c r="F69" s="74"/>
      <c r="G69" s="74"/>
      <c r="H69" s="74"/>
      <c r="I69" s="74"/>
      <c r="J69" s="102"/>
      <c r="K69" s="103"/>
      <c r="L69" s="103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9.5" customHeight="1">
      <c r="A70" s="74"/>
      <c r="B70" s="74"/>
      <c r="C70" s="74"/>
      <c r="D70" s="101"/>
      <c r="E70" s="74"/>
      <c r="F70" s="74"/>
      <c r="G70" s="74"/>
      <c r="H70" s="74"/>
      <c r="I70" s="74"/>
      <c r="J70" s="102"/>
      <c r="K70" s="103"/>
      <c r="L70" s="103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9.5" customHeight="1">
      <c r="A71" s="74"/>
      <c r="B71" s="74"/>
      <c r="C71" s="74"/>
      <c r="D71" s="101"/>
      <c r="E71" s="74"/>
      <c r="F71" s="74"/>
      <c r="G71" s="74"/>
      <c r="H71" s="74"/>
      <c r="I71" s="74"/>
      <c r="J71" s="102"/>
      <c r="K71" s="103"/>
      <c r="L71" s="103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9.5" customHeight="1">
      <c r="A72" s="74"/>
      <c r="B72" s="74"/>
      <c r="C72" s="74"/>
      <c r="D72" s="101"/>
      <c r="E72" s="74"/>
      <c r="F72" s="74"/>
      <c r="G72" s="74"/>
      <c r="H72" s="74"/>
      <c r="I72" s="74"/>
      <c r="J72" s="102"/>
      <c r="K72" s="103"/>
      <c r="L72" s="103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9.5" customHeight="1">
      <c r="A73" s="74"/>
      <c r="B73" s="74"/>
      <c r="C73" s="74"/>
      <c r="D73" s="101"/>
      <c r="E73" s="74"/>
      <c r="F73" s="74"/>
      <c r="G73" s="74"/>
      <c r="H73" s="74"/>
      <c r="I73" s="74"/>
      <c r="J73" s="102"/>
      <c r="K73" s="103"/>
      <c r="L73" s="103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9.5" customHeight="1">
      <c r="A74" s="74"/>
      <c r="B74" s="74"/>
      <c r="C74" s="74"/>
      <c r="D74" s="101"/>
      <c r="E74" s="74"/>
      <c r="F74" s="74"/>
      <c r="G74" s="74"/>
      <c r="H74" s="74"/>
      <c r="I74" s="74"/>
      <c r="J74" s="102"/>
      <c r="K74" s="103"/>
      <c r="L74" s="103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9.5" customHeight="1">
      <c r="A75" s="74"/>
      <c r="B75" s="74"/>
      <c r="C75" s="74"/>
      <c r="D75" s="101"/>
      <c r="E75" s="74"/>
      <c r="F75" s="74"/>
      <c r="G75" s="74"/>
      <c r="H75" s="74"/>
      <c r="I75" s="74"/>
      <c r="J75" s="102"/>
      <c r="K75" s="103"/>
      <c r="L75" s="103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9.5" customHeight="1">
      <c r="A76" s="74"/>
      <c r="B76" s="74"/>
      <c r="C76" s="74"/>
      <c r="D76" s="101"/>
      <c r="E76" s="74"/>
      <c r="F76" s="74"/>
      <c r="G76" s="74"/>
      <c r="H76" s="74"/>
      <c r="I76" s="74"/>
      <c r="J76" s="102"/>
      <c r="K76" s="103"/>
      <c r="L76" s="103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9.5" customHeight="1">
      <c r="A77" s="74"/>
      <c r="B77" s="74"/>
      <c r="C77" s="74"/>
      <c r="D77" s="101"/>
      <c r="E77" s="74"/>
      <c r="F77" s="74"/>
      <c r="G77" s="74"/>
      <c r="H77" s="74"/>
      <c r="I77" s="74"/>
      <c r="J77" s="102"/>
      <c r="K77" s="103"/>
      <c r="L77" s="103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9.5" customHeight="1">
      <c r="A78" s="74"/>
      <c r="B78" s="74"/>
      <c r="C78" s="74"/>
      <c r="D78" s="101"/>
      <c r="E78" s="74"/>
      <c r="F78" s="74"/>
      <c r="G78" s="74"/>
      <c r="H78" s="74"/>
      <c r="I78" s="74"/>
      <c r="J78" s="102"/>
      <c r="K78" s="103"/>
      <c r="L78" s="103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9.5" customHeight="1">
      <c r="A79" s="74"/>
      <c r="B79" s="74"/>
      <c r="C79" s="74"/>
      <c r="D79" s="101"/>
      <c r="E79" s="74"/>
      <c r="F79" s="74"/>
      <c r="G79" s="74"/>
      <c r="H79" s="74"/>
      <c r="I79" s="74"/>
      <c r="J79" s="102"/>
      <c r="K79" s="103"/>
      <c r="L79" s="103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9.5" customHeight="1">
      <c r="A80" s="74"/>
      <c r="B80" s="74"/>
      <c r="C80" s="74"/>
      <c r="D80" s="101"/>
      <c r="E80" s="74"/>
      <c r="F80" s="74"/>
      <c r="G80" s="74"/>
      <c r="H80" s="74"/>
      <c r="I80" s="74"/>
      <c r="J80" s="102"/>
      <c r="K80" s="103"/>
      <c r="L80" s="103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9.5" customHeight="1">
      <c r="A81" s="74"/>
      <c r="B81" s="74"/>
      <c r="C81" s="74"/>
      <c r="D81" s="101"/>
      <c r="E81" s="74"/>
      <c r="F81" s="74"/>
      <c r="G81" s="74"/>
      <c r="H81" s="74"/>
      <c r="I81" s="74"/>
      <c r="J81" s="102"/>
      <c r="K81" s="103"/>
      <c r="L81" s="103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9.5" customHeight="1">
      <c r="A82" s="74"/>
      <c r="B82" s="74"/>
      <c r="C82" s="74"/>
      <c r="D82" s="101"/>
      <c r="E82" s="74"/>
      <c r="F82" s="74"/>
      <c r="G82" s="74"/>
      <c r="H82" s="74"/>
      <c r="I82" s="74"/>
      <c r="J82" s="102"/>
      <c r="K82" s="103"/>
      <c r="L82" s="103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9.5" customHeight="1">
      <c r="A83" s="74"/>
      <c r="B83" s="74"/>
      <c r="C83" s="74"/>
      <c r="D83" s="101"/>
      <c r="E83" s="74"/>
      <c r="F83" s="74"/>
      <c r="G83" s="74"/>
      <c r="H83" s="74"/>
      <c r="I83" s="74"/>
      <c r="J83" s="102"/>
      <c r="K83" s="103"/>
      <c r="L83" s="103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9.5" customHeight="1">
      <c r="A84" s="74"/>
      <c r="B84" s="74"/>
      <c r="C84" s="74"/>
      <c r="D84" s="101"/>
      <c r="E84" s="74"/>
      <c r="F84" s="74"/>
      <c r="G84" s="74"/>
      <c r="H84" s="74"/>
      <c r="I84" s="74"/>
      <c r="J84" s="102"/>
      <c r="K84" s="103"/>
      <c r="L84" s="103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9.5" customHeight="1">
      <c r="A85" s="74"/>
      <c r="B85" s="74"/>
      <c r="C85" s="74"/>
      <c r="D85" s="101"/>
      <c r="E85" s="74"/>
      <c r="F85" s="74"/>
      <c r="G85" s="74"/>
      <c r="H85" s="74"/>
      <c r="I85" s="74"/>
      <c r="J85" s="102"/>
      <c r="K85" s="103"/>
      <c r="L85" s="103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9.5" customHeight="1">
      <c r="A86" s="74"/>
      <c r="B86" s="74"/>
      <c r="C86" s="74"/>
      <c r="D86" s="101"/>
      <c r="E86" s="74"/>
      <c r="F86" s="74"/>
      <c r="G86" s="74"/>
      <c r="H86" s="74"/>
      <c r="I86" s="74"/>
      <c r="J86" s="102"/>
      <c r="K86" s="103"/>
      <c r="L86" s="103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9.5" customHeight="1">
      <c r="A87" s="74"/>
      <c r="B87" s="74"/>
      <c r="C87" s="74"/>
      <c r="D87" s="101"/>
      <c r="E87" s="74"/>
      <c r="F87" s="74"/>
      <c r="G87" s="74"/>
      <c r="H87" s="74"/>
      <c r="I87" s="74"/>
      <c r="J87" s="102"/>
      <c r="K87" s="103"/>
      <c r="L87" s="103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9.5" customHeight="1">
      <c r="A88" s="74"/>
      <c r="B88" s="74"/>
      <c r="C88" s="74"/>
      <c r="D88" s="101"/>
      <c r="E88" s="74"/>
      <c r="F88" s="74"/>
      <c r="G88" s="74"/>
      <c r="H88" s="74"/>
      <c r="I88" s="74"/>
      <c r="J88" s="102"/>
      <c r="K88" s="103"/>
      <c r="L88" s="103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9.5" customHeight="1">
      <c r="A89" s="74"/>
      <c r="B89" s="74"/>
      <c r="C89" s="74"/>
      <c r="D89" s="101"/>
      <c r="E89" s="74"/>
      <c r="F89" s="74"/>
      <c r="G89" s="74"/>
      <c r="H89" s="74"/>
      <c r="I89" s="74"/>
      <c r="J89" s="102"/>
      <c r="K89" s="103"/>
      <c r="L89" s="103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9.5" customHeight="1">
      <c r="A90" s="74"/>
      <c r="B90" s="74"/>
      <c r="C90" s="74"/>
      <c r="D90" s="101"/>
      <c r="E90" s="74"/>
      <c r="F90" s="74"/>
      <c r="G90" s="74"/>
      <c r="H90" s="74"/>
      <c r="I90" s="74"/>
      <c r="J90" s="102"/>
      <c r="K90" s="103"/>
      <c r="L90" s="103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9.5" customHeight="1">
      <c r="A91" s="74"/>
      <c r="B91" s="74"/>
      <c r="C91" s="74"/>
      <c r="D91" s="101"/>
      <c r="E91" s="74"/>
      <c r="F91" s="74"/>
      <c r="G91" s="74"/>
      <c r="H91" s="74"/>
      <c r="I91" s="74"/>
      <c r="J91" s="102"/>
      <c r="K91" s="103"/>
      <c r="L91" s="103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9.5" customHeight="1">
      <c r="A92" s="74"/>
      <c r="B92" s="74"/>
      <c r="C92" s="74"/>
      <c r="D92" s="101"/>
      <c r="E92" s="74"/>
      <c r="F92" s="74"/>
      <c r="G92" s="74"/>
      <c r="H92" s="74"/>
      <c r="I92" s="74"/>
      <c r="J92" s="102"/>
      <c r="K92" s="103"/>
      <c r="L92" s="103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9.5" customHeight="1">
      <c r="A93" s="74"/>
      <c r="B93" s="74"/>
      <c r="C93" s="74"/>
      <c r="D93" s="101"/>
      <c r="E93" s="74"/>
      <c r="F93" s="74"/>
      <c r="G93" s="74"/>
      <c r="H93" s="74"/>
      <c r="I93" s="74"/>
      <c r="J93" s="102"/>
      <c r="K93" s="103"/>
      <c r="L93" s="103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9.5" customHeight="1">
      <c r="A94" s="74"/>
      <c r="B94" s="74"/>
      <c r="C94" s="74"/>
      <c r="D94" s="101"/>
      <c r="E94" s="74"/>
      <c r="F94" s="74"/>
      <c r="G94" s="74"/>
      <c r="H94" s="74"/>
      <c r="I94" s="74"/>
      <c r="J94" s="102"/>
      <c r="K94" s="103"/>
      <c r="L94" s="103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9.5" customHeight="1">
      <c r="A95" s="74"/>
      <c r="B95" s="74"/>
      <c r="C95" s="74"/>
      <c r="D95" s="101"/>
      <c r="E95" s="74"/>
      <c r="F95" s="74"/>
      <c r="G95" s="74"/>
      <c r="H95" s="74"/>
      <c r="I95" s="74"/>
      <c r="J95" s="102"/>
      <c r="K95" s="103"/>
      <c r="L95" s="103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9.5" customHeight="1">
      <c r="A96" s="74"/>
      <c r="B96" s="74"/>
      <c r="C96" s="74"/>
      <c r="D96" s="101"/>
      <c r="E96" s="74"/>
      <c r="F96" s="74"/>
      <c r="G96" s="74"/>
      <c r="H96" s="74"/>
      <c r="I96" s="74"/>
      <c r="J96" s="102"/>
      <c r="K96" s="103"/>
      <c r="L96" s="103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9.5" customHeight="1">
      <c r="A97" s="74"/>
      <c r="B97" s="74"/>
      <c r="C97" s="74"/>
      <c r="D97" s="101"/>
      <c r="E97" s="74"/>
      <c r="F97" s="74"/>
      <c r="G97" s="74"/>
      <c r="H97" s="74"/>
      <c r="I97" s="74"/>
      <c r="J97" s="102"/>
      <c r="K97" s="103"/>
      <c r="L97" s="103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9.5" customHeight="1">
      <c r="A98" s="74"/>
      <c r="B98" s="74"/>
      <c r="C98" s="74"/>
      <c r="D98" s="101"/>
      <c r="E98" s="74"/>
      <c r="F98" s="74"/>
      <c r="G98" s="74"/>
      <c r="H98" s="74"/>
      <c r="I98" s="74"/>
      <c r="J98" s="102"/>
      <c r="K98" s="103"/>
      <c r="L98" s="103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9.5" customHeight="1">
      <c r="A99" s="74"/>
      <c r="B99" s="74"/>
      <c r="C99" s="74"/>
      <c r="D99" s="101"/>
      <c r="E99" s="74"/>
      <c r="F99" s="74"/>
      <c r="G99" s="74"/>
      <c r="H99" s="74"/>
      <c r="I99" s="74"/>
      <c r="J99" s="102"/>
      <c r="K99" s="103"/>
      <c r="L99" s="103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9.5" customHeight="1">
      <c r="A100" s="74"/>
      <c r="B100" s="74"/>
      <c r="C100" s="74"/>
      <c r="D100" s="101"/>
      <c r="E100" s="74"/>
      <c r="F100" s="74"/>
      <c r="G100" s="74"/>
      <c r="H100" s="74"/>
      <c r="I100" s="74"/>
      <c r="J100" s="102"/>
      <c r="K100" s="103"/>
      <c r="L100" s="103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9.5" customHeight="1">
      <c r="A101" s="74"/>
      <c r="B101" s="74"/>
      <c r="C101" s="74"/>
      <c r="D101" s="101"/>
      <c r="E101" s="74"/>
      <c r="F101" s="74"/>
      <c r="G101" s="74"/>
      <c r="H101" s="74"/>
      <c r="I101" s="74"/>
      <c r="J101" s="102"/>
      <c r="K101" s="103"/>
      <c r="L101" s="103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9.5" customHeight="1">
      <c r="A102" s="74"/>
      <c r="B102" s="74"/>
      <c r="C102" s="74"/>
      <c r="D102" s="101"/>
      <c r="E102" s="74"/>
      <c r="F102" s="74"/>
      <c r="G102" s="74"/>
      <c r="H102" s="74"/>
      <c r="I102" s="74"/>
      <c r="J102" s="102"/>
      <c r="K102" s="103"/>
      <c r="L102" s="103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9.5" customHeight="1">
      <c r="A103" s="74"/>
      <c r="B103" s="74"/>
      <c r="C103" s="74"/>
      <c r="D103" s="101"/>
      <c r="E103" s="74"/>
      <c r="F103" s="74"/>
      <c r="G103" s="74"/>
      <c r="H103" s="74"/>
      <c r="I103" s="74"/>
      <c r="J103" s="102"/>
      <c r="K103" s="103"/>
      <c r="L103" s="103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9.5" customHeight="1">
      <c r="A104" s="74"/>
      <c r="B104" s="74"/>
      <c r="C104" s="74"/>
      <c r="D104" s="101"/>
      <c r="E104" s="74"/>
      <c r="F104" s="74"/>
      <c r="G104" s="74"/>
      <c r="H104" s="74"/>
      <c r="I104" s="74"/>
      <c r="J104" s="102"/>
      <c r="K104" s="103"/>
      <c r="L104" s="103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9.5" customHeight="1">
      <c r="A105" s="74"/>
      <c r="B105" s="74"/>
      <c r="C105" s="74"/>
      <c r="D105" s="101"/>
      <c r="E105" s="74"/>
      <c r="F105" s="74"/>
      <c r="G105" s="74"/>
      <c r="H105" s="74"/>
      <c r="I105" s="74"/>
      <c r="J105" s="102"/>
      <c r="K105" s="103"/>
      <c r="L105" s="103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9.5" customHeight="1">
      <c r="A106" s="74"/>
      <c r="B106" s="74"/>
      <c r="C106" s="74"/>
      <c r="D106" s="101"/>
      <c r="E106" s="74"/>
      <c r="F106" s="74"/>
      <c r="G106" s="74"/>
      <c r="H106" s="74"/>
      <c r="I106" s="74"/>
      <c r="J106" s="102"/>
      <c r="K106" s="103"/>
      <c r="L106" s="103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9.5" customHeight="1">
      <c r="A107" s="74"/>
      <c r="B107" s="74"/>
      <c r="C107" s="74"/>
      <c r="D107" s="101"/>
      <c r="E107" s="74"/>
      <c r="F107" s="74"/>
      <c r="G107" s="74"/>
      <c r="H107" s="74"/>
      <c r="I107" s="74"/>
      <c r="J107" s="102"/>
      <c r="K107" s="103"/>
      <c r="L107" s="103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9.5" customHeight="1">
      <c r="A108" s="74"/>
      <c r="B108" s="74"/>
      <c r="C108" s="74"/>
      <c r="D108" s="101"/>
      <c r="E108" s="74"/>
      <c r="F108" s="74"/>
      <c r="G108" s="74"/>
      <c r="H108" s="74"/>
      <c r="I108" s="74"/>
      <c r="J108" s="102"/>
      <c r="K108" s="103"/>
      <c r="L108" s="103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9.5" customHeight="1">
      <c r="A109" s="74"/>
      <c r="B109" s="74"/>
      <c r="C109" s="74"/>
      <c r="D109" s="101"/>
      <c r="E109" s="74"/>
      <c r="F109" s="74"/>
      <c r="G109" s="74"/>
      <c r="H109" s="74"/>
      <c r="I109" s="74"/>
      <c r="J109" s="102"/>
      <c r="K109" s="103"/>
      <c r="L109" s="103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9.5" customHeight="1">
      <c r="A110" s="74"/>
      <c r="B110" s="74"/>
      <c r="C110" s="74"/>
      <c r="D110" s="101"/>
      <c r="E110" s="74"/>
      <c r="F110" s="74"/>
      <c r="G110" s="74"/>
      <c r="H110" s="74"/>
      <c r="I110" s="74"/>
      <c r="J110" s="102"/>
      <c r="K110" s="103"/>
      <c r="L110" s="103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9.5" customHeight="1">
      <c r="A111" s="74"/>
      <c r="B111" s="74"/>
      <c r="C111" s="74"/>
      <c r="D111" s="101"/>
      <c r="E111" s="74"/>
      <c r="F111" s="74"/>
      <c r="G111" s="74"/>
      <c r="H111" s="74"/>
      <c r="I111" s="74"/>
      <c r="J111" s="102"/>
      <c r="K111" s="103"/>
      <c r="L111" s="103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9.5" customHeight="1">
      <c r="A112" s="74"/>
      <c r="B112" s="74"/>
      <c r="C112" s="74"/>
      <c r="D112" s="101"/>
      <c r="E112" s="74"/>
      <c r="F112" s="74"/>
      <c r="G112" s="74"/>
      <c r="H112" s="74"/>
      <c r="I112" s="74"/>
      <c r="J112" s="102"/>
      <c r="K112" s="103"/>
      <c r="L112" s="103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9.5" customHeight="1">
      <c r="A113" s="74"/>
      <c r="B113" s="74"/>
      <c r="C113" s="74"/>
      <c r="D113" s="101"/>
      <c r="E113" s="74"/>
      <c r="F113" s="74"/>
      <c r="G113" s="74"/>
      <c r="H113" s="74"/>
      <c r="I113" s="74"/>
      <c r="J113" s="102"/>
      <c r="K113" s="103"/>
      <c r="L113" s="103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9.5" customHeight="1">
      <c r="A114" s="74"/>
      <c r="B114" s="74"/>
      <c r="C114" s="74"/>
      <c r="D114" s="101"/>
      <c r="E114" s="74"/>
      <c r="F114" s="74"/>
      <c r="G114" s="74"/>
      <c r="H114" s="74"/>
      <c r="I114" s="74"/>
      <c r="J114" s="102"/>
      <c r="K114" s="103"/>
      <c r="L114" s="103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9.5" customHeight="1">
      <c r="A115" s="74"/>
      <c r="B115" s="74"/>
      <c r="C115" s="74"/>
      <c r="D115" s="101"/>
      <c r="E115" s="74"/>
      <c r="F115" s="74"/>
      <c r="G115" s="74"/>
      <c r="H115" s="74"/>
      <c r="I115" s="74"/>
      <c r="J115" s="102"/>
      <c r="K115" s="103"/>
      <c r="L115" s="103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9.5" customHeight="1">
      <c r="A116" s="74"/>
      <c r="B116" s="74"/>
      <c r="C116" s="74"/>
      <c r="D116" s="101"/>
      <c r="E116" s="74"/>
      <c r="F116" s="74"/>
      <c r="G116" s="74"/>
      <c r="H116" s="74"/>
      <c r="I116" s="74"/>
      <c r="J116" s="102"/>
      <c r="K116" s="103"/>
      <c r="L116" s="103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9.5" customHeight="1">
      <c r="A117" s="74"/>
      <c r="B117" s="74"/>
      <c r="C117" s="74"/>
      <c r="D117" s="101"/>
      <c r="E117" s="74"/>
      <c r="F117" s="74"/>
      <c r="G117" s="74"/>
      <c r="H117" s="74"/>
      <c r="I117" s="74"/>
      <c r="J117" s="102"/>
      <c r="K117" s="103"/>
      <c r="L117" s="103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9.5" customHeight="1">
      <c r="A118" s="74"/>
      <c r="B118" s="74"/>
      <c r="C118" s="74"/>
      <c r="D118" s="101"/>
      <c r="E118" s="74"/>
      <c r="F118" s="74"/>
      <c r="G118" s="74"/>
      <c r="H118" s="74"/>
      <c r="I118" s="74"/>
      <c r="J118" s="102"/>
      <c r="K118" s="103"/>
      <c r="L118" s="103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9.5" customHeight="1">
      <c r="A119" s="74"/>
      <c r="B119" s="74"/>
      <c r="C119" s="74"/>
      <c r="D119" s="101"/>
      <c r="E119" s="74"/>
      <c r="F119" s="74"/>
      <c r="G119" s="74"/>
      <c r="H119" s="74"/>
      <c r="I119" s="74"/>
      <c r="J119" s="102"/>
      <c r="K119" s="103"/>
      <c r="L119" s="103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9.5" customHeight="1">
      <c r="A120" s="74"/>
      <c r="B120" s="74"/>
      <c r="C120" s="74"/>
      <c r="D120" s="101"/>
      <c r="E120" s="74"/>
      <c r="F120" s="74"/>
      <c r="G120" s="74"/>
      <c r="H120" s="74"/>
      <c r="I120" s="74"/>
      <c r="J120" s="102"/>
      <c r="K120" s="103"/>
      <c r="L120" s="103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9.5" customHeight="1">
      <c r="A121" s="74"/>
      <c r="B121" s="74"/>
      <c r="C121" s="74"/>
      <c r="D121" s="101"/>
      <c r="E121" s="74"/>
      <c r="F121" s="74"/>
      <c r="G121" s="74"/>
      <c r="H121" s="74"/>
      <c r="I121" s="74"/>
      <c r="J121" s="102"/>
      <c r="K121" s="103"/>
      <c r="L121" s="103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9.5" customHeight="1">
      <c r="A122" s="74"/>
      <c r="B122" s="74"/>
      <c r="C122" s="74"/>
      <c r="D122" s="101"/>
      <c r="E122" s="74"/>
      <c r="F122" s="74"/>
      <c r="G122" s="74"/>
      <c r="H122" s="74"/>
      <c r="I122" s="74"/>
      <c r="J122" s="102"/>
      <c r="K122" s="103"/>
      <c r="L122" s="103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9.5" customHeight="1">
      <c r="A123" s="74"/>
      <c r="B123" s="74"/>
      <c r="C123" s="74"/>
      <c r="D123" s="101"/>
      <c r="E123" s="74"/>
      <c r="F123" s="74"/>
      <c r="G123" s="74"/>
      <c r="H123" s="74"/>
      <c r="I123" s="74"/>
      <c r="J123" s="102"/>
      <c r="K123" s="103"/>
      <c r="L123" s="103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9.5" customHeight="1">
      <c r="A124" s="74"/>
      <c r="B124" s="74"/>
      <c r="C124" s="74"/>
      <c r="D124" s="101"/>
      <c r="E124" s="74"/>
      <c r="F124" s="74"/>
      <c r="G124" s="74"/>
      <c r="H124" s="74"/>
      <c r="I124" s="74"/>
      <c r="J124" s="102"/>
      <c r="K124" s="103"/>
      <c r="L124" s="103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9.5" customHeight="1">
      <c r="A125" s="74"/>
      <c r="B125" s="74"/>
      <c r="C125" s="74"/>
      <c r="D125" s="101"/>
      <c r="E125" s="74"/>
      <c r="F125" s="74"/>
      <c r="G125" s="74"/>
      <c r="H125" s="74"/>
      <c r="I125" s="74"/>
      <c r="J125" s="102"/>
      <c r="K125" s="103"/>
      <c r="L125" s="103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9.5" customHeight="1">
      <c r="A126" s="74"/>
      <c r="B126" s="74"/>
      <c r="C126" s="74"/>
      <c r="D126" s="101"/>
      <c r="E126" s="74"/>
      <c r="F126" s="74"/>
      <c r="G126" s="74"/>
      <c r="H126" s="74"/>
      <c r="I126" s="74"/>
      <c r="J126" s="102"/>
      <c r="K126" s="103"/>
      <c r="L126" s="103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9.5" customHeight="1">
      <c r="A127" s="74"/>
      <c r="B127" s="74"/>
      <c r="C127" s="74"/>
      <c r="D127" s="101"/>
      <c r="E127" s="74"/>
      <c r="F127" s="74"/>
      <c r="G127" s="74"/>
      <c r="H127" s="74"/>
      <c r="I127" s="74"/>
      <c r="J127" s="102"/>
      <c r="K127" s="103"/>
      <c r="L127" s="103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9.5" customHeight="1">
      <c r="A128" s="74"/>
      <c r="B128" s="74"/>
      <c r="C128" s="74"/>
      <c r="D128" s="101"/>
      <c r="E128" s="74"/>
      <c r="F128" s="74"/>
      <c r="G128" s="74"/>
      <c r="H128" s="74"/>
      <c r="I128" s="74"/>
      <c r="J128" s="102"/>
      <c r="K128" s="103"/>
      <c r="L128" s="103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9.5" customHeight="1">
      <c r="A129" s="74"/>
      <c r="B129" s="74"/>
      <c r="C129" s="74"/>
      <c r="D129" s="101"/>
      <c r="E129" s="74"/>
      <c r="F129" s="74"/>
      <c r="G129" s="74"/>
      <c r="H129" s="74"/>
      <c r="I129" s="74"/>
      <c r="J129" s="102"/>
      <c r="K129" s="103"/>
      <c r="L129" s="103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9.5" customHeight="1">
      <c r="A130" s="74"/>
      <c r="B130" s="74"/>
      <c r="C130" s="74"/>
      <c r="D130" s="101"/>
      <c r="E130" s="74"/>
      <c r="F130" s="74"/>
      <c r="G130" s="74"/>
      <c r="H130" s="74"/>
      <c r="I130" s="74"/>
      <c r="J130" s="102"/>
      <c r="K130" s="103"/>
      <c r="L130" s="103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9.5" customHeight="1">
      <c r="A131" s="74"/>
      <c r="B131" s="74"/>
      <c r="C131" s="74"/>
      <c r="D131" s="101"/>
      <c r="E131" s="74"/>
      <c r="F131" s="74"/>
      <c r="G131" s="74"/>
      <c r="H131" s="74"/>
      <c r="I131" s="74"/>
      <c r="J131" s="102"/>
      <c r="K131" s="103"/>
      <c r="L131" s="103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9.5" customHeight="1">
      <c r="A132" s="74"/>
      <c r="B132" s="74"/>
      <c r="C132" s="74"/>
      <c r="D132" s="101"/>
      <c r="E132" s="74"/>
      <c r="F132" s="74"/>
      <c r="G132" s="74"/>
      <c r="H132" s="74"/>
      <c r="I132" s="74"/>
      <c r="J132" s="102"/>
      <c r="K132" s="103"/>
      <c r="L132" s="103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9.5" customHeight="1">
      <c r="A133" s="74"/>
      <c r="B133" s="74"/>
      <c r="C133" s="74"/>
      <c r="D133" s="101"/>
      <c r="E133" s="74"/>
      <c r="F133" s="74"/>
      <c r="G133" s="74"/>
      <c r="H133" s="74"/>
      <c r="I133" s="74"/>
      <c r="J133" s="102"/>
      <c r="K133" s="103"/>
      <c r="L133" s="103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9.5" customHeight="1">
      <c r="A134" s="74"/>
      <c r="B134" s="74"/>
      <c r="C134" s="74"/>
      <c r="D134" s="101"/>
      <c r="E134" s="74"/>
      <c r="F134" s="74"/>
      <c r="G134" s="74"/>
      <c r="H134" s="74"/>
      <c r="I134" s="74"/>
      <c r="J134" s="102"/>
      <c r="K134" s="103"/>
      <c r="L134" s="103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9.5" customHeight="1">
      <c r="A135" s="74"/>
      <c r="B135" s="74"/>
      <c r="C135" s="74"/>
      <c r="D135" s="101"/>
      <c r="E135" s="74"/>
      <c r="F135" s="74"/>
      <c r="G135" s="74"/>
      <c r="H135" s="74"/>
      <c r="I135" s="74"/>
      <c r="J135" s="102"/>
      <c r="K135" s="103"/>
      <c r="L135" s="103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9.5" customHeight="1">
      <c r="A136" s="74"/>
      <c r="B136" s="74"/>
      <c r="C136" s="74"/>
      <c r="D136" s="101"/>
      <c r="E136" s="74"/>
      <c r="F136" s="74"/>
      <c r="G136" s="74"/>
      <c r="H136" s="74"/>
      <c r="I136" s="74"/>
      <c r="J136" s="102"/>
      <c r="K136" s="103"/>
      <c r="L136" s="103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9.5" customHeight="1">
      <c r="A137" s="74"/>
      <c r="B137" s="74"/>
      <c r="C137" s="74"/>
      <c r="D137" s="101"/>
      <c r="E137" s="74"/>
      <c r="F137" s="74"/>
      <c r="G137" s="74"/>
      <c r="H137" s="74"/>
      <c r="I137" s="74"/>
      <c r="J137" s="102"/>
      <c r="K137" s="103"/>
      <c r="L137" s="103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9.5" customHeight="1">
      <c r="A138" s="74"/>
      <c r="B138" s="74"/>
      <c r="C138" s="74"/>
      <c r="D138" s="101"/>
      <c r="E138" s="74"/>
      <c r="F138" s="74"/>
      <c r="G138" s="74"/>
      <c r="H138" s="74"/>
      <c r="I138" s="74"/>
      <c r="J138" s="102"/>
      <c r="K138" s="103"/>
      <c r="L138" s="103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9.5" customHeight="1">
      <c r="A139" s="74"/>
      <c r="B139" s="74"/>
      <c r="C139" s="74"/>
      <c r="D139" s="101"/>
      <c r="E139" s="74"/>
      <c r="F139" s="74"/>
      <c r="G139" s="74"/>
      <c r="H139" s="74"/>
      <c r="I139" s="74"/>
      <c r="J139" s="102"/>
      <c r="K139" s="103"/>
      <c r="L139" s="103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9.5" customHeight="1">
      <c r="A140" s="74"/>
      <c r="B140" s="74"/>
      <c r="C140" s="74"/>
      <c r="D140" s="101"/>
      <c r="E140" s="74"/>
      <c r="F140" s="74"/>
      <c r="G140" s="74"/>
      <c r="H140" s="74"/>
      <c r="I140" s="74"/>
      <c r="J140" s="102"/>
      <c r="K140" s="103"/>
      <c r="L140" s="103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9.5" customHeight="1">
      <c r="A141" s="74"/>
      <c r="B141" s="74"/>
      <c r="C141" s="74"/>
      <c r="D141" s="101"/>
      <c r="E141" s="74"/>
      <c r="F141" s="74"/>
      <c r="G141" s="74"/>
      <c r="H141" s="74"/>
      <c r="I141" s="74"/>
      <c r="J141" s="102"/>
      <c r="K141" s="103"/>
      <c r="L141" s="103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9.5" customHeight="1">
      <c r="A142" s="74"/>
      <c r="B142" s="74"/>
      <c r="C142" s="74"/>
      <c r="D142" s="101"/>
      <c r="E142" s="74"/>
      <c r="F142" s="74"/>
      <c r="G142" s="74"/>
      <c r="H142" s="74"/>
      <c r="I142" s="74"/>
      <c r="J142" s="102"/>
      <c r="K142" s="103"/>
      <c r="L142" s="103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9.5" customHeight="1">
      <c r="A143" s="74"/>
      <c r="B143" s="74"/>
      <c r="C143" s="74"/>
      <c r="D143" s="101"/>
      <c r="E143" s="74"/>
      <c r="F143" s="74"/>
      <c r="G143" s="74"/>
      <c r="H143" s="74"/>
      <c r="I143" s="74"/>
      <c r="J143" s="102"/>
      <c r="K143" s="103"/>
      <c r="L143" s="103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9.5" customHeight="1">
      <c r="A144" s="74"/>
      <c r="B144" s="74"/>
      <c r="C144" s="74"/>
      <c r="D144" s="101"/>
      <c r="E144" s="74"/>
      <c r="F144" s="74"/>
      <c r="G144" s="74"/>
      <c r="H144" s="74"/>
      <c r="I144" s="74"/>
      <c r="J144" s="102"/>
      <c r="K144" s="103"/>
      <c r="L144" s="103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9.5" customHeight="1">
      <c r="A145" s="74"/>
      <c r="B145" s="74"/>
      <c r="C145" s="74"/>
      <c r="D145" s="101"/>
      <c r="E145" s="74"/>
      <c r="F145" s="74"/>
      <c r="G145" s="74"/>
      <c r="H145" s="74"/>
      <c r="I145" s="74"/>
      <c r="J145" s="102"/>
      <c r="K145" s="103"/>
      <c r="L145" s="103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9.5" customHeight="1">
      <c r="A146" s="74"/>
      <c r="B146" s="74"/>
      <c r="C146" s="74"/>
      <c r="D146" s="101"/>
      <c r="E146" s="74"/>
      <c r="F146" s="74"/>
      <c r="G146" s="74"/>
      <c r="H146" s="74"/>
      <c r="I146" s="74"/>
      <c r="J146" s="102"/>
      <c r="K146" s="103"/>
      <c r="L146" s="103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9.5" customHeight="1">
      <c r="A147" s="74"/>
      <c r="B147" s="74"/>
      <c r="C147" s="74"/>
      <c r="D147" s="101"/>
      <c r="E147" s="74"/>
      <c r="F147" s="74"/>
      <c r="G147" s="74"/>
      <c r="H147" s="74"/>
      <c r="I147" s="74"/>
      <c r="J147" s="102"/>
      <c r="K147" s="103"/>
      <c r="L147" s="103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9.5" customHeight="1">
      <c r="A148" s="74"/>
      <c r="B148" s="74"/>
      <c r="C148" s="74"/>
      <c r="D148" s="101"/>
      <c r="E148" s="74"/>
      <c r="F148" s="74"/>
      <c r="G148" s="74"/>
      <c r="H148" s="74"/>
      <c r="I148" s="74"/>
      <c r="J148" s="102"/>
      <c r="K148" s="103"/>
      <c r="L148" s="103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9.5" customHeight="1">
      <c r="A149" s="74"/>
      <c r="B149" s="74"/>
      <c r="C149" s="74"/>
      <c r="D149" s="101"/>
      <c r="E149" s="74"/>
      <c r="F149" s="74"/>
      <c r="G149" s="74"/>
      <c r="H149" s="74"/>
      <c r="I149" s="74"/>
      <c r="J149" s="102"/>
      <c r="K149" s="103"/>
      <c r="L149" s="103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9.5" customHeight="1">
      <c r="A150" s="74"/>
      <c r="B150" s="74"/>
      <c r="C150" s="74"/>
      <c r="D150" s="101"/>
      <c r="E150" s="74"/>
      <c r="F150" s="74"/>
      <c r="G150" s="74"/>
      <c r="H150" s="74"/>
      <c r="I150" s="74"/>
      <c r="J150" s="102"/>
      <c r="K150" s="103"/>
      <c r="L150" s="103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9.5" customHeight="1">
      <c r="A151" s="74"/>
      <c r="B151" s="74"/>
      <c r="C151" s="74"/>
      <c r="D151" s="101"/>
      <c r="E151" s="74"/>
      <c r="F151" s="74"/>
      <c r="G151" s="74"/>
      <c r="H151" s="74"/>
      <c r="I151" s="74"/>
      <c r="J151" s="102"/>
      <c r="K151" s="103"/>
      <c r="L151" s="103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9.5" customHeight="1">
      <c r="A152" s="74"/>
      <c r="B152" s="74"/>
      <c r="C152" s="74"/>
      <c r="D152" s="101"/>
      <c r="E152" s="74"/>
      <c r="F152" s="74"/>
      <c r="G152" s="74"/>
      <c r="H152" s="74"/>
      <c r="I152" s="74"/>
      <c r="J152" s="102"/>
      <c r="K152" s="103"/>
      <c r="L152" s="103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9.5" customHeight="1">
      <c r="A153" s="74"/>
      <c r="B153" s="74"/>
      <c r="C153" s="74"/>
      <c r="D153" s="101"/>
      <c r="E153" s="74"/>
      <c r="F153" s="74"/>
      <c r="G153" s="74"/>
      <c r="H153" s="74"/>
      <c r="I153" s="74"/>
      <c r="J153" s="102"/>
      <c r="K153" s="103"/>
      <c r="L153" s="103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9.5" customHeight="1">
      <c r="A154" s="74"/>
      <c r="B154" s="74"/>
      <c r="C154" s="74"/>
      <c r="D154" s="101"/>
      <c r="E154" s="74"/>
      <c r="F154" s="74"/>
      <c r="G154" s="74"/>
      <c r="H154" s="74"/>
      <c r="I154" s="74"/>
      <c r="J154" s="102"/>
      <c r="K154" s="103"/>
      <c r="L154" s="103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9.5" customHeight="1">
      <c r="A155" s="74"/>
      <c r="B155" s="74"/>
      <c r="C155" s="74"/>
      <c r="D155" s="101"/>
      <c r="E155" s="74"/>
      <c r="F155" s="74"/>
      <c r="G155" s="74"/>
      <c r="H155" s="74"/>
      <c r="I155" s="74"/>
      <c r="J155" s="102"/>
      <c r="K155" s="103"/>
      <c r="L155" s="103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9.5" customHeight="1">
      <c r="A156" s="74"/>
      <c r="B156" s="74"/>
      <c r="C156" s="74"/>
      <c r="D156" s="101"/>
      <c r="E156" s="74"/>
      <c r="F156" s="74"/>
      <c r="G156" s="74"/>
      <c r="H156" s="74"/>
      <c r="I156" s="74"/>
      <c r="J156" s="102"/>
      <c r="K156" s="103"/>
      <c r="L156" s="103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9.5" customHeight="1">
      <c r="A157" s="74"/>
      <c r="B157" s="74"/>
      <c r="C157" s="74"/>
      <c r="D157" s="101"/>
      <c r="E157" s="74"/>
      <c r="F157" s="74"/>
      <c r="G157" s="74"/>
      <c r="H157" s="74"/>
      <c r="I157" s="74"/>
      <c r="J157" s="102"/>
      <c r="K157" s="103"/>
      <c r="L157" s="103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9.5" customHeight="1">
      <c r="A158" s="74"/>
      <c r="B158" s="74"/>
      <c r="C158" s="74"/>
      <c r="D158" s="101"/>
      <c r="E158" s="74"/>
      <c r="F158" s="74"/>
      <c r="G158" s="74"/>
      <c r="H158" s="74"/>
      <c r="I158" s="74"/>
      <c r="J158" s="102"/>
      <c r="K158" s="103"/>
      <c r="L158" s="103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9.5" customHeight="1">
      <c r="A159" s="74"/>
      <c r="B159" s="74"/>
      <c r="C159" s="74"/>
      <c r="D159" s="101"/>
      <c r="E159" s="74"/>
      <c r="F159" s="74"/>
      <c r="G159" s="74"/>
      <c r="H159" s="74"/>
      <c r="I159" s="74"/>
      <c r="J159" s="102"/>
      <c r="K159" s="103"/>
      <c r="L159" s="103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9.5" customHeight="1">
      <c r="A160" s="74"/>
      <c r="B160" s="74"/>
      <c r="C160" s="74"/>
      <c r="D160" s="101"/>
      <c r="E160" s="74"/>
      <c r="F160" s="74"/>
      <c r="G160" s="74"/>
      <c r="H160" s="74"/>
      <c r="I160" s="74"/>
      <c r="J160" s="102"/>
      <c r="K160" s="103"/>
      <c r="L160" s="103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9.5" customHeight="1">
      <c r="A161" s="74"/>
      <c r="B161" s="74"/>
      <c r="C161" s="74"/>
      <c r="D161" s="101"/>
      <c r="E161" s="74"/>
      <c r="F161" s="74"/>
      <c r="G161" s="74"/>
      <c r="H161" s="74"/>
      <c r="I161" s="74"/>
      <c r="J161" s="102"/>
      <c r="K161" s="103"/>
      <c r="L161" s="103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9.5" customHeight="1">
      <c r="A162" s="74"/>
      <c r="B162" s="74"/>
      <c r="C162" s="74"/>
      <c r="D162" s="101"/>
      <c r="E162" s="74"/>
      <c r="F162" s="74"/>
      <c r="G162" s="74"/>
      <c r="H162" s="74"/>
      <c r="I162" s="74"/>
      <c r="J162" s="102"/>
      <c r="K162" s="103"/>
      <c r="L162" s="103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9.5" customHeight="1">
      <c r="A163" s="74"/>
      <c r="B163" s="74"/>
      <c r="C163" s="74"/>
      <c r="D163" s="101"/>
      <c r="E163" s="74"/>
      <c r="F163" s="74"/>
      <c r="G163" s="74"/>
      <c r="H163" s="74"/>
      <c r="I163" s="74"/>
      <c r="J163" s="102"/>
      <c r="K163" s="103"/>
      <c r="L163" s="103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9.5" customHeight="1">
      <c r="A164" s="74"/>
      <c r="B164" s="74"/>
      <c r="C164" s="74"/>
      <c r="D164" s="101"/>
      <c r="E164" s="74"/>
      <c r="F164" s="74"/>
      <c r="G164" s="74"/>
      <c r="H164" s="74"/>
      <c r="I164" s="74"/>
      <c r="J164" s="102"/>
      <c r="K164" s="103"/>
      <c r="L164" s="103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9.5" customHeight="1">
      <c r="A165" s="74"/>
      <c r="B165" s="74"/>
      <c r="C165" s="74"/>
      <c r="D165" s="101"/>
      <c r="E165" s="74"/>
      <c r="F165" s="74"/>
      <c r="G165" s="74"/>
      <c r="H165" s="74"/>
      <c r="I165" s="74"/>
      <c r="J165" s="102"/>
      <c r="K165" s="103"/>
      <c r="L165" s="103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9.5" customHeight="1">
      <c r="A166" s="74"/>
      <c r="B166" s="74"/>
      <c r="C166" s="74"/>
      <c r="D166" s="101"/>
      <c r="E166" s="74"/>
      <c r="F166" s="74"/>
      <c r="G166" s="74"/>
      <c r="H166" s="74"/>
      <c r="I166" s="74"/>
      <c r="J166" s="102"/>
      <c r="K166" s="103"/>
      <c r="L166" s="103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9.5" customHeight="1">
      <c r="A167" s="74"/>
      <c r="B167" s="74"/>
      <c r="C167" s="74"/>
      <c r="D167" s="101"/>
      <c r="E167" s="74"/>
      <c r="F167" s="74"/>
      <c r="G167" s="74"/>
      <c r="H167" s="74"/>
      <c r="I167" s="74"/>
      <c r="J167" s="102"/>
      <c r="K167" s="103"/>
      <c r="L167" s="103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9.5" customHeight="1">
      <c r="A168" s="74"/>
      <c r="B168" s="74"/>
      <c r="C168" s="74"/>
      <c r="D168" s="101"/>
      <c r="E168" s="74"/>
      <c r="F168" s="74"/>
      <c r="G168" s="74"/>
      <c r="H168" s="74"/>
      <c r="I168" s="74"/>
      <c r="J168" s="102"/>
      <c r="K168" s="103"/>
      <c r="L168" s="103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9.5" customHeight="1">
      <c r="A169" s="74"/>
      <c r="B169" s="74"/>
      <c r="C169" s="74"/>
      <c r="D169" s="101"/>
      <c r="E169" s="74"/>
      <c r="F169" s="74"/>
      <c r="G169" s="74"/>
      <c r="H169" s="74"/>
      <c r="I169" s="74"/>
      <c r="J169" s="102"/>
      <c r="K169" s="103"/>
      <c r="L169" s="103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9.5" customHeight="1">
      <c r="A170" s="74"/>
      <c r="B170" s="74"/>
      <c r="C170" s="74"/>
      <c r="D170" s="101"/>
      <c r="E170" s="74"/>
      <c r="F170" s="74"/>
      <c r="G170" s="74"/>
      <c r="H170" s="74"/>
      <c r="I170" s="74"/>
      <c r="J170" s="102"/>
      <c r="K170" s="103"/>
      <c r="L170" s="103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9.5" customHeight="1">
      <c r="A171" s="74"/>
      <c r="B171" s="74"/>
      <c r="C171" s="74"/>
      <c r="D171" s="101"/>
      <c r="E171" s="74"/>
      <c r="F171" s="74"/>
      <c r="G171" s="74"/>
      <c r="H171" s="74"/>
      <c r="I171" s="74"/>
      <c r="J171" s="102"/>
      <c r="K171" s="103"/>
      <c r="L171" s="103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9.5" customHeight="1">
      <c r="A172" s="74"/>
      <c r="B172" s="74"/>
      <c r="C172" s="74"/>
      <c r="D172" s="101"/>
      <c r="E172" s="74"/>
      <c r="F172" s="74"/>
      <c r="G172" s="74"/>
      <c r="H172" s="74"/>
      <c r="I172" s="74"/>
      <c r="J172" s="102"/>
      <c r="K172" s="103"/>
      <c r="L172" s="103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9.5" customHeight="1">
      <c r="A173" s="74"/>
      <c r="B173" s="74"/>
      <c r="C173" s="74"/>
      <c r="D173" s="101"/>
      <c r="E173" s="74"/>
      <c r="F173" s="74"/>
      <c r="G173" s="74"/>
      <c r="H173" s="74"/>
      <c r="I173" s="74"/>
      <c r="J173" s="102"/>
      <c r="K173" s="103"/>
      <c r="L173" s="103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9.5" customHeight="1">
      <c r="A174" s="74"/>
      <c r="B174" s="74"/>
      <c r="C174" s="74"/>
      <c r="D174" s="101"/>
      <c r="E174" s="74"/>
      <c r="F174" s="74"/>
      <c r="G174" s="74"/>
      <c r="H174" s="74"/>
      <c r="I174" s="74"/>
      <c r="J174" s="102"/>
      <c r="K174" s="103"/>
      <c r="L174" s="103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9.5" customHeight="1">
      <c r="A175" s="74"/>
      <c r="B175" s="74"/>
      <c r="C175" s="74"/>
      <c r="D175" s="101"/>
      <c r="E175" s="74"/>
      <c r="F175" s="74"/>
      <c r="G175" s="74"/>
      <c r="H175" s="74"/>
      <c r="I175" s="74"/>
      <c r="J175" s="102"/>
      <c r="K175" s="103"/>
      <c r="L175" s="103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9.5" customHeight="1">
      <c r="A176" s="74"/>
      <c r="B176" s="74"/>
      <c r="C176" s="74"/>
      <c r="D176" s="101"/>
      <c r="E176" s="74"/>
      <c r="F176" s="74"/>
      <c r="G176" s="74"/>
      <c r="H176" s="74"/>
      <c r="I176" s="74"/>
      <c r="J176" s="102"/>
      <c r="K176" s="103"/>
      <c r="L176" s="103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9.5" customHeight="1">
      <c r="A177" s="74"/>
      <c r="B177" s="74"/>
      <c r="C177" s="74"/>
      <c r="D177" s="101"/>
      <c r="E177" s="74"/>
      <c r="F177" s="74"/>
      <c r="G177" s="74"/>
      <c r="H177" s="74"/>
      <c r="I177" s="74"/>
      <c r="J177" s="102"/>
      <c r="K177" s="103"/>
      <c r="L177" s="103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9.5" customHeight="1">
      <c r="A178" s="74"/>
      <c r="B178" s="74"/>
      <c r="C178" s="74"/>
      <c r="D178" s="101"/>
      <c r="E178" s="74"/>
      <c r="F178" s="74"/>
      <c r="G178" s="74"/>
      <c r="H178" s="74"/>
      <c r="I178" s="74"/>
      <c r="J178" s="102"/>
      <c r="K178" s="103"/>
      <c r="L178" s="103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9.5" customHeight="1">
      <c r="A179" s="74"/>
      <c r="B179" s="74"/>
      <c r="C179" s="74"/>
      <c r="D179" s="101"/>
      <c r="E179" s="74"/>
      <c r="F179" s="74"/>
      <c r="G179" s="74"/>
      <c r="H179" s="74"/>
      <c r="I179" s="74"/>
      <c r="J179" s="102"/>
      <c r="K179" s="103"/>
      <c r="L179" s="103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9.5" customHeight="1">
      <c r="A180" s="74"/>
      <c r="B180" s="74"/>
      <c r="C180" s="74"/>
      <c r="D180" s="101"/>
      <c r="E180" s="74"/>
      <c r="F180" s="74"/>
      <c r="G180" s="74"/>
      <c r="H180" s="74"/>
      <c r="I180" s="74"/>
      <c r="J180" s="102"/>
      <c r="K180" s="103"/>
      <c r="L180" s="103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9.5" customHeight="1">
      <c r="A181" s="74"/>
      <c r="B181" s="74"/>
      <c r="C181" s="74"/>
      <c r="D181" s="101"/>
      <c r="E181" s="74"/>
      <c r="F181" s="74"/>
      <c r="G181" s="74"/>
      <c r="H181" s="74"/>
      <c r="I181" s="74"/>
      <c r="J181" s="102"/>
      <c r="K181" s="103"/>
      <c r="L181" s="103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9.5" customHeight="1">
      <c r="A182" s="74"/>
      <c r="B182" s="74"/>
      <c r="C182" s="74"/>
      <c r="D182" s="101"/>
      <c r="E182" s="74"/>
      <c r="F182" s="74"/>
      <c r="G182" s="74"/>
      <c r="H182" s="74"/>
      <c r="I182" s="74"/>
      <c r="J182" s="102"/>
      <c r="K182" s="103"/>
      <c r="L182" s="103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9.5" customHeight="1">
      <c r="A183" s="74"/>
      <c r="B183" s="74"/>
      <c r="C183" s="74"/>
      <c r="D183" s="101"/>
      <c r="E183" s="74"/>
      <c r="F183" s="74"/>
      <c r="G183" s="74"/>
      <c r="H183" s="74"/>
      <c r="I183" s="74"/>
      <c r="J183" s="102"/>
      <c r="K183" s="103"/>
      <c r="L183" s="103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9.5" customHeight="1">
      <c r="A184" s="74"/>
      <c r="B184" s="74"/>
      <c r="C184" s="74"/>
      <c r="D184" s="101"/>
      <c r="E184" s="74"/>
      <c r="F184" s="74"/>
      <c r="G184" s="74"/>
      <c r="H184" s="74"/>
      <c r="I184" s="74"/>
      <c r="J184" s="102"/>
      <c r="K184" s="103"/>
      <c r="L184" s="103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9.5" customHeight="1">
      <c r="A185" s="74"/>
      <c r="B185" s="74"/>
      <c r="C185" s="74"/>
      <c r="D185" s="101"/>
      <c r="E185" s="74"/>
      <c r="F185" s="74"/>
      <c r="G185" s="74"/>
      <c r="H185" s="74"/>
      <c r="I185" s="74"/>
      <c r="J185" s="102"/>
      <c r="K185" s="103"/>
      <c r="L185" s="103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9.5" customHeight="1">
      <c r="A186" s="74"/>
      <c r="B186" s="74"/>
      <c r="C186" s="74"/>
      <c r="D186" s="101"/>
      <c r="E186" s="74"/>
      <c r="F186" s="74"/>
      <c r="G186" s="74"/>
      <c r="H186" s="74"/>
      <c r="I186" s="74"/>
      <c r="J186" s="102"/>
      <c r="K186" s="103"/>
      <c r="L186" s="103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9.5" customHeight="1">
      <c r="A187" s="74"/>
      <c r="B187" s="74"/>
      <c r="C187" s="74"/>
      <c r="D187" s="101"/>
      <c r="E187" s="74"/>
      <c r="F187" s="74"/>
      <c r="G187" s="74"/>
      <c r="H187" s="74"/>
      <c r="I187" s="74"/>
      <c r="J187" s="102"/>
      <c r="K187" s="103"/>
      <c r="L187" s="103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9.5" customHeight="1">
      <c r="A188" s="74"/>
      <c r="B188" s="74"/>
      <c r="C188" s="74"/>
      <c r="D188" s="101"/>
      <c r="E188" s="74"/>
      <c r="F188" s="74"/>
      <c r="G188" s="74"/>
      <c r="H188" s="74"/>
      <c r="I188" s="74"/>
      <c r="J188" s="102"/>
      <c r="K188" s="103"/>
      <c r="L188" s="103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9.5" customHeight="1">
      <c r="A189" s="74"/>
      <c r="B189" s="74"/>
      <c r="C189" s="74"/>
      <c r="D189" s="101"/>
      <c r="E189" s="74"/>
      <c r="F189" s="74"/>
      <c r="G189" s="74"/>
      <c r="H189" s="74"/>
      <c r="I189" s="74"/>
      <c r="J189" s="102"/>
      <c r="K189" s="103"/>
      <c r="L189" s="103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9.5" customHeight="1">
      <c r="A190" s="74"/>
      <c r="B190" s="74"/>
      <c r="C190" s="74"/>
      <c r="D190" s="101"/>
      <c r="E190" s="74"/>
      <c r="F190" s="74"/>
      <c r="G190" s="74"/>
      <c r="H190" s="74"/>
      <c r="I190" s="74"/>
      <c r="J190" s="102"/>
      <c r="K190" s="103"/>
      <c r="L190" s="103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9.5" customHeight="1">
      <c r="A191" s="74"/>
      <c r="B191" s="74"/>
      <c r="C191" s="74"/>
      <c r="D191" s="101"/>
      <c r="E191" s="74"/>
      <c r="F191" s="74"/>
      <c r="G191" s="74"/>
      <c r="H191" s="74"/>
      <c r="I191" s="74"/>
      <c r="J191" s="102"/>
      <c r="K191" s="103"/>
      <c r="L191" s="103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9.5" customHeight="1">
      <c r="A192" s="74"/>
      <c r="B192" s="74"/>
      <c r="C192" s="74"/>
      <c r="D192" s="101"/>
      <c r="E192" s="74"/>
      <c r="F192" s="74"/>
      <c r="G192" s="74"/>
      <c r="H192" s="74"/>
      <c r="I192" s="74"/>
      <c r="J192" s="102"/>
      <c r="K192" s="103"/>
      <c r="L192" s="103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9.5" customHeight="1">
      <c r="A193" s="74"/>
      <c r="B193" s="74"/>
      <c r="C193" s="74"/>
      <c r="D193" s="101"/>
      <c r="E193" s="74"/>
      <c r="F193" s="74"/>
      <c r="G193" s="74"/>
      <c r="H193" s="74"/>
      <c r="I193" s="74"/>
      <c r="J193" s="102"/>
      <c r="K193" s="103"/>
      <c r="L193" s="103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9.5" customHeight="1">
      <c r="A194" s="74"/>
      <c r="B194" s="74"/>
      <c r="C194" s="74"/>
      <c r="D194" s="101"/>
      <c r="E194" s="74"/>
      <c r="F194" s="74"/>
      <c r="G194" s="74"/>
      <c r="H194" s="74"/>
      <c r="I194" s="74"/>
      <c r="J194" s="102"/>
      <c r="K194" s="103"/>
      <c r="L194" s="103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9.5" customHeight="1">
      <c r="A195" s="74"/>
      <c r="B195" s="74"/>
      <c r="C195" s="74"/>
      <c r="D195" s="101"/>
      <c r="E195" s="74"/>
      <c r="F195" s="74"/>
      <c r="G195" s="74"/>
      <c r="H195" s="74"/>
      <c r="I195" s="74"/>
      <c r="J195" s="102"/>
      <c r="K195" s="103"/>
      <c r="L195" s="103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9.5" customHeight="1">
      <c r="A196" s="74"/>
      <c r="B196" s="74"/>
      <c r="C196" s="74"/>
      <c r="D196" s="101"/>
      <c r="E196" s="74"/>
      <c r="F196" s="74"/>
      <c r="G196" s="74"/>
      <c r="H196" s="74"/>
      <c r="I196" s="74"/>
      <c r="J196" s="102"/>
      <c r="K196" s="103"/>
      <c r="L196" s="103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9.5" customHeight="1">
      <c r="A197" s="74"/>
      <c r="B197" s="74"/>
      <c r="C197" s="74"/>
      <c r="D197" s="101"/>
      <c r="E197" s="74"/>
      <c r="F197" s="74"/>
      <c r="G197" s="74"/>
      <c r="H197" s="74"/>
      <c r="I197" s="74"/>
      <c r="J197" s="102"/>
      <c r="K197" s="103"/>
      <c r="L197" s="103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9.5" customHeight="1">
      <c r="A198" s="74"/>
      <c r="B198" s="74"/>
      <c r="C198" s="74"/>
      <c r="D198" s="101"/>
      <c r="E198" s="74"/>
      <c r="F198" s="74"/>
      <c r="G198" s="74"/>
      <c r="H198" s="74"/>
      <c r="I198" s="74"/>
      <c r="J198" s="102"/>
      <c r="K198" s="103"/>
      <c r="L198" s="103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9.5" customHeight="1">
      <c r="A199" s="74"/>
      <c r="B199" s="74"/>
      <c r="C199" s="74"/>
      <c r="D199" s="101"/>
      <c r="E199" s="74"/>
      <c r="F199" s="74"/>
      <c r="G199" s="74"/>
      <c r="H199" s="74"/>
      <c r="I199" s="74"/>
      <c r="J199" s="102"/>
      <c r="K199" s="103"/>
      <c r="L199" s="103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9.5" customHeight="1">
      <c r="A200" s="74"/>
      <c r="B200" s="74"/>
      <c r="C200" s="74"/>
      <c r="D200" s="101"/>
      <c r="E200" s="74"/>
      <c r="F200" s="74"/>
      <c r="G200" s="74"/>
      <c r="H200" s="74"/>
      <c r="I200" s="74"/>
      <c r="J200" s="102"/>
      <c r="K200" s="103"/>
      <c r="L200" s="103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9.5" customHeight="1">
      <c r="A201" s="74"/>
      <c r="B201" s="74"/>
      <c r="C201" s="74"/>
      <c r="D201" s="101"/>
      <c r="E201" s="74"/>
      <c r="F201" s="74"/>
      <c r="G201" s="74"/>
      <c r="H201" s="74"/>
      <c r="I201" s="74"/>
      <c r="J201" s="102"/>
      <c r="K201" s="103"/>
      <c r="L201" s="103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9.5" customHeight="1">
      <c r="A202" s="74"/>
      <c r="B202" s="74"/>
      <c r="C202" s="74"/>
      <c r="D202" s="101"/>
      <c r="E202" s="74"/>
      <c r="F202" s="74"/>
      <c r="G202" s="74"/>
      <c r="H202" s="74"/>
      <c r="I202" s="74"/>
      <c r="J202" s="102"/>
      <c r="K202" s="103"/>
      <c r="L202" s="103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9.5" customHeight="1">
      <c r="A203" s="74"/>
      <c r="B203" s="74"/>
      <c r="C203" s="74"/>
      <c r="D203" s="101"/>
      <c r="E203" s="74"/>
      <c r="F203" s="74"/>
      <c r="G203" s="74"/>
      <c r="H203" s="74"/>
      <c r="I203" s="74"/>
      <c r="J203" s="102"/>
      <c r="K203" s="103"/>
      <c r="L203" s="103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9.5" customHeight="1">
      <c r="A204" s="74"/>
      <c r="B204" s="74"/>
      <c r="C204" s="74"/>
      <c r="D204" s="101"/>
      <c r="E204" s="74"/>
      <c r="F204" s="74"/>
      <c r="G204" s="74"/>
      <c r="H204" s="74"/>
      <c r="I204" s="74"/>
      <c r="J204" s="102"/>
      <c r="K204" s="103"/>
      <c r="L204" s="103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9.5" customHeight="1">
      <c r="A205" s="74"/>
      <c r="B205" s="74"/>
      <c r="C205" s="74"/>
      <c r="D205" s="101"/>
      <c r="E205" s="74"/>
      <c r="F205" s="74"/>
      <c r="G205" s="74"/>
      <c r="H205" s="74"/>
      <c r="I205" s="74"/>
      <c r="J205" s="102"/>
      <c r="K205" s="103"/>
      <c r="L205" s="103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9.5" customHeight="1">
      <c r="A206" s="74"/>
      <c r="B206" s="74"/>
      <c r="C206" s="74"/>
      <c r="D206" s="101"/>
      <c r="E206" s="74"/>
      <c r="F206" s="74"/>
      <c r="G206" s="74"/>
      <c r="H206" s="74"/>
      <c r="I206" s="74"/>
      <c r="J206" s="102"/>
      <c r="K206" s="103"/>
      <c r="L206" s="103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9.5" customHeight="1">
      <c r="A207" s="74"/>
      <c r="B207" s="74"/>
      <c r="C207" s="74"/>
      <c r="D207" s="101"/>
      <c r="E207" s="74"/>
      <c r="F207" s="74"/>
      <c r="G207" s="74"/>
      <c r="H207" s="74"/>
      <c r="I207" s="74"/>
      <c r="J207" s="102"/>
      <c r="K207" s="103"/>
      <c r="L207" s="103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9.5" customHeight="1">
      <c r="A208" s="74"/>
      <c r="B208" s="74"/>
      <c r="C208" s="74"/>
      <c r="D208" s="101"/>
      <c r="E208" s="74"/>
      <c r="F208" s="74"/>
      <c r="G208" s="74"/>
      <c r="H208" s="74"/>
      <c r="I208" s="74"/>
      <c r="J208" s="102"/>
      <c r="K208" s="103"/>
      <c r="L208" s="103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9.5" customHeight="1">
      <c r="A209" s="74"/>
      <c r="B209" s="74"/>
      <c r="C209" s="74"/>
      <c r="D209" s="101"/>
      <c r="E209" s="74"/>
      <c r="F209" s="74"/>
      <c r="G209" s="74"/>
      <c r="H209" s="74"/>
      <c r="I209" s="74"/>
      <c r="J209" s="102"/>
      <c r="K209" s="103"/>
      <c r="L209" s="103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9.5" customHeight="1">
      <c r="A210" s="74"/>
      <c r="B210" s="74"/>
      <c r="C210" s="74"/>
      <c r="D210" s="101"/>
      <c r="E210" s="74"/>
      <c r="F210" s="74"/>
      <c r="G210" s="74"/>
      <c r="H210" s="74"/>
      <c r="I210" s="74"/>
      <c r="J210" s="102"/>
      <c r="K210" s="103"/>
      <c r="L210" s="103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9.5" customHeight="1">
      <c r="A211" s="74"/>
      <c r="B211" s="74"/>
      <c r="C211" s="74"/>
      <c r="D211" s="101"/>
      <c r="E211" s="74"/>
      <c r="F211" s="74"/>
      <c r="G211" s="74"/>
      <c r="H211" s="74"/>
      <c r="I211" s="74"/>
      <c r="J211" s="102"/>
      <c r="K211" s="103"/>
      <c r="L211" s="103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9.5" customHeight="1">
      <c r="A212" s="74"/>
      <c r="B212" s="74"/>
      <c r="C212" s="74"/>
      <c r="D212" s="101"/>
      <c r="E212" s="74"/>
      <c r="F212" s="74"/>
      <c r="G212" s="74"/>
      <c r="H212" s="74"/>
      <c r="I212" s="74"/>
      <c r="J212" s="102"/>
      <c r="K212" s="103"/>
      <c r="L212" s="103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9.5" customHeight="1">
      <c r="A213" s="74"/>
      <c r="B213" s="74"/>
      <c r="C213" s="74"/>
      <c r="D213" s="101"/>
      <c r="E213" s="74"/>
      <c r="F213" s="74"/>
      <c r="G213" s="74"/>
      <c r="H213" s="74"/>
      <c r="I213" s="74"/>
      <c r="J213" s="102"/>
      <c r="K213" s="103"/>
      <c r="L213" s="103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9.5" customHeight="1">
      <c r="A214" s="74"/>
      <c r="B214" s="74"/>
      <c r="C214" s="74"/>
      <c r="D214" s="101"/>
      <c r="E214" s="74"/>
      <c r="F214" s="74"/>
      <c r="G214" s="74"/>
      <c r="H214" s="74"/>
      <c r="I214" s="74"/>
      <c r="J214" s="102"/>
      <c r="K214" s="103"/>
      <c r="L214" s="103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9.5" customHeight="1">
      <c r="A215" s="74"/>
      <c r="B215" s="74"/>
      <c r="C215" s="74"/>
      <c r="D215" s="101"/>
      <c r="E215" s="74"/>
      <c r="F215" s="74"/>
      <c r="G215" s="74"/>
      <c r="H215" s="74"/>
      <c r="I215" s="74"/>
      <c r="J215" s="102"/>
      <c r="K215" s="103"/>
      <c r="L215" s="103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9.5" customHeight="1">
      <c r="A216" s="74"/>
      <c r="B216" s="74"/>
      <c r="C216" s="74"/>
      <c r="D216" s="101"/>
      <c r="E216" s="74"/>
      <c r="F216" s="74"/>
      <c r="G216" s="74"/>
      <c r="H216" s="74"/>
      <c r="I216" s="74"/>
      <c r="J216" s="102"/>
      <c r="K216" s="103"/>
      <c r="L216" s="103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9.5" customHeight="1">
      <c r="A217" s="74"/>
      <c r="B217" s="74"/>
      <c r="C217" s="74"/>
      <c r="D217" s="101"/>
      <c r="E217" s="74"/>
      <c r="F217" s="74"/>
      <c r="G217" s="74"/>
      <c r="H217" s="74"/>
      <c r="I217" s="74"/>
      <c r="J217" s="102"/>
      <c r="K217" s="103"/>
      <c r="L217" s="103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9.5" customHeight="1">
      <c r="A218" s="74"/>
      <c r="B218" s="74"/>
      <c r="C218" s="74"/>
      <c r="D218" s="101"/>
      <c r="E218" s="74"/>
      <c r="F218" s="74"/>
      <c r="G218" s="74"/>
      <c r="H218" s="74"/>
      <c r="I218" s="74"/>
      <c r="J218" s="102"/>
      <c r="K218" s="103"/>
      <c r="L218" s="103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9.5" customHeight="1">
      <c r="A219" s="74"/>
      <c r="B219" s="74"/>
      <c r="C219" s="74"/>
      <c r="D219" s="101"/>
      <c r="E219" s="74"/>
      <c r="F219" s="74"/>
      <c r="G219" s="74"/>
      <c r="H219" s="74"/>
      <c r="I219" s="74"/>
      <c r="J219" s="102"/>
      <c r="K219" s="103"/>
      <c r="L219" s="103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9.5" customHeight="1">
      <c r="A220" s="74"/>
      <c r="B220" s="74"/>
      <c r="C220" s="74"/>
      <c r="D220" s="101"/>
      <c r="E220" s="74"/>
      <c r="F220" s="74"/>
      <c r="G220" s="74"/>
      <c r="H220" s="74"/>
      <c r="I220" s="74"/>
      <c r="J220" s="102"/>
      <c r="K220" s="103"/>
      <c r="L220" s="103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9.5" customHeight="1">
      <c r="A221" s="74"/>
      <c r="B221" s="74"/>
      <c r="C221" s="74"/>
      <c r="D221" s="101"/>
      <c r="E221" s="74"/>
      <c r="F221" s="74"/>
      <c r="G221" s="74"/>
      <c r="H221" s="74"/>
      <c r="I221" s="74"/>
      <c r="J221" s="102"/>
      <c r="K221" s="103"/>
      <c r="L221" s="103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9.5" customHeight="1">
      <c r="A222" s="74"/>
      <c r="B222" s="74"/>
      <c r="C222" s="74"/>
      <c r="D222" s="101"/>
      <c r="E222" s="74"/>
      <c r="F222" s="74"/>
      <c r="G222" s="74"/>
      <c r="H222" s="74"/>
      <c r="I222" s="74"/>
      <c r="J222" s="102"/>
      <c r="K222" s="103"/>
      <c r="L222" s="103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9.5" customHeight="1">
      <c r="A223" s="74"/>
      <c r="B223" s="74"/>
      <c r="C223" s="74"/>
      <c r="D223" s="101"/>
      <c r="E223" s="74"/>
      <c r="F223" s="74"/>
      <c r="G223" s="74"/>
      <c r="H223" s="74"/>
      <c r="I223" s="74"/>
      <c r="J223" s="102"/>
      <c r="K223" s="103"/>
      <c r="L223" s="103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9.5" customHeight="1">
      <c r="A224" s="74"/>
      <c r="B224" s="74"/>
      <c r="C224" s="74"/>
      <c r="D224" s="101"/>
      <c r="E224" s="74"/>
      <c r="F224" s="74"/>
      <c r="G224" s="74"/>
      <c r="H224" s="74"/>
      <c r="I224" s="74"/>
      <c r="J224" s="102"/>
      <c r="K224" s="103"/>
      <c r="L224" s="103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9.5" customHeight="1">
      <c r="A225" s="74"/>
      <c r="B225" s="74"/>
      <c r="C225" s="74"/>
      <c r="D225" s="101"/>
      <c r="E225" s="74"/>
      <c r="F225" s="74"/>
      <c r="G225" s="74"/>
      <c r="H225" s="74"/>
      <c r="I225" s="74"/>
      <c r="J225" s="102"/>
      <c r="K225" s="103"/>
      <c r="L225" s="103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9.5" customHeight="1">
      <c r="A226" s="74"/>
      <c r="B226" s="74"/>
      <c r="C226" s="74"/>
      <c r="D226" s="101"/>
      <c r="E226" s="74"/>
      <c r="F226" s="74"/>
      <c r="G226" s="74"/>
      <c r="H226" s="74"/>
      <c r="I226" s="74"/>
      <c r="J226" s="102"/>
      <c r="K226" s="103"/>
      <c r="L226" s="103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9.5" customHeight="1">
      <c r="A227" s="74"/>
      <c r="B227" s="74"/>
      <c r="C227" s="74"/>
      <c r="D227" s="101"/>
      <c r="E227" s="74"/>
      <c r="F227" s="74"/>
      <c r="G227" s="74"/>
      <c r="H227" s="74"/>
      <c r="I227" s="74"/>
      <c r="J227" s="102"/>
      <c r="K227" s="103"/>
      <c r="L227" s="103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9.5" customHeight="1">
      <c r="A228" s="74"/>
      <c r="B228" s="74"/>
      <c r="C228" s="74"/>
      <c r="D228" s="101"/>
      <c r="E228" s="74"/>
      <c r="F228" s="74"/>
      <c r="G228" s="74"/>
      <c r="H228" s="74"/>
      <c r="I228" s="74"/>
      <c r="J228" s="102"/>
      <c r="K228" s="103"/>
      <c r="L228" s="103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9.5" customHeight="1">
      <c r="A229" s="74"/>
      <c r="B229" s="74"/>
      <c r="C229" s="74"/>
      <c r="D229" s="101"/>
      <c r="E229" s="74"/>
      <c r="F229" s="74"/>
      <c r="G229" s="74"/>
      <c r="H229" s="74"/>
      <c r="I229" s="74"/>
      <c r="J229" s="102"/>
      <c r="K229" s="103"/>
      <c r="L229" s="103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9.5" customHeight="1">
      <c r="A230" s="74"/>
      <c r="B230" s="74"/>
      <c r="C230" s="74"/>
      <c r="D230" s="101"/>
      <c r="E230" s="74"/>
      <c r="F230" s="74"/>
      <c r="G230" s="74"/>
      <c r="H230" s="74"/>
      <c r="I230" s="74"/>
      <c r="J230" s="102"/>
      <c r="K230" s="103"/>
      <c r="L230" s="103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9.5" customHeight="1">
      <c r="A231" s="74"/>
      <c r="B231" s="74"/>
      <c r="C231" s="74"/>
      <c r="D231" s="101"/>
      <c r="E231" s="74"/>
      <c r="F231" s="74"/>
      <c r="G231" s="74"/>
      <c r="H231" s="74"/>
      <c r="I231" s="74"/>
      <c r="J231" s="102"/>
      <c r="K231" s="103"/>
      <c r="L231" s="103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>
      <c r="D232" s="104"/>
    </row>
    <row r="233" spans="1:26" ht="15.75" customHeight="1">
      <c r="D233" s="104"/>
    </row>
    <row r="234" spans="1:26" ht="15.75" customHeight="1">
      <c r="D234" s="104"/>
    </row>
    <row r="235" spans="1:26" ht="15.75" customHeight="1">
      <c r="D235" s="104"/>
    </row>
    <row r="236" spans="1:26" ht="15.75" customHeight="1">
      <c r="D236" s="104"/>
    </row>
    <row r="237" spans="1:26" ht="15.75" customHeight="1">
      <c r="D237" s="104"/>
    </row>
    <row r="238" spans="1:26" ht="15.75" customHeight="1">
      <c r="D238" s="104"/>
    </row>
    <row r="239" spans="1:26" ht="15.75" customHeight="1">
      <c r="D239" s="104"/>
    </row>
    <row r="240" spans="1:26" ht="15.75" customHeight="1">
      <c r="D240" s="104"/>
    </row>
    <row r="241" spans="4:4" ht="15.75" customHeight="1">
      <c r="D241" s="104"/>
    </row>
    <row r="242" spans="4:4" ht="15.75" customHeight="1">
      <c r="D242" s="104"/>
    </row>
    <row r="243" spans="4:4" ht="15.75" customHeight="1">
      <c r="D243" s="104"/>
    </row>
    <row r="244" spans="4:4" ht="15.75" customHeight="1">
      <c r="D244" s="104"/>
    </row>
    <row r="245" spans="4:4" ht="15.75" customHeight="1">
      <c r="D245" s="104"/>
    </row>
    <row r="246" spans="4:4" ht="15.75" customHeight="1">
      <c r="D246" s="104"/>
    </row>
    <row r="247" spans="4:4" ht="15.75" customHeight="1">
      <c r="D247" s="104"/>
    </row>
    <row r="248" spans="4:4" ht="15.75" customHeight="1">
      <c r="D248" s="104"/>
    </row>
    <row r="249" spans="4:4" ht="15.75" customHeight="1">
      <c r="D249" s="104"/>
    </row>
    <row r="250" spans="4:4" ht="15.75" customHeight="1">
      <c r="D250" s="104"/>
    </row>
    <row r="251" spans="4:4" ht="15.75" customHeight="1">
      <c r="D251" s="104"/>
    </row>
    <row r="252" spans="4:4" ht="15.75" customHeight="1">
      <c r="D252" s="104"/>
    </row>
    <row r="253" spans="4:4" ht="15.75" customHeight="1">
      <c r="D253" s="104"/>
    </row>
    <row r="254" spans="4:4" ht="15.75" customHeight="1">
      <c r="D254" s="104"/>
    </row>
    <row r="255" spans="4:4" ht="15.75" customHeight="1">
      <c r="D255" s="104"/>
    </row>
    <row r="256" spans="4:4" ht="15.75" customHeight="1">
      <c r="D256" s="104"/>
    </row>
    <row r="257" spans="4:4" ht="15.75" customHeight="1">
      <c r="D257" s="104"/>
    </row>
    <row r="258" spans="4:4" ht="15.75" customHeight="1">
      <c r="D258" s="104"/>
    </row>
    <row r="259" spans="4:4" ht="15.75" customHeight="1">
      <c r="D259" s="104"/>
    </row>
    <row r="260" spans="4:4" ht="15.75" customHeight="1">
      <c r="D260" s="104"/>
    </row>
    <row r="261" spans="4:4" ht="15.75" customHeight="1">
      <c r="D261" s="104"/>
    </row>
    <row r="262" spans="4:4" ht="15.75" customHeight="1">
      <c r="D262" s="104"/>
    </row>
    <row r="263" spans="4:4" ht="15.75" customHeight="1">
      <c r="D263" s="104"/>
    </row>
    <row r="264" spans="4:4" ht="15.75" customHeight="1">
      <c r="D264" s="104"/>
    </row>
    <row r="265" spans="4:4" ht="15.75" customHeight="1">
      <c r="D265" s="104"/>
    </row>
    <row r="266" spans="4:4" ht="15.75" customHeight="1">
      <c r="D266" s="104"/>
    </row>
    <row r="267" spans="4:4" ht="15.75" customHeight="1">
      <c r="D267" s="104"/>
    </row>
    <row r="268" spans="4:4" ht="15.75" customHeight="1">
      <c r="D268" s="104"/>
    </row>
    <row r="269" spans="4:4" ht="15.75" customHeight="1">
      <c r="D269" s="104"/>
    </row>
    <row r="270" spans="4:4" ht="15.75" customHeight="1">
      <c r="D270" s="104"/>
    </row>
    <row r="271" spans="4:4" ht="15.75" customHeight="1">
      <c r="D271" s="104"/>
    </row>
    <row r="272" spans="4:4" ht="15.75" customHeight="1">
      <c r="D272" s="104"/>
    </row>
    <row r="273" spans="4:4" ht="15.75" customHeight="1">
      <c r="D273" s="104"/>
    </row>
    <row r="274" spans="4:4" ht="15.75" customHeight="1">
      <c r="D274" s="104"/>
    </row>
    <row r="275" spans="4:4" ht="15.75" customHeight="1">
      <c r="D275" s="104"/>
    </row>
    <row r="276" spans="4:4" ht="15.75" customHeight="1">
      <c r="D276" s="104"/>
    </row>
    <row r="277" spans="4:4" ht="15.75" customHeight="1">
      <c r="D277" s="104"/>
    </row>
    <row r="278" spans="4:4" ht="15.75" customHeight="1">
      <c r="D278" s="104"/>
    </row>
    <row r="279" spans="4:4" ht="15.75" customHeight="1">
      <c r="D279" s="104"/>
    </row>
    <row r="280" spans="4:4" ht="15.75" customHeight="1">
      <c r="D280" s="104"/>
    </row>
    <row r="281" spans="4:4" ht="15.75" customHeight="1">
      <c r="D281" s="104"/>
    </row>
    <row r="282" spans="4:4" ht="15.75" customHeight="1">
      <c r="D282" s="104"/>
    </row>
    <row r="283" spans="4:4" ht="15.75" customHeight="1">
      <c r="D283" s="104"/>
    </row>
    <row r="284" spans="4:4" ht="15.75" customHeight="1">
      <c r="D284" s="104"/>
    </row>
    <row r="285" spans="4:4" ht="15.75" customHeight="1">
      <c r="D285" s="104"/>
    </row>
    <row r="286" spans="4:4" ht="15.75" customHeight="1">
      <c r="D286" s="104"/>
    </row>
    <row r="287" spans="4:4" ht="15.75" customHeight="1">
      <c r="D287" s="104"/>
    </row>
    <row r="288" spans="4:4" ht="15.75" customHeight="1">
      <c r="D288" s="104"/>
    </row>
    <row r="289" spans="4:4" ht="15.75" customHeight="1">
      <c r="D289" s="104"/>
    </row>
    <row r="290" spans="4:4" ht="15.75" customHeight="1">
      <c r="D290" s="104"/>
    </row>
    <row r="291" spans="4:4" ht="15.75" customHeight="1">
      <c r="D291" s="104"/>
    </row>
    <row r="292" spans="4:4" ht="15.75" customHeight="1">
      <c r="D292" s="104"/>
    </row>
    <row r="293" spans="4:4" ht="15.75" customHeight="1">
      <c r="D293" s="104"/>
    </row>
    <row r="294" spans="4:4" ht="15.75" customHeight="1">
      <c r="D294" s="104"/>
    </row>
    <row r="295" spans="4:4" ht="15.75" customHeight="1">
      <c r="D295" s="104"/>
    </row>
    <row r="296" spans="4:4" ht="15.75" customHeight="1">
      <c r="D296" s="104"/>
    </row>
    <row r="297" spans="4:4" ht="15.75" customHeight="1">
      <c r="D297" s="104"/>
    </row>
    <row r="298" spans="4:4" ht="15.75" customHeight="1">
      <c r="D298" s="104"/>
    </row>
    <row r="299" spans="4:4" ht="15.75" customHeight="1">
      <c r="D299" s="104"/>
    </row>
    <row r="300" spans="4:4" ht="15.75" customHeight="1">
      <c r="D300" s="104"/>
    </row>
    <row r="301" spans="4:4" ht="15.75" customHeight="1">
      <c r="D301" s="104"/>
    </row>
    <row r="302" spans="4:4" ht="15.75" customHeight="1">
      <c r="D302" s="104"/>
    </row>
    <row r="303" spans="4:4" ht="15.75" customHeight="1">
      <c r="D303" s="104"/>
    </row>
    <row r="304" spans="4:4" ht="15.75" customHeight="1">
      <c r="D304" s="104"/>
    </row>
    <row r="305" spans="4:4" ht="15.75" customHeight="1">
      <c r="D305" s="104"/>
    </row>
    <row r="306" spans="4:4" ht="15.75" customHeight="1">
      <c r="D306" s="104"/>
    </row>
    <row r="307" spans="4:4" ht="15.75" customHeight="1">
      <c r="D307" s="104"/>
    </row>
    <row r="308" spans="4:4" ht="15.75" customHeight="1">
      <c r="D308" s="104"/>
    </row>
    <row r="309" spans="4:4" ht="15.75" customHeight="1">
      <c r="D309" s="104"/>
    </row>
    <row r="310" spans="4:4" ht="15.75" customHeight="1">
      <c r="D310" s="104"/>
    </row>
    <row r="311" spans="4:4" ht="15.75" customHeight="1">
      <c r="D311" s="104"/>
    </row>
    <row r="312" spans="4:4" ht="15.75" customHeight="1">
      <c r="D312" s="104"/>
    </row>
    <row r="313" spans="4:4" ht="15.75" customHeight="1">
      <c r="D313" s="104"/>
    </row>
    <row r="314" spans="4:4" ht="15.75" customHeight="1">
      <c r="D314" s="104"/>
    </row>
    <row r="315" spans="4:4" ht="15.75" customHeight="1">
      <c r="D315" s="104"/>
    </row>
    <row r="316" spans="4:4" ht="15.75" customHeight="1">
      <c r="D316" s="104"/>
    </row>
    <row r="317" spans="4:4" ht="15.75" customHeight="1">
      <c r="D317" s="104"/>
    </row>
    <row r="318" spans="4:4" ht="15.75" customHeight="1">
      <c r="D318" s="104"/>
    </row>
    <row r="319" spans="4:4" ht="15.75" customHeight="1">
      <c r="D319" s="104"/>
    </row>
    <row r="320" spans="4:4" ht="15.75" customHeight="1">
      <c r="D320" s="104"/>
    </row>
    <row r="321" spans="4:4" ht="15.75" customHeight="1">
      <c r="D321" s="104"/>
    </row>
    <row r="322" spans="4:4" ht="15.75" customHeight="1">
      <c r="D322" s="104"/>
    </row>
    <row r="323" spans="4:4" ht="15.75" customHeight="1">
      <c r="D323" s="104"/>
    </row>
    <row r="324" spans="4:4" ht="15.75" customHeight="1">
      <c r="D324" s="104"/>
    </row>
    <row r="325" spans="4:4" ht="15.75" customHeight="1">
      <c r="D325" s="104"/>
    </row>
    <row r="326" spans="4:4" ht="15.75" customHeight="1">
      <c r="D326" s="104"/>
    </row>
    <row r="327" spans="4:4" ht="15.75" customHeight="1">
      <c r="D327" s="104"/>
    </row>
    <row r="328" spans="4:4" ht="15.75" customHeight="1">
      <c r="D328" s="104"/>
    </row>
    <row r="329" spans="4:4" ht="15.75" customHeight="1">
      <c r="D329" s="104"/>
    </row>
    <row r="330" spans="4:4" ht="15.75" customHeight="1">
      <c r="D330" s="104"/>
    </row>
    <row r="331" spans="4:4" ht="15.75" customHeight="1">
      <c r="D331" s="104"/>
    </row>
    <row r="332" spans="4:4" ht="15.75" customHeight="1">
      <c r="D332" s="104"/>
    </row>
    <row r="333" spans="4:4" ht="15.75" customHeight="1">
      <c r="D333" s="104"/>
    </row>
    <row r="334" spans="4:4" ht="15.75" customHeight="1">
      <c r="D334" s="104"/>
    </row>
    <row r="335" spans="4:4" ht="15.75" customHeight="1">
      <c r="D335" s="104"/>
    </row>
    <row r="336" spans="4:4" ht="15.75" customHeight="1">
      <c r="D336" s="104"/>
    </row>
    <row r="337" spans="4:4" ht="15.75" customHeight="1">
      <c r="D337" s="104"/>
    </row>
    <row r="338" spans="4:4" ht="15.75" customHeight="1">
      <c r="D338" s="104"/>
    </row>
    <row r="339" spans="4:4" ht="15.75" customHeight="1">
      <c r="D339" s="104"/>
    </row>
    <row r="340" spans="4:4" ht="15.75" customHeight="1">
      <c r="D340" s="104"/>
    </row>
    <row r="341" spans="4:4" ht="15.75" customHeight="1">
      <c r="D341" s="104"/>
    </row>
    <row r="342" spans="4:4" ht="15.75" customHeight="1">
      <c r="D342" s="104"/>
    </row>
    <row r="343" spans="4:4" ht="15.75" customHeight="1">
      <c r="D343" s="104"/>
    </row>
    <row r="344" spans="4:4" ht="15.75" customHeight="1">
      <c r="D344" s="104"/>
    </row>
    <row r="345" spans="4:4" ht="15.75" customHeight="1">
      <c r="D345" s="104"/>
    </row>
    <row r="346" spans="4:4" ht="15.75" customHeight="1">
      <c r="D346" s="104"/>
    </row>
    <row r="347" spans="4:4" ht="15.75" customHeight="1">
      <c r="D347" s="104"/>
    </row>
    <row r="348" spans="4:4" ht="15.75" customHeight="1">
      <c r="D348" s="104"/>
    </row>
    <row r="349" spans="4:4" ht="15.75" customHeight="1">
      <c r="D349" s="104"/>
    </row>
    <row r="350" spans="4:4" ht="15.75" customHeight="1">
      <c r="D350" s="104"/>
    </row>
    <row r="351" spans="4:4" ht="15.75" customHeight="1">
      <c r="D351" s="104"/>
    </row>
    <row r="352" spans="4:4" ht="15.75" customHeight="1">
      <c r="D352" s="104"/>
    </row>
    <row r="353" spans="4:4" ht="15.75" customHeight="1">
      <c r="D353" s="104"/>
    </row>
    <row r="354" spans="4:4" ht="15.75" customHeight="1">
      <c r="D354" s="104"/>
    </row>
    <row r="355" spans="4:4" ht="15.75" customHeight="1">
      <c r="D355" s="104"/>
    </row>
    <row r="356" spans="4:4" ht="15.75" customHeight="1">
      <c r="D356" s="104"/>
    </row>
    <row r="357" spans="4:4" ht="15.75" customHeight="1">
      <c r="D357" s="104"/>
    </row>
    <row r="358" spans="4:4" ht="15.75" customHeight="1">
      <c r="D358" s="104"/>
    </row>
    <row r="359" spans="4:4" ht="15.75" customHeight="1">
      <c r="D359" s="104"/>
    </row>
    <row r="360" spans="4:4" ht="15.75" customHeight="1">
      <c r="D360" s="104"/>
    </row>
    <row r="361" spans="4:4" ht="15.75" customHeight="1">
      <c r="D361" s="104"/>
    </row>
    <row r="362" spans="4:4" ht="15.75" customHeight="1">
      <c r="D362" s="104"/>
    </row>
    <row r="363" spans="4:4" ht="15.75" customHeight="1">
      <c r="D363" s="104"/>
    </row>
    <row r="364" spans="4:4" ht="15.75" customHeight="1">
      <c r="D364" s="104"/>
    </row>
    <row r="365" spans="4:4" ht="15.75" customHeight="1">
      <c r="D365" s="104"/>
    </row>
    <row r="366" spans="4:4" ht="15.75" customHeight="1">
      <c r="D366" s="104"/>
    </row>
    <row r="367" spans="4:4" ht="15.75" customHeight="1">
      <c r="D367" s="104"/>
    </row>
    <row r="368" spans="4:4" ht="15.75" customHeight="1">
      <c r="D368" s="104"/>
    </row>
    <row r="369" spans="4:4" ht="15.75" customHeight="1">
      <c r="D369" s="104"/>
    </row>
    <row r="370" spans="4:4" ht="15.75" customHeight="1">
      <c r="D370" s="104"/>
    </row>
    <row r="371" spans="4:4" ht="15.75" customHeight="1">
      <c r="D371" s="104"/>
    </row>
    <row r="372" spans="4:4" ht="15.75" customHeight="1">
      <c r="D372" s="104"/>
    </row>
    <row r="373" spans="4:4" ht="15.75" customHeight="1">
      <c r="D373" s="104"/>
    </row>
    <row r="374" spans="4:4" ht="15.75" customHeight="1">
      <c r="D374" s="104"/>
    </row>
    <row r="375" spans="4:4" ht="15.75" customHeight="1">
      <c r="D375" s="104"/>
    </row>
    <row r="376" spans="4:4" ht="15.75" customHeight="1">
      <c r="D376" s="104"/>
    </row>
    <row r="377" spans="4:4" ht="15.75" customHeight="1">
      <c r="D377" s="104"/>
    </row>
    <row r="378" spans="4:4" ht="15.75" customHeight="1">
      <c r="D378" s="104"/>
    </row>
    <row r="379" spans="4:4" ht="15.75" customHeight="1">
      <c r="D379" s="104"/>
    </row>
    <row r="380" spans="4:4" ht="15.75" customHeight="1">
      <c r="D380" s="104"/>
    </row>
    <row r="381" spans="4:4" ht="15.75" customHeight="1">
      <c r="D381" s="104"/>
    </row>
    <row r="382" spans="4:4" ht="15.75" customHeight="1">
      <c r="D382" s="104"/>
    </row>
    <row r="383" spans="4:4" ht="15.75" customHeight="1">
      <c r="D383" s="104"/>
    </row>
    <row r="384" spans="4:4" ht="15.75" customHeight="1">
      <c r="D384" s="104"/>
    </row>
    <row r="385" spans="4:4" ht="15.75" customHeight="1">
      <c r="D385" s="104"/>
    </row>
    <row r="386" spans="4:4" ht="15.75" customHeight="1">
      <c r="D386" s="104"/>
    </row>
    <row r="387" spans="4:4" ht="15.75" customHeight="1">
      <c r="D387" s="104"/>
    </row>
    <row r="388" spans="4:4" ht="15.75" customHeight="1">
      <c r="D388" s="104"/>
    </row>
    <row r="389" spans="4:4" ht="15.75" customHeight="1">
      <c r="D389" s="104"/>
    </row>
    <row r="390" spans="4:4" ht="15.75" customHeight="1">
      <c r="D390" s="104"/>
    </row>
    <row r="391" spans="4:4" ht="15.75" customHeight="1">
      <c r="D391" s="104"/>
    </row>
    <row r="392" spans="4:4" ht="15.75" customHeight="1">
      <c r="D392" s="104"/>
    </row>
    <row r="393" spans="4:4" ht="15.75" customHeight="1">
      <c r="D393" s="104"/>
    </row>
    <row r="394" spans="4:4" ht="15.75" customHeight="1">
      <c r="D394" s="104"/>
    </row>
    <row r="395" spans="4:4" ht="15.75" customHeight="1">
      <c r="D395" s="104"/>
    </row>
    <row r="396" spans="4:4" ht="15.75" customHeight="1">
      <c r="D396" s="104"/>
    </row>
    <row r="397" spans="4:4" ht="15.75" customHeight="1">
      <c r="D397" s="104"/>
    </row>
    <row r="398" spans="4:4" ht="15.75" customHeight="1">
      <c r="D398" s="104"/>
    </row>
    <row r="399" spans="4:4" ht="15.75" customHeight="1">
      <c r="D399" s="104"/>
    </row>
    <row r="400" spans="4:4" ht="15.75" customHeight="1">
      <c r="D400" s="104"/>
    </row>
    <row r="401" spans="4:4" ht="15.75" customHeight="1">
      <c r="D401" s="104"/>
    </row>
    <row r="402" spans="4:4" ht="15.75" customHeight="1">
      <c r="D402" s="104"/>
    </row>
    <row r="403" spans="4:4" ht="15.75" customHeight="1">
      <c r="D403" s="104"/>
    </row>
    <row r="404" spans="4:4" ht="15.75" customHeight="1">
      <c r="D404" s="104"/>
    </row>
    <row r="405" spans="4:4" ht="15.75" customHeight="1">
      <c r="D405" s="104"/>
    </row>
    <row r="406" spans="4:4" ht="15.75" customHeight="1">
      <c r="D406" s="104"/>
    </row>
    <row r="407" spans="4:4" ht="15.75" customHeight="1">
      <c r="D407" s="104"/>
    </row>
    <row r="408" spans="4:4" ht="15.75" customHeight="1">
      <c r="D408" s="104"/>
    </row>
    <row r="409" spans="4:4" ht="15.75" customHeight="1">
      <c r="D409" s="104"/>
    </row>
    <row r="410" spans="4:4" ht="15.75" customHeight="1">
      <c r="D410" s="104"/>
    </row>
    <row r="411" spans="4:4" ht="15.75" customHeight="1">
      <c r="D411" s="104"/>
    </row>
    <row r="412" spans="4:4" ht="15.75" customHeight="1">
      <c r="D412" s="104"/>
    </row>
    <row r="413" spans="4:4" ht="15.75" customHeight="1">
      <c r="D413" s="104"/>
    </row>
    <row r="414" spans="4:4" ht="15.75" customHeight="1">
      <c r="D414" s="104"/>
    </row>
    <row r="415" spans="4:4" ht="15.75" customHeight="1">
      <c r="D415" s="104"/>
    </row>
    <row r="416" spans="4:4" ht="15.75" customHeight="1">
      <c r="D416" s="104"/>
    </row>
    <row r="417" spans="4:4" ht="15.75" customHeight="1">
      <c r="D417" s="104"/>
    </row>
    <row r="418" spans="4:4" ht="15.75" customHeight="1">
      <c r="D418" s="104"/>
    </row>
    <row r="419" spans="4:4" ht="15.75" customHeight="1">
      <c r="D419" s="104"/>
    </row>
    <row r="420" spans="4:4" ht="15.75" customHeight="1">
      <c r="D420" s="104"/>
    </row>
    <row r="421" spans="4:4" ht="15.75" customHeight="1">
      <c r="D421" s="104"/>
    </row>
    <row r="422" spans="4:4" ht="15.75" customHeight="1">
      <c r="D422" s="104"/>
    </row>
    <row r="423" spans="4:4" ht="15.75" customHeight="1">
      <c r="D423" s="104"/>
    </row>
    <row r="424" spans="4:4" ht="15.75" customHeight="1">
      <c r="D424" s="104"/>
    </row>
    <row r="425" spans="4:4" ht="15.75" customHeight="1">
      <c r="D425" s="104"/>
    </row>
    <row r="426" spans="4:4" ht="15.75" customHeight="1">
      <c r="D426" s="104"/>
    </row>
    <row r="427" spans="4:4" ht="15.75" customHeight="1">
      <c r="D427" s="104"/>
    </row>
    <row r="428" spans="4:4" ht="15.75" customHeight="1">
      <c r="D428" s="104"/>
    </row>
    <row r="429" spans="4:4" ht="15.75" customHeight="1">
      <c r="D429" s="104"/>
    </row>
    <row r="430" spans="4:4" ht="15.75" customHeight="1">
      <c r="D430" s="104"/>
    </row>
    <row r="431" spans="4:4" ht="15.75" customHeight="1">
      <c r="D431" s="104"/>
    </row>
    <row r="432" spans="4:4" ht="15.75" customHeight="1">
      <c r="D432" s="104"/>
    </row>
    <row r="433" spans="4:4" ht="15.75" customHeight="1">
      <c r="D433" s="104"/>
    </row>
    <row r="434" spans="4:4" ht="15.75" customHeight="1">
      <c r="D434" s="104"/>
    </row>
    <row r="435" spans="4:4" ht="15.75" customHeight="1">
      <c r="D435" s="104"/>
    </row>
    <row r="436" spans="4:4" ht="15.75" customHeight="1">
      <c r="D436" s="104"/>
    </row>
    <row r="437" spans="4:4" ht="15.75" customHeight="1">
      <c r="D437" s="104"/>
    </row>
    <row r="438" spans="4:4" ht="15.75" customHeight="1">
      <c r="D438" s="104"/>
    </row>
    <row r="439" spans="4:4" ht="15.75" customHeight="1">
      <c r="D439" s="104"/>
    </row>
    <row r="440" spans="4:4" ht="15.75" customHeight="1">
      <c r="D440" s="104"/>
    </row>
    <row r="441" spans="4:4" ht="15.75" customHeight="1">
      <c r="D441" s="104"/>
    </row>
    <row r="442" spans="4:4" ht="15.75" customHeight="1">
      <c r="D442" s="104"/>
    </row>
    <row r="443" spans="4:4" ht="15.75" customHeight="1">
      <c r="D443" s="104"/>
    </row>
    <row r="444" spans="4:4" ht="15.75" customHeight="1">
      <c r="D444" s="104"/>
    </row>
    <row r="445" spans="4:4" ht="15.75" customHeight="1">
      <c r="D445" s="104"/>
    </row>
    <row r="446" spans="4:4" ht="15.75" customHeight="1">
      <c r="D446" s="104"/>
    </row>
    <row r="447" spans="4:4" ht="15.75" customHeight="1">
      <c r="D447" s="104"/>
    </row>
    <row r="448" spans="4:4" ht="15.75" customHeight="1">
      <c r="D448" s="104"/>
    </row>
    <row r="449" spans="4:4" ht="15.75" customHeight="1">
      <c r="D449" s="104"/>
    </row>
    <row r="450" spans="4:4" ht="15.75" customHeight="1">
      <c r="D450" s="104"/>
    </row>
    <row r="451" spans="4:4" ht="15.75" customHeight="1">
      <c r="D451" s="104"/>
    </row>
    <row r="452" spans="4:4" ht="15.75" customHeight="1">
      <c r="D452" s="104"/>
    </row>
    <row r="453" spans="4:4" ht="15.75" customHeight="1">
      <c r="D453" s="104"/>
    </row>
    <row r="454" spans="4:4" ht="15.75" customHeight="1">
      <c r="D454" s="104"/>
    </row>
    <row r="455" spans="4:4" ht="15.75" customHeight="1">
      <c r="D455" s="104"/>
    </row>
    <row r="456" spans="4:4" ht="15.75" customHeight="1">
      <c r="D456" s="104"/>
    </row>
    <row r="457" spans="4:4" ht="15.75" customHeight="1">
      <c r="D457" s="104"/>
    </row>
    <row r="458" spans="4:4" ht="15.75" customHeight="1">
      <c r="D458" s="104"/>
    </row>
    <row r="459" spans="4:4" ht="15.75" customHeight="1">
      <c r="D459" s="104"/>
    </row>
    <row r="460" spans="4:4" ht="15.75" customHeight="1">
      <c r="D460" s="104"/>
    </row>
    <row r="461" spans="4:4" ht="15.75" customHeight="1">
      <c r="D461" s="104"/>
    </row>
    <row r="462" spans="4:4" ht="15.75" customHeight="1">
      <c r="D462" s="104"/>
    </row>
    <row r="463" spans="4:4" ht="15.75" customHeight="1">
      <c r="D463" s="104"/>
    </row>
    <row r="464" spans="4:4" ht="15.75" customHeight="1">
      <c r="D464" s="104"/>
    </row>
    <row r="465" spans="4:4" ht="15.75" customHeight="1">
      <c r="D465" s="104"/>
    </row>
    <row r="466" spans="4:4" ht="15.75" customHeight="1">
      <c r="D466" s="104"/>
    </row>
    <row r="467" spans="4:4" ht="15.75" customHeight="1">
      <c r="D467" s="104"/>
    </row>
    <row r="468" spans="4:4" ht="15.75" customHeight="1">
      <c r="D468" s="104"/>
    </row>
    <row r="469" spans="4:4" ht="15.75" customHeight="1">
      <c r="D469" s="104"/>
    </row>
    <row r="470" spans="4:4" ht="15.75" customHeight="1">
      <c r="D470" s="104"/>
    </row>
    <row r="471" spans="4:4" ht="15.75" customHeight="1">
      <c r="D471" s="104"/>
    </row>
    <row r="472" spans="4:4" ht="15.75" customHeight="1">
      <c r="D472" s="104"/>
    </row>
    <row r="473" spans="4:4" ht="15.75" customHeight="1">
      <c r="D473" s="104"/>
    </row>
    <row r="474" spans="4:4" ht="15.75" customHeight="1">
      <c r="D474" s="104"/>
    </row>
    <row r="475" spans="4:4" ht="15.75" customHeight="1">
      <c r="D475" s="104"/>
    </row>
    <row r="476" spans="4:4" ht="15.75" customHeight="1">
      <c r="D476" s="104"/>
    </row>
    <row r="477" spans="4:4" ht="15.75" customHeight="1">
      <c r="D477" s="104"/>
    </row>
    <row r="478" spans="4:4" ht="15.75" customHeight="1">
      <c r="D478" s="104"/>
    </row>
    <row r="479" spans="4:4" ht="15.75" customHeight="1">
      <c r="D479" s="104"/>
    </row>
    <row r="480" spans="4:4" ht="15.75" customHeight="1">
      <c r="D480" s="104"/>
    </row>
    <row r="481" spans="4:4" ht="15.75" customHeight="1">
      <c r="D481" s="104"/>
    </row>
    <row r="482" spans="4:4" ht="15.75" customHeight="1">
      <c r="D482" s="104"/>
    </row>
    <row r="483" spans="4:4" ht="15.75" customHeight="1">
      <c r="D483" s="104"/>
    </row>
    <row r="484" spans="4:4" ht="15.75" customHeight="1">
      <c r="D484" s="104"/>
    </row>
    <row r="485" spans="4:4" ht="15.75" customHeight="1">
      <c r="D485" s="104"/>
    </row>
    <row r="486" spans="4:4" ht="15.75" customHeight="1">
      <c r="D486" s="104"/>
    </row>
    <row r="487" spans="4:4" ht="15.75" customHeight="1">
      <c r="D487" s="104"/>
    </row>
    <row r="488" spans="4:4" ht="15.75" customHeight="1">
      <c r="D488" s="104"/>
    </row>
    <row r="489" spans="4:4" ht="15.75" customHeight="1">
      <c r="D489" s="104"/>
    </row>
    <row r="490" spans="4:4" ht="15.75" customHeight="1">
      <c r="D490" s="104"/>
    </row>
    <row r="491" spans="4:4" ht="15.75" customHeight="1">
      <c r="D491" s="104"/>
    </row>
    <row r="492" spans="4:4" ht="15.75" customHeight="1">
      <c r="D492" s="104"/>
    </row>
    <row r="493" spans="4:4" ht="15.75" customHeight="1">
      <c r="D493" s="104"/>
    </row>
    <row r="494" spans="4:4" ht="15.75" customHeight="1">
      <c r="D494" s="104"/>
    </row>
    <row r="495" spans="4:4" ht="15.75" customHeight="1">
      <c r="D495" s="104"/>
    </row>
    <row r="496" spans="4:4" ht="15.75" customHeight="1">
      <c r="D496" s="104"/>
    </row>
    <row r="497" spans="4:4" ht="15.75" customHeight="1">
      <c r="D497" s="104"/>
    </row>
    <row r="498" spans="4:4" ht="15.75" customHeight="1">
      <c r="D498" s="104"/>
    </row>
    <row r="499" spans="4:4" ht="15.75" customHeight="1">
      <c r="D499" s="104"/>
    </row>
    <row r="500" spans="4:4" ht="15.75" customHeight="1">
      <c r="D500" s="104"/>
    </row>
    <row r="501" spans="4:4" ht="15.75" customHeight="1">
      <c r="D501" s="104"/>
    </row>
    <row r="502" spans="4:4" ht="15.75" customHeight="1">
      <c r="D502" s="104"/>
    </row>
    <row r="503" spans="4:4" ht="15.75" customHeight="1">
      <c r="D503" s="104"/>
    </row>
    <row r="504" spans="4:4" ht="15.75" customHeight="1">
      <c r="D504" s="104"/>
    </row>
    <row r="505" spans="4:4" ht="15.75" customHeight="1">
      <c r="D505" s="104"/>
    </row>
    <row r="506" spans="4:4" ht="15.75" customHeight="1">
      <c r="D506" s="104"/>
    </row>
    <row r="507" spans="4:4" ht="15.75" customHeight="1">
      <c r="D507" s="104"/>
    </row>
    <row r="508" spans="4:4" ht="15.75" customHeight="1">
      <c r="D508" s="104"/>
    </row>
    <row r="509" spans="4:4" ht="15.75" customHeight="1">
      <c r="D509" s="104"/>
    </row>
    <row r="510" spans="4:4" ht="15.75" customHeight="1">
      <c r="D510" s="104"/>
    </row>
    <row r="511" spans="4:4" ht="15.75" customHeight="1">
      <c r="D511" s="104"/>
    </row>
    <row r="512" spans="4:4" ht="15.75" customHeight="1">
      <c r="D512" s="104"/>
    </row>
    <row r="513" spans="4:4" ht="15.75" customHeight="1">
      <c r="D513" s="104"/>
    </row>
    <row r="514" spans="4:4" ht="15.75" customHeight="1">
      <c r="D514" s="104"/>
    </row>
    <row r="515" spans="4:4" ht="15.75" customHeight="1">
      <c r="D515" s="104"/>
    </row>
    <row r="516" spans="4:4" ht="15.75" customHeight="1">
      <c r="D516" s="104"/>
    </row>
    <row r="517" spans="4:4" ht="15.75" customHeight="1">
      <c r="D517" s="104"/>
    </row>
    <row r="518" spans="4:4" ht="15.75" customHeight="1">
      <c r="D518" s="104"/>
    </row>
    <row r="519" spans="4:4" ht="15.75" customHeight="1">
      <c r="D519" s="104"/>
    </row>
    <row r="520" spans="4:4" ht="15.75" customHeight="1">
      <c r="D520" s="104"/>
    </row>
    <row r="521" spans="4:4" ht="15.75" customHeight="1">
      <c r="D521" s="104"/>
    </row>
    <row r="522" spans="4:4" ht="15.75" customHeight="1">
      <c r="D522" s="104"/>
    </row>
    <row r="523" spans="4:4" ht="15.75" customHeight="1">
      <c r="D523" s="104"/>
    </row>
    <row r="524" spans="4:4" ht="15.75" customHeight="1">
      <c r="D524" s="104"/>
    </row>
    <row r="525" spans="4:4" ht="15.75" customHeight="1">
      <c r="D525" s="104"/>
    </row>
    <row r="526" spans="4:4" ht="15.75" customHeight="1">
      <c r="D526" s="104"/>
    </row>
    <row r="527" spans="4:4" ht="15.75" customHeight="1">
      <c r="D527" s="104"/>
    </row>
    <row r="528" spans="4:4" ht="15.75" customHeight="1">
      <c r="D528" s="104"/>
    </row>
    <row r="529" spans="4:4" ht="15.75" customHeight="1">
      <c r="D529" s="104"/>
    </row>
    <row r="530" spans="4:4" ht="15.75" customHeight="1">
      <c r="D530" s="104"/>
    </row>
    <row r="531" spans="4:4" ht="15.75" customHeight="1">
      <c r="D531" s="104"/>
    </row>
    <row r="532" spans="4:4" ht="15.75" customHeight="1">
      <c r="D532" s="104"/>
    </row>
    <row r="533" spans="4:4" ht="15.75" customHeight="1">
      <c r="D533" s="104"/>
    </row>
    <row r="534" spans="4:4" ht="15.75" customHeight="1">
      <c r="D534" s="104"/>
    </row>
    <row r="535" spans="4:4" ht="15.75" customHeight="1">
      <c r="D535" s="104"/>
    </row>
    <row r="536" spans="4:4" ht="15.75" customHeight="1">
      <c r="D536" s="104"/>
    </row>
    <row r="537" spans="4:4" ht="15.75" customHeight="1">
      <c r="D537" s="104"/>
    </row>
    <row r="538" spans="4:4" ht="15.75" customHeight="1">
      <c r="D538" s="104"/>
    </row>
    <row r="539" spans="4:4" ht="15.75" customHeight="1">
      <c r="D539" s="104"/>
    </row>
    <row r="540" spans="4:4" ht="15.75" customHeight="1">
      <c r="D540" s="104"/>
    </row>
    <row r="541" spans="4:4" ht="15.75" customHeight="1">
      <c r="D541" s="104"/>
    </row>
    <row r="542" spans="4:4" ht="15.75" customHeight="1">
      <c r="D542" s="104"/>
    </row>
    <row r="543" spans="4:4" ht="15.75" customHeight="1">
      <c r="D543" s="104"/>
    </row>
    <row r="544" spans="4:4" ht="15.75" customHeight="1">
      <c r="D544" s="104"/>
    </row>
    <row r="545" spans="4:4" ht="15.75" customHeight="1">
      <c r="D545" s="104"/>
    </row>
    <row r="546" spans="4:4" ht="15.75" customHeight="1">
      <c r="D546" s="104"/>
    </row>
    <row r="547" spans="4:4" ht="15.75" customHeight="1">
      <c r="D547" s="104"/>
    </row>
    <row r="548" spans="4:4" ht="15.75" customHeight="1">
      <c r="D548" s="104"/>
    </row>
    <row r="549" spans="4:4" ht="15.75" customHeight="1">
      <c r="D549" s="104"/>
    </row>
    <row r="550" spans="4:4" ht="15.75" customHeight="1">
      <c r="D550" s="104"/>
    </row>
    <row r="551" spans="4:4" ht="15.75" customHeight="1">
      <c r="D551" s="104"/>
    </row>
    <row r="552" spans="4:4" ht="15.75" customHeight="1">
      <c r="D552" s="104"/>
    </row>
    <row r="553" spans="4:4" ht="15.75" customHeight="1">
      <c r="D553" s="104"/>
    </row>
    <row r="554" spans="4:4" ht="15.75" customHeight="1">
      <c r="D554" s="104"/>
    </row>
    <row r="555" spans="4:4" ht="15.75" customHeight="1">
      <c r="D555" s="104"/>
    </row>
    <row r="556" spans="4:4" ht="15.75" customHeight="1">
      <c r="D556" s="104"/>
    </row>
    <row r="557" spans="4:4" ht="15.75" customHeight="1">
      <c r="D557" s="104"/>
    </row>
    <row r="558" spans="4:4" ht="15.75" customHeight="1">
      <c r="D558" s="104"/>
    </row>
    <row r="559" spans="4:4" ht="15.75" customHeight="1">
      <c r="D559" s="104"/>
    </row>
    <row r="560" spans="4:4" ht="15.75" customHeight="1">
      <c r="D560" s="104"/>
    </row>
    <row r="561" spans="4:4" ht="15.75" customHeight="1">
      <c r="D561" s="104"/>
    </row>
    <row r="562" spans="4:4" ht="15.75" customHeight="1">
      <c r="D562" s="104"/>
    </row>
    <row r="563" spans="4:4" ht="15.75" customHeight="1">
      <c r="D563" s="104"/>
    </row>
    <row r="564" spans="4:4" ht="15.75" customHeight="1">
      <c r="D564" s="104"/>
    </row>
    <row r="565" spans="4:4" ht="15.75" customHeight="1">
      <c r="D565" s="104"/>
    </row>
    <row r="566" spans="4:4" ht="15.75" customHeight="1">
      <c r="D566" s="104"/>
    </row>
    <row r="567" spans="4:4" ht="15.75" customHeight="1">
      <c r="D567" s="104"/>
    </row>
    <row r="568" spans="4:4" ht="15.75" customHeight="1">
      <c r="D568" s="104"/>
    </row>
    <row r="569" spans="4:4" ht="15.75" customHeight="1">
      <c r="D569" s="104"/>
    </row>
    <row r="570" spans="4:4" ht="15.75" customHeight="1">
      <c r="D570" s="104"/>
    </row>
    <row r="571" spans="4:4" ht="15.75" customHeight="1">
      <c r="D571" s="104"/>
    </row>
    <row r="572" spans="4:4" ht="15.75" customHeight="1">
      <c r="D572" s="104"/>
    </row>
    <row r="573" spans="4:4" ht="15.75" customHeight="1">
      <c r="D573" s="104"/>
    </row>
    <row r="574" spans="4:4" ht="15.75" customHeight="1">
      <c r="D574" s="104"/>
    </row>
    <row r="575" spans="4:4" ht="15.75" customHeight="1">
      <c r="D575" s="104"/>
    </row>
    <row r="576" spans="4:4" ht="15.75" customHeight="1">
      <c r="D576" s="104"/>
    </row>
    <row r="577" spans="4:4" ht="15.75" customHeight="1">
      <c r="D577" s="104"/>
    </row>
    <row r="578" spans="4:4" ht="15.75" customHeight="1">
      <c r="D578" s="104"/>
    </row>
    <row r="579" spans="4:4" ht="15.75" customHeight="1">
      <c r="D579" s="104"/>
    </row>
    <row r="580" spans="4:4" ht="15.75" customHeight="1">
      <c r="D580" s="104"/>
    </row>
    <row r="581" spans="4:4" ht="15.75" customHeight="1">
      <c r="D581" s="104"/>
    </row>
    <row r="582" spans="4:4" ht="15.75" customHeight="1">
      <c r="D582" s="104"/>
    </row>
    <row r="583" spans="4:4" ht="15.75" customHeight="1">
      <c r="D583" s="104"/>
    </row>
    <row r="584" spans="4:4" ht="15.75" customHeight="1">
      <c r="D584" s="104"/>
    </row>
    <row r="585" spans="4:4" ht="15.75" customHeight="1">
      <c r="D585" s="104"/>
    </row>
    <row r="586" spans="4:4" ht="15.75" customHeight="1">
      <c r="D586" s="104"/>
    </row>
    <row r="587" spans="4:4" ht="15.75" customHeight="1">
      <c r="D587" s="104"/>
    </row>
    <row r="588" spans="4:4" ht="15.75" customHeight="1">
      <c r="D588" s="104"/>
    </row>
    <row r="589" spans="4:4" ht="15.75" customHeight="1">
      <c r="D589" s="104"/>
    </row>
    <row r="590" spans="4:4" ht="15.75" customHeight="1">
      <c r="D590" s="104"/>
    </row>
    <row r="591" spans="4:4" ht="15.75" customHeight="1">
      <c r="D591" s="104"/>
    </row>
    <row r="592" spans="4:4" ht="15.75" customHeight="1">
      <c r="D592" s="104"/>
    </row>
    <row r="593" spans="4:4" ht="15.75" customHeight="1">
      <c r="D593" s="104"/>
    </row>
    <row r="594" spans="4:4" ht="15.75" customHeight="1">
      <c r="D594" s="104"/>
    </row>
    <row r="595" spans="4:4" ht="15.75" customHeight="1">
      <c r="D595" s="104"/>
    </row>
    <row r="596" spans="4:4" ht="15.75" customHeight="1">
      <c r="D596" s="104"/>
    </row>
    <row r="597" spans="4:4" ht="15.75" customHeight="1">
      <c r="D597" s="104"/>
    </row>
    <row r="598" spans="4:4" ht="15.75" customHeight="1">
      <c r="D598" s="104"/>
    </row>
    <row r="599" spans="4:4" ht="15.75" customHeight="1">
      <c r="D599" s="104"/>
    </row>
    <row r="600" spans="4:4" ht="15.75" customHeight="1">
      <c r="D600" s="104"/>
    </row>
    <row r="601" spans="4:4" ht="15.75" customHeight="1">
      <c r="D601" s="104"/>
    </row>
    <row r="602" spans="4:4" ht="15.75" customHeight="1">
      <c r="D602" s="104"/>
    </row>
    <row r="603" spans="4:4" ht="15.75" customHeight="1">
      <c r="D603" s="104"/>
    </row>
    <row r="604" spans="4:4" ht="15.75" customHeight="1">
      <c r="D604" s="104"/>
    </row>
    <row r="605" spans="4:4" ht="15.75" customHeight="1">
      <c r="D605" s="104"/>
    </row>
    <row r="606" spans="4:4" ht="15.75" customHeight="1">
      <c r="D606" s="104"/>
    </row>
    <row r="607" spans="4:4" ht="15.75" customHeight="1">
      <c r="D607" s="104"/>
    </row>
    <row r="608" spans="4:4" ht="15.75" customHeight="1">
      <c r="D608" s="104"/>
    </row>
    <row r="609" spans="4:4" ht="15.75" customHeight="1">
      <c r="D609" s="104"/>
    </row>
    <row r="610" spans="4:4" ht="15.75" customHeight="1">
      <c r="D610" s="104"/>
    </row>
    <row r="611" spans="4:4" ht="15.75" customHeight="1">
      <c r="D611" s="104"/>
    </row>
    <row r="612" spans="4:4" ht="15.75" customHeight="1">
      <c r="D612" s="104"/>
    </row>
    <row r="613" spans="4:4" ht="15.75" customHeight="1">
      <c r="D613" s="104"/>
    </row>
    <row r="614" spans="4:4" ht="15.75" customHeight="1">
      <c r="D614" s="104"/>
    </row>
    <row r="615" spans="4:4" ht="15.75" customHeight="1">
      <c r="D615" s="104"/>
    </row>
    <row r="616" spans="4:4" ht="15.75" customHeight="1">
      <c r="D616" s="104"/>
    </row>
    <row r="617" spans="4:4" ht="15.75" customHeight="1">
      <c r="D617" s="104"/>
    </row>
    <row r="618" spans="4:4" ht="15.75" customHeight="1">
      <c r="D618" s="104"/>
    </row>
    <row r="619" spans="4:4" ht="15.75" customHeight="1">
      <c r="D619" s="104"/>
    </row>
    <row r="620" spans="4:4" ht="15.75" customHeight="1">
      <c r="D620" s="104"/>
    </row>
    <row r="621" spans="4:4" ht="15.75" customHeight="1">
      <c r="D621" s="104"/>
    </row>
    <row r="622" spans="4:4" ht="15.75" customHeight="1">
      <c r="D622" s="104"/>
    </row>
    <row r="623" spans="4:4" ht="15.75" customHeight="1">
      <c r="D623" s="104"/>
    </row>
    <row r="624" spans="4:4" ht="15.75" customHeight="1">
      <c r="D624" s="104"/>
    </row>
    <row r="625" spans="4:4" ht="15.75" customHeight="1">
      <c r="D625" s="104"/>
    </row>
    <row r="626" spans="4:4" ht="15.75" customHeight="1">
      <c r="D626" s="104"/>
    </row>
    <row r="627" spans="4:4" ht="15.75" customHeight="1">
      <c r="D627" s="104"/>
    </row>
    <row r="628" spans="4:4" ht="15.75" customHeight="1">
      <c r="D628" s="104"/>
    </row>
    <row r="629" spans="4:4" ht="15.75" customHeight="1">
      <c r="D629" s="104"/>
    </row>
    <row r="630" spans="4:4" ht="15.75" customHeight="1">
      <c r="D630" s="104"/>
    </row>
    <row r="631" spans="4:4" ht="15.75" customHeight="1">
      <c r="D631" s="104"/>
    </row>
    <row r="632" spans="4:4" ht="15.75" customHeight="1">
      <c r="D632" s="104"/>
    </row>
    <row r="633" spans="4:4" ht="15.75" customHeight="1">
      <c r="D633" s="104"/>
    </row>
    <row r="634" spans="4:4" ht="15.75" customHeight="1">
      <c r="D634" s="104"/>
    </row>
    <row r="635" spans="4:4" ht="15.75" customHeight="1">
      <c r="D635" s="104"/>
    </row>
    <row r="636" spans="4:4" ht="15.75" customHeight="1">
      <c r="D636" s="104"/>
    </row>
    <row r="637" spans="4:4" ht="15.75" customHeight="1">
      <c r="D637" s="104"/>
    </row>
    <row r="638" spans="4:4" ht="15.75" customHeight="1">
      <c r="D638" s="104"/>
    </row>
    <row r="639" spans="4:4" ht="15.75" customHeight="1">
      <c r="D639" s="104"/>
    </row>
    <row r="640" spans="4:4" ht="15.75" customHeight="1">
      <c r="D640" s="104"/>
    </row>
    <row r="641" spans="4:4" ht="15.75" customHeight="1">
      <c r="D641" s="104"/>
    </row>
    <row r="642" spans="4:4" ht="15.75" customHeight="1">
      <c r="D642" s="104"/>
    </row>
    <row r="643" spans="4:4" ht="15.75" customHeight="1">
      <c r="D643" s="104"/>
    </row>
    <row r="644" spans="4:4" ht="15.75" customHeight="1">
      <c r="D644" s="104"/>
    </row>
    <row r="645" spans="4:4" ht="15.75" customHeight="1">
      <c r="D645" s="104"/>
    </row>
    <row r="646" spans="4:4" ht="15.75" customHeight="1">
      <c r="D646" s="104"/>
    </row>
    <row r="647" spans="4:4" ht="15.75" customHeight="1">
      <c r="D647" s="104"/>
    </row>
    <row r="648" spans="4:4" ht="15.75" customHeight="1">
      <c r="D648" s="104"/>
    </row>
    <row r="649" spans="4:4" ht="15.75" customHeight="1">
      <c r="D649" s="104"/>
    </row>
    <row r="650" spans="4:4" ht="15.75" customHeight="1">
      <c r="D650" s="104"/>
    </row>
    <row r="651" spans="4:4" ht="15.75" customHeight="1">
      <c r="D651" s="104"/>
    </row>
    <row r="652" spans="4:4" ht="15.75" customHeight="1">
      <c r="D652" s="104"/>
    </row>
    <row r="653" spans="4:4" ht="15.75" customHeight="1">
      <c r="D653" s="104"/>
    </row>
    <row r="654" spans="4:4" ht="15.75" customHeight="1">
      <c r="D654" s="104"/>
    </row>
    <row r="655" spans="4:4" ht="15.75" customHeight="1">
      <c r="D655" s="104"/>
    </row>
    <row r="656" spans="4:4" ht="15.75" customHeight="1">
      <c r="D656" s="104"/>
    </row>
    <row r="657" spans="4:4" ht="15.75" customHeight="1">
      <c r="D657" s="104"/>
    </row>
    <row r="658" spans="4:4" ht="15.75" customHeight="1">
      <c r="D658" s="104"/>
    </row>
    <row r="659" spans="4:4" ht="15.75" customHeight="1">
      <c r="D659" s="104"/>
    </row>
    <row r="660" spans="4:4" ht="15.75" customHeight="1">
      <c r="D660" s="104"/>
    </row>
    <row r="661" spans="4:4" ht="15.75" customHeight="1">
      <c r="D661" s="104"/>
    </row>
    <row r="662" spans="4:4" ht="15.75" customHeight="1">
      <c r="D662" s="104"/>
    </row>
    <row r="663" spans="4:4" ht="15.75" customHeight="1">
      <c r="D663" s="104"/>
    </row>
    <row r="664" spans="4:4" ht="15.75" customHeight="1">
      <c r="D664" s="104"/>
    </row>
    <row r="665" spans="4:4" ht="15.75" customHeight="1">
      <c r="D665" s="104"/>
    </row>
    <row r="666" spans="4:4" ht="15.75" customHeight="1">
      <c r="D666" s="104"/>
    </row>
    <row r="667" spans="4:4" ht="15.75" customHeight="1">
      <c r="D667" s="104"/>
    </row>
    <row r="668" spans="4:4" ht="15.75" customHeight="1">
      <c r="D668" s="104"/>
    </row>
    <row r="669" spans="4:4" ht="15.75" customHeight="1">
      <c r="D669" s="104"/>
    </row>
    <row r="670" spans="4:4" ht="15.75" customHeight="1">
      <c r="D670" s="104"/>
    </row>
    <row r="671" spans="4:4" ht="15.75" customHeight="1">
      <c r="D671" s="104"/>
    </row>
    <row r="672" spans="4:4" ht="15.75" customHeight="1">
      <c r="D672" s="104"/>
    </row>
    <row r="673" spans="4:4" ht="15.75" customHeight="1">
      <c r="D673" s="104"/>
    </row>
    <row r="674" spans="4:4" ht="15.75" customHeight="1">
      <c r="D674" s="104"/>
    </row>
    <row r="675" spans="4:4" ht="15.75" customHeight="1">
      <c r="D675" s="104"/>
    </row>
    <row r="676" spans="4:4" ht="15.75" customHeight="1">
      <c r="D676" s="104"/>
    </row>
    <row r="677" spans="4:4" ht="15.75" customHeight="1">
      <c r="D677" s="104"/>
    </row>
    <row r="678" spans="4:4" ht="15.75" customHeight="1">
      <c r="D678" s="104"/>
    </row>
    <row r="679" spans="4:4" ht="15.75" customHeight="1">
      <c r="D679" s="104"/>
    </row>
    <row r="680" spans="4:4" ht="15.75" customHeight="1">
      <c r="D680" s="104"/>
    </row>
    <row r="681" spans="4:4" ht="15.75" customHeight="1">
      <c r="D681" s="104"/>
    </row>
    <row r="682" spans="4:4" ht="15.75" customHeight="1">
      <c r="D682" s="104"/>
    </row>
    <row r="683" spans="4:4" ht="15.75" customHeight="1">
      <c r="D683" s="104"/>
    </row>
    <row r="684" spans="4:4" ht="15.75" customHeight="1">
      <c r="D684" s="104"/>
    </row>
    <row r="685" spans="4:4" ht="15.75" customHeight="1">
      <c r="D685" s="104"/>
    </row>
    <row r="686" spans="4:4" ht="15.75" customHeight="1">
      <c r="D686" s="104"/>
    </row>
    <row r="687" spans="4:4" ht="15.75" customHeight="1">
      <c r="D687" s="104"/>
    </row>
    <row r="688" spans="4:4" ht="15.75" customHeight="1">
      <c r="D688" s="104"/>
    </row>
    <row r="689" spans="4:4" ht="15.75" customHeight="1">
      <c r="D689" s="104"/>
    </row>
    <row r="690" spans="4:4" ht="15.75" customHeight="1">
      <c r="D690" s="104"/>
    </row>
    <row r="691" spans="4:4" ht="15.75" customHeight="1">
      <c r="D691" s="104"/>
    </row>
    <row r="692" spans="4:4" ht="15.75" customHeight="1">
      <c r="D692" s="104"/>
    </row>
    <row r="693" spans="4:4" ht="15.75" customHeight="1">
      <c r="D693" s="104"/>
    </row>
    <row r="694" spans="4:4" ht="15.75" customHeight="1">
      <c r="D694" s="104"/>
    </row>
    <row r="695" spans="4:4" ht="15.75" customHeight="1">
      <c r="D695" s="104"/>
    </row>
    <row r="696" spans="4:4" ht="15.75" customHeight="1">
      <c r="D696" s="104"/>
    </row>
    <row r="697" spans="4:4" ht="15.75" customHeight="1">
      <c r="D697" s="104"/>
    </row>
    <row r="698" spans="4:4" ht="15.75" customHeight="1">
      <c r="D698" s="104"/>
    </row>
    <row r="699" spans="4:4" ht="15.75" customHeight="1">
      <c r="D699" s="104"/>
    </row>
    <row r="700" spans="4:4" ht="15.75" customHeight="1">
      <c r="D700" s="104"/>
    </row>
    <row r="701" spans="4:4" ht="15.75" customHeight="1">
      <c r="D701" s="104"/>
    </row>
    <row r="702" spans="4:4" ht="15.75" customHeight="1">
      <c r="D702" s="104"/>
    </row>
    <row r="703" spans="4:4" ht="15.75" customHeight="1">
      <c r="D703" s="104"/>
    </row>
    <row r="704" spans="4:4" ht="15.75" customHeight="1">
      <c r="D704" s="104"/>
    </row>
    <row r="705" spans="4:4" ht="15.75" customHeight="1">
      <c r="D705" s="104"/>
    </row>
    <row r="706" spans="4:4" ht="15.75" customHeight="1">
      <c r="D706" s="104"/>
    </row>
    <row r="707" spans="4:4" ht="15.75" customHeight="1">
      <c r="D707" s="104"/>
    </row>
    <row r="708" spans="4:4" ht="15.75" customHeight="1">
      <c r="D708" s="104"/>
    </row>
    <row r="709" spans="4:4" ht="15.75" customHeight="1">
      <c r="D709" s="104"/>
    </row>
    <row r="710" spans="4:4" ht="15.75" customHeight="1">
      <c r="D710" s="104"/>
    </row>
    <row r="711" spans="4:4" ht="15.75" customHeight="1">
      <c r="D711" s="104"/>
    </row>
    <row r="712" spans="4:4" ht="15.75" customHeight="1">
      <c r="D712" s="104"/>
    </row>
    <row r="713" spans="4:4" ht="15.75" customHeight="1">
      <c r="D713" s="104"/>
    </row>
    <row r="714" spans="4:4" ht="15.75" customHeight="1">
      <c r="D714" s="104"/>
    </row>
    <row r="715" spans="4:4" ht="15.75" customHeight="1">
      <c r="D715" s="104"/>
    </row>
    <row r="716" spans="4:4" ht="15.75" customHeight="1">
      <c r="D716" s="104"/>
    </row>
    <row r="717" spans="4:4" ht="15.75" customHeight="1">
      <c r="D717" s="104"/>
    </row>
    <row r="718" spans="4:4" ht="15.75" customHeight="1">
      <c r="D718" s="104"/>
    </row>
    <row r="719" spans="4:4" ht="15.75" customHeight="1">
      <c r="D719" s="104"/>
    </row>
    <row r="720" spans="4:4" ht="15.75" customHeight="1">
      <c r="D720" s="104"/>
    </row>
    <row r="721" spans="4:4" ht="15.75" customHeight="1">
      <c r="D721" s="104"/>
    </row>
    <row r="722" spans="4:4" ht="15.75" customHeight="1">
      <c r="D722" s="104"/>
    </row>
    <row r="723" spans="4:4" ht="15.75" customHeight="1">
      <c r="D723" s="104"/>
    </row>
    <row r="724" spans="4:4" ht="15.75" customHeight="1">
      <c r="D724" s="104"/>
    </row>
    <row r="725" spans="4:4" ht="15.75" customHeight="1">
      <c r="D725" s="104"/>
    </row>
    <row r="726" spans="4:4" ht="15.75" customHeight="1">
      <c r="D726" s="104"/>
    </row>
    <row r="727" spans="4:4" ht="15.75" customHeight="1">
      <c r="D727" s="104"/>
    </row>
    <row r="728" spans="4:4" ht="15.75" customHeight="1">
      <c r="D728" s="104"/>
    </row>
    <row r="729" spans="4:4" ht="15.75" customHeight="1">
      <c r="D729" s="104"/>
    </row>
    <row r="730" spans="4:4" ht="15.75" customHeight="1">
      <c r="D730" s="104"/>
    </row>
    <row r="731" spans="4:4" ht="15.75" customHeight="1">
      <c r="D731" s="104"/>
    </row>
    <row r="732" spans="4:4" ht="15.75" customHeight="1">
      <c r="D732" s="104"/>
    </row>
    <row r="733" spans="4:4" ht="15.75" customHeight="1">
      <c r="D733" s="104"/>
    </row>
    <row r="734" spans="4:4" ht="15.75" customHeight="1">
      <c r="D734" s="104"/>
    </row>
    <row r="735" spans="4:4" ht="15.75" customHeight="1">
      <c r="D735" s="104"/>
    </row>
    <row r="736" spans="4:4" ht="15.75" customHeight="1">
      <c r="D736" s="104"/>
    </row>
    <row r="737" spans="4:4" ht="15.75" customHeight="1">
      <c r="D737" s="104"/>
    </row>
    <row r="738" spans="4:4" ht="15.75" customHeight="1">
      <c r="D738" s="104"/>
    </row>
    <row r="739" spans="4:4" ht="15.75" customHeight="1">
      <c r="D739" s="104"/>
    </row>
    <row r="740" spans="4:4" ht="15.75" customHeight="1">
      <c r="D740" s="104"/>
    </row>
    <row r="741" spans="4:4" ht="15.75" customHeight="1">
      <c r="D741" s="104"/>
    </row>
    <row r="742" spans="4:4" ht="15.75" customHeight="1">
      <c r="D742" s="104"/>
    </row>
    <row r="743" spans="4:4" ht="15.75" customHeight="1">
      <c r="D743" s="104"/>
    </row>
    <row r="744" spans="4:4" ht="15.75" customHeight="1">
      <c r="D744" s="104"/>
    </row>
    <row r="745" spans="4:4" ht="15.75" customHeight="1">
      <c r="D745" s="104"/>
    </row>
    <row r="746" spans="4:4" ht="15.75" customHeight="1">
      <c r="D746" s="104"/>
    </row>
    <row r="747" spans="4:4" ht="15.75" customHeight="1">
      <c r="D747" s="104"/>
    </row>
    <row r="748" spans="4:4" ht="15.75" customHeight="1">
      <c r="D748" s="104"/>
    </row>
    <row r="749" spans="4:4" ht="15.75" customHeight="1">
      <c r="D749" s="104"/>
    </row>
    <row r="750" spans="4:4" ht="15.75" customHeight="1">
      <c r="D750" s="104"/>
    </row>
    <row r="751" spans="4:4" ht="15.75" customHeight="1">
      <c r="D751" s="104"/>
    </row>
    <row r="752" spans="4:4" ht="15.75" customHeight="1">
      <c r="D752" s="104"/>
    </row>
    <row r="753" spans="4:4" ht="15.75" customHeight="1">
      <c r="D753" s="104"/>
    </row>
    <row r="754" spans="4:4" ht="15.75" customHeight="1">
      <c r="D754" s="104"/>
    </row>
    <row r="755" spans="4:4" ht="15.75" customHeight="1">
      <c r="D755" s="104"/>
    </row>
    <row r="756" spans="4:4" ht="15.75" customHeight="1">
      <c r="D756" s="104"/>
    </row>
    <row r="757" spans="4:4" ht="15.75" customHeight="1">
      <c r="D757" s="104"/>
    </row>
    <row r="758" spans="4:4" ht="15.75" customHeight="1">
      <c r="D758" s="104"/>
    </row>
    <row r="759" spans="4:4" ht="15.75" customHeight="1">
      <c r="D759" s="104"/>
    </row>
    <row r="760" spans="4:4" ht="15.75" customHeight="1">
      <c r="D760" s="104"/>
    </row>
    <row r="761" spans="4:4" ht="15.75" customHeight="1">
      <c r="D761" s="104"/>
    </row>
    <row r="762" spans="4:4" ht="15.75" customHeight="1">
      <c r="D762" s="104"/>
    </row>
    <row r="763" spans="4:4" ht="15.75" customHeight="1">
      <c r="D763" s="104"/>
    </row>
    <row r="764" spans="4:4" ht="15.75" customHeight="1">
      <c r="D764" s="104"/>
    </row>
    <row r="765" spans="4:4" ht="15.75" customHeight="1">
      <c r="D765" s="104"/>
    </row>
    <row r="766" spans="4:4" ht="15.75" customHeight="1">
      <c r="D766" s="104"/>
    </row>
    <row r="767" spans="4:4" ht="15.75" customHeight="1">
      <c r="D767" s="104"/>
    </row>
    <row r="768" spans="4:4" ht="15.75" customHeight="1">
      <c r="D768" s="104"/>
    </row>
    <row r="769" spans="4:4" ht="15.75" customHeight="1">
      <c r="D769" s="104"/>
    </row>
    <row r="770" spans="4:4" ht="15.75" customHeight="1">
      <c r="D770" s="104"/>
    </row>
    <row r="771" spans="4:4" ht="15.75" customHeight="1">
      <c r="D771" s="104"/>
    </row>
    <row r="772" spans="4:4" ht="15.75" customHeight="1">
      <c r="D772" s="104"/>
    </row>
    <row r="773" spans="4:4" ht="15.75" customHeight="1">
      <c r="D773" s="104"/>
    </row>
    <row r="774" spans="4:4" ht="15.75" customHeight="1">
      <c r="D774" s="104"/>
    </row>
    <row r="775" spans="4:4" ht="15.75" customHeight="1">
      <c r="D775" s="104"/>
    </row>
    <row r="776" spans="4:4" ht="15.75" customHeight="1">
      <c r="D776" s="104"/>
    </row>
    <row r="777" spans="4:4" ht="15.75" customHeight="1">
      <c r="D777" s="104"/>
    </row>
    <row r="778" spans="4:4" ht="15.75" customHeight="1">
      <c r="D778" s="104"/>
    </row>
    <row r="779" spans="4:4" ht="15.75" customHeight="1">
      <c r="D779" s="104"/>
    </row>
    <row r="780" spans="4:4" ht="15.75" customHeight="1">
      <c r="D780" s="104"/>
    </row>
    <row r="781" spans="4:4" ht="15.75" customHeight="1">
      <c r="D781" s="104"/>
    </row>
    <row r="782" spans="4:4" ht="15.75" customHeight="1">
      <c r="D782" s="104"/>
    </row>
    <row r="783" spans="4:4" ht="15.75" customHeight="1">
      <c r="D783" s="104"/>
    </row>
    <row r="784" spans="4:4" ht="15.75" customHeight="1">
      <c r="D784" s="104"/>
    </row>
    <row r="785" spans="4:4" ht="15.75" customHeight="1">
      <c r="D785" s="104"/>
    </row>
    <row r="786" spans="4:4" ht="15.75" customHeight="1">
      <c r="D786" s="104"/>
    </row>
    <row r="787" spans="4:4" ht="15.75" customHeight="1">
      <c r="D787" s="104"/>
    </row>
    <row r="788" spans="4:4" ht="15.75" customHeight="1">
      <c r="D788" s="104"/>
    </row>
    <row r="789" spans="4:4" ht="15.75" customHeight="1">
      <c r="D789" s="104"/>
    </row>
    <row r="790" spans="4:4" ht="15.75" customHeight="1">
      <c r="D790" s="104"/>
    </row>
    <row r="791" spans="4:4" ht="15.75" customHeight="1">
      <c r="D791" s="104"/>
    </row>
    <row r="792" spans="4:4" ht="15.75" customHeight="1">
      <c r="D792" s="104"/>
    </row>
    <row r="793" spans="4:4" ht="15.75" customHeight="1">
      <c r="D793" s="104"/>
    </row>
    <row r="794" spans="4:4" ht="15.75" customHeight="1">
      <c r="D794" s="104"/>
    </row>
    <row r="795" spans="4:4" ht="15.75" customHeight="1">
      <c r="D795" s="104"/>
    </row>
    <row r="796" spans="4:4" ht="15.75" customHeight="1">
      <c r="D796" s="104"/>
    </row>
    <row r="797" spans="4:4" ht="15.75" customHeight="1">
      <c r="D797" s="104"/>
    </row>
    <row r="798" spans="4:4" ht="15.75" customHeight="1">
      <c r="D798" s="104"/>
    </row>
    <row r="799" spans="4:4" ht="15.75" customHeight="1">
      <c r="D799" s="104"/>
    </row>
    <row r="800" spans="4:4" ht="15.75" customHeight="1">
      <c r="D800" s="104"/>
    </row>
    <row r="801" spans="4:4" ht="15.75" customHeight="1">
      <c r="D801" s="104"/>
    </row>
    <row r="802" spans="4:4" ht="15.75" customHeight="1">
      <c r="D802" s="104"/>
    </row>
    <row r="803" spans="4:4" ht="15.75" customHeight="1">
      <c r="D803" s="104"/>
    </row>
    <row r="804" spans="4:4" ht="15.75" customHeight="1">
      <c r="D804" s="104"/>
    </row>
    <row r="805" spans="4:4" ht="15.75" customHeight="1">
      <c r="D805" s="104"/>
    </row>
    <row r="806" spans="4:4" ht="15.75" customHeight="1">
      <c r="D806" s="104"/>
    </row>
    <row r="807" spans="4:4" ht="15.75" customHeight="1">
      <c r="D807" s="104"/>
    </row>
    <row r="808" spans="4:4" ht="15.75" customHeight="1">
      <c r="D808" s="104"/>
    </row>
    <row r="809" spans="4:4" ht="15.75" customHeight="1">
      <c r="D809" s="104"/>
    </row>
    <row r="810" spans="4:4" ht="15.75" customHeight="1">
      <c r="D810" s="104"/>
    </row>
    <row r="811" spans="4:4" ht="15.75" customHeight="1">
      <c r="D811" s="104"/>
    </row>
    <row r="812" spans="4:4" ht="15.75" customHeight="1">
      <c r="D812" s="104"/>
    </row>
    <row r="813" spans="4:4" ht="15.75" customHeight="1">
      <c r="D813" s="104"/>
    </row>
    <row r="814" spans="4:4" ht="15.75" customHeight="1">
      <c r="D814" s="104"/>
    </row>
    <row r="815" spans="4:4" ht="15.75" customHeight="1">
      <c r="D815" s="104"/>
    </row>
    <row r="816" spans="4:4" ht="15.75" customHeight="1">
      <c r="D816" s="104"/>
    </row>
    <row r="817" spans="4:4" ht="15.75" customHeight="1">
      <c r="D817" s="104"/>
    </row>
    <row r="818" spans="4:4" ht="15.75" customHeight="1">
      <c r="D818" s="104"/>
    </row>
    <row r="819" spans="4:4" ht="15.75" customHeight="1">
      <c r="D819" s="104"/>
    </row>
    <row r="820" spans="4:4" ht="15.75" customHeight="1">
      <c r="D820" s="104"/>
    </row>
    <row r="821" spans="4:4" ht="15.75" customHeight="1">
      <c r="D821" s="104"/>
    </row>
    <row r="822" spans="4:4" ht="15.75" customHeight="1">
      <c r="D822" s="104"/>
    </row>
    <row r="823" spans="4:4" ht="15.75" customHeight="1">
      <c r="D823" s="104"/>
    </row>
    <row r="824" spans="4:4" ht="15.75" customHeight="1">
      <c r="D824" s="104"/>
    </row>
    <row r="825" spans="4:4" ht="15.75" customHeight="1">
      <c r="D825" s="104"/>
    </row>
    <row r="826" spans="4:4" ht="15.75" customHeight="1">
      <c r="D826" s="104"/>
    </row>
    <row r="827" spans="4:4" ht="15.75" customHeight="1">
      <c r="D827" s="104"/>
    </row>
    <row r="828" spans="4:4" ht="15.75" customHeight="1">
      <c r="D828" s="104"/>
    </row>
    <row r="829" spans="4:4" ht="15.75" customHeight="1">
      <c r="D829" s="104"/>
    </row>
    <row r="830" spans="4:4" ht="15.75" customHeight="1">
      <c r="D830" s="104"/>
    </row>
    <row r="831" spans="4:4" ht="15.75" customHeight="1">
      <c r="D831" s="104"/>
    </row>
    <row r="832" spans="4:4" ht="15.75" customHeight="1">
      <c r="D832" s="104"/>
    </row>
    <row r="833" spans="4:4" ht="15.75" customHeight="1">
      <c r="D833" s="104"/>
    </row>
    <row r="834" spans="4:4" ht="15.75" customHeight="1">
      <c r="D834" s="104"/>
    </row>
    <row r="835" spans="4:4" ht="15.75" customHeight="1">
      <c r="D835" s="104"/>
    </row>
    <row r="836" spans="4:4" ht="15.75" customHeight="1">
      <c r="D836" s="104"/>
    </row>
    <row r="837" spans="4:4" ht="15.75" customHeight="1">
      <c r="D837" s="104"/>
    </row>
    <row r="838" spans="4:4" ht="15.75" customHeight="1">
      <c r="D838" s="104"/>
    </row>
    <row r="839" spans="4:4" ht="15.75" customHeight="1">
      <c r="D839" s="104"/>
    </row>
    <row r="840" spans="4:4" ht="15.75" customHeight="1">
      <c r="D840" s="104"/>
    </row>
    <row r="841" spans="4:4" ht="15.75" customHeight="1">
      <c r="D841" s="104"/>
    </row>
    <row r="842" spans="4:4" ht="15.75" customHeight="1">
      <c r="D842" s="104"/>
    </row>
    <row r="843" spans="4:4" ht="15.75" customHeight="1">
      <c r="D843" s="104"/>
    </row>
    <row r="844" spans="4:4" ht="15.75" customHeight="1">
      <c r="D844" s="104"/>
    </row>
    <row r="845" spans="4:4" ht="15.75" customHeight="1">
      <c r="D845" s="104"/>
    </row>
    <row r="846" spans="4:4" ht="15.75" customHeight="1">
      <c r="D846" s="104"/>
    </row>
    <row r="847" spans="4:4" ht="15.75" customHeight="1">
      <c r="D847" s="104"/>
    </row>
    <row r="848" spans="4:4" ht="15.75" customHeight="1">
      <c r="D848" s="104"/>
    </row>
    <row r="849" spans="4:4" ht="15.75" customHeight="1">
      <c r="D849" s="104"/>
    </row>
    <row r="850" spans="4:4" ht="15.75" customHeight="1">
      <c r="D850" s="104"/>
    </row>
    <row r="851" spans="4:4" ht="15.75" customHeight="1">
      <c r="D851" s="104"/>
    </row>
    <row r="852" spans="4:4" ht="15.75" customHeight="1">
      <c r="D852" s="104"/>
    </row>
    <row r="853" spans="4:4" ht="15.75" customHeight="1">
      <c r="D853" s="104"/>
    </row>
    <row r="854" spans="4:4" ht="15.75" customHeight="1">
      <c r="D854" s="104"/>
    </row>
    <row r="855" spans="4:4" ht="15.75" customHeight="1">
      <c r="D855" s="104"/>
    </row>
    <row r="856" spans="4:4" ht="15.75" customHeight="1">
      <c r="D856" s="104"/>
    </row>
    <row r="857" spans="4:4" ht="15.75" customHeight="1">
      <c r="D857" s="104"/>
    </row>
    <row r="858" spans="4:4" ht="15.75" customHeight="1">
      <c r="D858" s="104"/>
    </row>
    <row r="859" spans="4:4" ht="15.75" customHeight="1">
      <c r="D859" s="104"/>
    </row>
    <row r="860" spans="4:4" ht="15.75" customHeight="1">
      <c r="D860" s="104"/>
    </row>
    <row r="861" spans="4:4" ht="15.75" customHeight="1">
      <c r="D861" s="104"/>
    </row>
    <row r="862" spans="4:4" ht="15.75" customHeight="1">
      <c r="D862" s="104"/>
    </row>
    <row r="863" spans="4:4" ht="15.75" customHeight="1">
      <c r="D863" s="104"/>
    </row>
    <row r="864" spans="4:4" ht="15.75" customHeight="1">
      <c r="D864" s="104"/>
    </row>
    <row r="865" spans="4:4" ht="15.75" customHeight="1">
      <c r="D865" s="104"/>
    </row>
    <row r="866" spans="4:4" ht="15.75" customHeight="1">
      <c r="D866" s="104"/>
    </row>
    <row r="867" spans="4:4" ht="15.75" customHeight="1">
      <c r="D867" s="104"/>
    </row>
    <row r="868" spans="4:4" ht="15.75" customHeight="1">
      <c r="D868" s="104"/>
    </row>
    <row r="869" spans="4:4" ht="15.75" customHeight="1">
      <c r="D869" s="104"/>
    </row>
    <row r="870" spans="4:4" ht="15.75" customHeight="1">
      <c r="D870" s="104"/>
    </row>
    <row r="871" spans="4:4" ht="15.75" customHeight="1">
      <c r="D871" s="104"/>
    </row>
    <row r="872" spans="4:4" ht="15.75" customHeight="1">
      <c r="D872" s="104"/>
    </row>
    <row r="873" spans="4:4" ht="15.75" customHeight="1">
      <c r="D873" s="104"/>
    </row>
    <row r="874" spans="4:4" ht="15.75" customHeight="1">
      <c r="D874" s="104"/>
    </row>
    <row r="875" spans="4:4" ht="15.75" customHeight="1">
      <c r="D875" s="104"/>
    </row>
    <row r="876" spans="4:4" ht="15.75" customHeight="1">
      <c r="D876" s="104"/>
    </row>
    <row r="877" spans="4:4" ht="15.75" customHeight="1">
      <c r="D877" s="104"/>
    </row>
    <row r="878" spans="4:4" ht="15.75" customHeight="1">
      <c r="D878" s="104"/>
    </row>
    <row r="879" spans="4:4" ht="15.75" customHeight="1">
      <c r="D879" s="104"/>
    </row>
    <row r="880" spans="4:4" ht="15.75" customHeight="1">
      <c r="D880" s="104"/>
    </row>
    <row r="881" spans="4:4" ht="15.75" customHeight="1">
      <c r="D881" s="104"/>
    </row>
    <row r="882" spans="4:4" ht="15.75" customHeight="1">
      <c r="D882" s="104"/>
    </row>
    <row r="883" spans="4:4" ht="15.75" customHeight="1">
      <c r="D883" s="104"/>
    </row>
    <row r="884" spans="4:4" ht="15.75" customHeight="1">
      <c r="D884" s="104"/>
    </row>
    <row r="885" spans="4:4" ht="15.75" customHeight="1">
      <c r="D885" s="104"/>
    </row>
    <row r="886" spans="4:4" ht="15.75" customHeight="1">
      <c r="D886" s="104"/>
    </row>
    <row r="887" spans="4:4" ht="15.75" customHeight="1">
      <c r="D887" s="104"/>
    </row>
    <row r="888" spans="4:4" ht="15.75" customHeight="1">
      <c r="D888" s="104"/>
    </row>
    <row r="889" spans="4:4" ht="15.75" customHeight="1">
      <c r="D889" s="104"/>
    </row>
    <row r="890" spans="4:4" ht="15.75" customHeight="1">
      <c r="D890" s="104"/>
    </row>
    <row r="891" spans="4:4" ht="15.75" customHeight="1">
      <c r="D891" s="104"/>
    </row>
    <row r="892" spans="4:4" ht="15.75" customHeight="1">
      <c r="D892" s="104"/>
    </row>
    <row r="893" spans="4:4" ht="15.75" customHeight="1">
      <c r="D893" s="104"/>
    </row>
    <row r="894" spans="4:4" ht="15.75" customHeight="1">
      <c r="D894" s="104"/>
    </row>
    <row r="895" spans="4:4" ht="15.75" customHeight="1">
      <c r="D895" s="104"/>
    </row>
    <row r="896" spans="4:4" ht="15.75" customHeight="1">
      <c r="D896" s="104"/>
    </row>
    <row r="897" spans="4:4" ht="15.75" customHeight="1">
      <c r="D897" s="104"/>
    </row>
    <row r="898" spans="4:4" ht="15.75" customHeight="1">
      <c r="D898" s="104"/>
    </row>
    <row r="899" spans="4:4" ht="15.75" customHeight="1">
      <c r="D899" s="104"/>
    </row>
    <row r="900" spans="4:4" ht="15.75" customHeight="1">
      <c r="D900" s="104"/>
    </row>
    <row r="901" spans="4:4" ht="15.75" customHeight="1">
      <c r="D901" s="104"/>
    </row>
    <row r="902" spans="4:4" ht="15.75" customHeight="1">
      <c r="D902" s="104"/>
    </row>
    <row r="903" spans="4:4" ht="15.75" customHeight="1">
      <c r="D903" s="104"/>
    </row>
    <row r="904" spans="4:4" ht="15.75" customHeight="1">
      <c r="D904" s="104"/>
    </row>
    <row r="905" spans="4:4" ht="15.75" customHeight="1">
      <c r="D905" s="104"/>
    </row>
    <row r="906" spans="4:4" ht="15.75" customHeight="1">
      <c r="D906" s="104"/>
    </row>
    <row r="907" spans="4:4" ht="15.75" customHeight="1">
      <c r="D907" s="104"/>
    </row>
    <row r="908" spans="4:4" ht="15.75" customHeight="1">
      <c r="D908" s="104"/>
    </row>
    <row r="909" spans="4:4" ht="15.75" customHeight="1">
      <c r="D909" s="104"/>
    </row>
    <row r="910" spans="4:4" ht="15.75" customHeight="1">
      <c r="D910" s="104"/>
    </row>
    <row r="911" spans="4:4" ht="15.75" customHeight="1">
      <c r="D911" s="104"/>
    </row>
    <row r="912" spans="4:4" ht="15.75" customHeight="1">
      <c r="D912" s="104"/>
    </row>
    <row r="913" spans="4:4" ht="15.75" customHeight="1">
      <c r="D913" s="104"/>
    </row>
    <row r="914" spans="4:4" ht="15.75" customHeight="1">
      <c r="D914" s="104"/>
    </row>
    <row r="915" spans="4:4" ht="15.75" customHeight="1">
      <c r="D915" s="104"/>
    </row>
    <row r="916" spans="4:4" ht="15.75" customHeight="1">
      <c r="D916" s="104"/>
    </row>
    <row r="917" spans="4:4" ht="15.75" customHeight="1">
      <c r="D917" s="104"/>
    </row>
    <row r="918" spans="4:4" ht="15.75" customHeight="1">
      <c r="D918" s="104"/>
    </row>
    <row r="919" spans="4:4" ht="15.75" customHeight="1">
      <c r="D919" s="104"/>
    </row>
    <row r="920" spans="4:4" ht="15.75" customHeight="1">
      <c r="D920" s="104"/>
    </row>
    <row r="921" spans="4:4" ht="15.75" customHeight="1">
      <c r="D921" s="104"/>
    </row>
    <row r="922" spans="4:4" ht="15.75" customHeight="1">
      <c r="D922" s="104"/>
    </row>
    <row r="923" spans="4:4" ht="15.75" customHeight="1">
      <c r="D923" s="104"/>
    </row>
    <row r="924" spans="4:4" ht="15.75" customHeight="1">
      <c r="D924" s="104"/>
    </row>
    <row r="925" spans="4:4" ht="15.75" customHeight="1">
      <c r="D925" s="104"/>
    </row>
    <row r="926" spans="4:4" ht="15.75" customHeight="1">
      <c r="D926" s="104"/>
    </row>
    <row r="927" spans="4:4" ht="15.75" customHeight="1">
      <c r="D927" s="104"/>
    </row>
    <row r="928" spans="4:4" ht="15.75" customHeight="1">
      <c r="D928" s="104"/>
    </row>
    <row r="929" spans="4:4" ht="15.75" customHeight="1">
      <c r="D929" s="104"/>
    </row>
    <row r="930" spans="4:4" ht="15.75" customHeight="1">
      <c r="D930" s="104"/>
    </row>
    <row r="931" spans="4:4" ht="15.75" customHeight="1">
      <c r="D931" s="104"/>
    </row>
    <row r="932" spans="4:4" ht="15.75" customHeight="1">
      <c r="D932" s="104"/>
    </row>
    <row r="933" spans="4:4" ht="15.75" customHeight="1">
      <c r="D933" s="104"/>
    </row>
    <row r="934" spans="4:4" ht="15.75" customHeight="1">
      <c r="D934" s="104"/>
    </row>
    <row r="935" spans="4:4" ht="15.75" customHeight="1">
      <c r="D935" s="104"/>
    </row>
    <row r="936" spans="4:4" ht="15.75" customHeight="1">
      <c r="D936" s="104"/>
    </row>
    <row r="937" spans="4:4" ht="15.75" customHeight="1">
      <c r="D937" s="104"/>
    </row>
    <row r="938" spans="4:4" ht="15.75" customHeight="1">
      <c r="D938" s="104"/>
    </row>
    <row r="939" spans="4:4" ht="15.75" customHeight="1">
      <c r="D939" s="104"/>
    </row>
    <row r="940" spans="4:4" ht="15.75" customHeight="1">
      <c r="D940" s="104"/>
    </row>
    <row r="941" spans="4:4" ht="15.75" customHeight="1">
      <c r="D941" s="104"/>
    </row>
    <row r="942" spans="4:4" ht="15.75" customHeight="1">
      <c r="D942" s="104"/>
    </row>
    <row r="943" spans="4:4" ht="15.75" customHeight="1">
      <c r="D943" s="104"/>
    </row>
    <row r="944" spans="4:4" ht="15.75" customHeight="1">
      <c r="D944" s="104"/>
    </row>
    <row r="945" spans="4:4" ht="15.75" customHeight="1">
      <c r="D945" s="104"/>
    </row>
    <row r="946" spans="4:4" ht="15.75" customHeight="1">
      <c r="D946" s="104"/>
    </row>
    <row r="947" spans="4:4" ht="15.75" customHeight="1">
      <c r="D947" s="104"/>
    </row>
    <row r="948" spans="4:4" ht="15.75" customHeight="1">
      <c r="D948" s="104"/>
    </row>
    <row r="949" spans="4:4" ht="15.75" customHeight="1">
      <c r="D949" s="104"/>
    </row>
    <row r="950" spans="4:4" ht="15.75" customHeight="1">
      <c r="D950" s="104"/>
    </row>
    <row r="951" spans="4:4" ht="15.75" customHeight="1">
      <c r="D951" s="104"/>
    </row>
    <row r="952" spans="4:4" ht="15.75" customHeight="1">
      <c r="D952" s="104"/>
    </row>
    <row r="953" spans="4:4" ht="15.75" customHeight="1">
      <c r="D953" s="104"/>
    </row>
    <row r="954" spans="4:4" ht="15.75" customHeight="1">
      <c r="D954" s="104"/>
    </row>
    <row r="955" spans="4:4" ht="15.75" customHeight="1">
      <c r="D955" s="104"/>
    </row>
    <row r="956" spans="4:4" ht="15.75" customHeight="1">
      <c r="D956" s="104"/>
    </row>
    <row r="957" spans="4:4" ht="15.75" customHeight="1">
      <c r="D957" s="104"/>
    </row>
    <row r="958" spans="4:4" ht="15.75" customHeight="1">
      <c r="D958" s="104"/>
    </row>
    <row r="959" spans="4:4" ht="15.75" customHeight="1">
      <c r="D959" s="104"/>
    </row>
    <row r="960" spans="4:4" ht="15.75" customHeight="1">
      <c r="D960" s="104"/>
    </row>
    <row r="961" spans="4:4" ht="15.75" customHeight="1">
      <c r="D961" s="104"/>
    </row>
    <row r="962" spans="4:4" ht="15.75" customHeight="1">
      <c r="D962" s="104"/>
    </row>
    <row r="963" spans="4:4" ht="15.75" customHeight="1">
      <c r="D963" s="104"/>
    </row>
    <row r="964" spans="4:4" ht="15.75" customHeight="1">
      <c r="D964" s="104"/>
    </row>
    <row r="965" spans="4:4" ht="15.75" customHeight="1">
      <c r="D965" s="104"/>
    </row>
    <row r="966" spans="4:4" ht="15.75" customHeight="1">
      <c r="D966" s="104"/>
    </row>
    <row r="967" spans="4:4" ht="15.75" customHeight="1">
      <c r="D967" s="104"/>
    </row>
    <row r="968" spans="4:4" ht="15.75" customHeight="1">
      <c r="D968" s="104"/>
    </row>
    <row r="969" spans="4:4" ht="15.75" customHeight="1">
      <c r="D969" s="104"/>
    </row>
    <row r="970" spans="4:4" ht="15.75" customHeight="1">
      <c r="D970" s="104"/>
    </row>
    <row r="971" spans="4:4" ht="15.75" customHeight="1">
      <c r="D971" s="104"/>
    </row>
    <row r="972" spans="4:4" ht="15.75" customHeight="1">
      <c r="D972" s="104"/>
    </row>
    <row r="973" spans="4:4" ht="15.75" customHeight="1">
      <c r="D973" s="104"/>
    </row>
    <row r="974" spans="4:4" ht="15.75" customHeight="1">
      <c r="D974" s="104"/>
    </row>
    <row r="975" spans="4:4" ht="15.75" customHeight="1">
      <c r="D975" s="104"/>
    </row>
    <row r="976" spans="4:4" ht="15.75" customHeight="1">
      <c r="D976" s="104"/>
    </row>
    <row r="977" spans="4:4" ht="15.75" customHeight="1">
      <c r="D977" s="104"/>
    </row>
    <row r="978" spans="4:4" ht="15.75" customHeight="1">
      <c r="D978" s="104"/>
    </row>
    <row r="979" spans="4:4" ht="15.75" customHeight="1">
      <c r="D979" s="104"/>
    </row>
    <row r="980" spans="4:4" ht="15.75" customHeight="1">
      <c r="D980" s="104"/>
    </row>
    <row r="981" spans="4:4" ht="15.75" customHeight="1">
      <c r="D981" s="104"/>
    </row>
    <row r="982" spans="4:4" ht="15.75" customHeight="1">
      <c r="D982" s="104"/>
    </row>
    <row r="983" spans="4:4" ht="15.75" customHeight="1">
      <c r="D983" s="104"/>
    </row>
    <row r="984" spans="4:4" ht="15.75" customHeight="1">
      <c r="D984" s="104"/>
    </row>
    <row r="985" spans="4:4" ht="15.75" customHeight="1">
      <c r="D985" s="104"/>
    </row>
    <row r="986" spans="4:4" ht="15.75" customHeight="1">
      <c r="D986" s="104"/>
    </row>
    <row r="987" spans="4:4" ht="15.75" customHeight="1">
      <c r="D987" s="104"/>
    </row>
    <row r="988" spans="4:4" ht="15.75" customHeight="1">
      <c r="D988" s="104"/>
    </row>
    <row r="989" spans="4:4" ht="15.75" customHeight="1">
      <c r="D989" s="104"/>
    </row>
    <row r="990" spans="4:4" ht="15.75" customHeight="1">
      <c r="D990" s="104"/>
    </row>
    <row r="991" spans="4:4" ht="15.75" customHeight="1">
      <c r="D991" s="104"/>
    </row>
    <row r="992" spans="4:4" ht="15.75" customHeight="1">
      <c r="D992" s="104"/>
    </row>
    <row r="993" spans="4:4" ht="15.75" customHeight="1">
      <c r="D993" s="104"/>
    </row>
    <row r="994" spans="4:4" ht="15.75" customHeight="1">
      <c r="D994" s="104"/>
    </row>
    <row r="995" spans="4:4" ht="15.75" customHeight="1">
      <c r="D995" s="104"/>
    </row>
    <row r="996" spans="4:4" ht="15.75" customHeight="1">
      <c r="D996" s="104"/>
    </row>
    <row r="997" spans="4:4" ht="15.75" customHeight="1">
      <c r="D997" s="104"/>
    </row>
    <row r="998" spans="4:4" ht="15.75" customHeight="1">
      <c r="D998" s="104"/>
    </row>
  </sheetData>
  <mergeCells count="11">
    <mergeCell ref="K2:K3"/>
    <mergeCell ref="L2:L3"/>
    <mergeCell ref="A31:F31"/>
    <mergeCell ref="A1:M1"/>
    <mergeCell ref="A2:A3"/>
    <mergeCell ref="B2:B3"/>
    <mergeCell ref="D2:F2"/>
    <mergeCell ref="G2:G3"/>
    <mergeCell ref="I2:I3"/>
    <mergeCell ref="J2:J3"/>
    <mergeCell ref="M2:M3"/>
  </mergeCells>
  <conditionalFormatting sqref="I2:L2">
    <cfRule type="cellIs" dxfId="9" priority="1" operator="equal">
      <formula>"สั่งซื้อเพิ่ม"</formula>
    </cfRule>
  </conditionalFormatting>
  <pageMargins left="0" right="0" top="0.19685039370078741" bottom="0" header="0" footer="0"/>
  <pageSetup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000"/>
  </sheetPr>
  <dimension ref="A1:Z995"/>
  <sheetViews>
    <sheetView zoomScale="85" zoomScaleNormal="85" workbookViewId="0">
      <selection activeCell="I40" activeCellId="1" sqref="I24 I40"/>
    </sheetView>
  </sheetViews>
  <sheetFormatPr defaultColWidth="14.453125" defaultRowHeight="15" customHeight="1"/>
  <cols>
    <col min="1" max="1" width="8.6328125" customWidth="1"/>
    <col min="2" max="2" width="15" customWidth="1"/>
    <col min="3" max="3" width="8.6328125" customWidth="1"/>
    <col min="4" max="5" width="10.90625" customWidth="1"/>
    <col min="6" max="6" width="14.6328125" customWidth="1"/>
    <col min="12" max="12" width="20" customWidth="1"/>
    <col min="13" max="13" width="24.453125" customWidth="1"/>
    <col min="14" max="14" width="39.6328125" customWidth="1"/>
    <col min="15" max="26" width="8.6328125" customWidth="1"/>
  </cols>
  <sheetData>
    <row r="1" spans="1:26" ht="33.75" customHeight="1">
      <c r="A1" s="484" t="s">
        <v>31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26.25" customHeight="1">
      <c r="A2" s="475" t="s">
        <v>4</v>
      </c>
      <c r="B2" s="475" t="s">
        <v>5</v>
      </c>
      <c r="C2" s="28" t="s">
        <v>6</v>
      </c>
      <c r="D2" s="476" t="s">
        <v>7</v>
      </c>
      <c r="E2" s="466"/>
      <c r="F2" s="467"/>
      <c r="G2" s="485" t="s">
        <v>8</v>
      </c>
      <c r="H2" s="75" t="s">
        <v>9</v>
      </c>
      <c r="I2" s="475" t="s">
        <v>10</v>
      </c>
      <c r="J2" s="475" t="s">
        <v>11</v>
      </c>
      <c r="K2" s="475" t="s">
        <v>12</v>
      </c>
      <c r="L2" s="475" t="s">
        <v>13</v>
      </c>
      <c r="M2" s="483" t="s">
        <v>14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6.25" customHeight="1">
      <c r="A3" s="469"/>
      <c r="B3" s="469"/>
      <c r="C3" s="31" t="s">
        <v>0</v>
      </c>
      <c r="D3" s="31" t="s">
        <v>0</v>
      </c>
      <c r="E3" s="31" t="s">
        <v>1</v>
      </c>
      <c r="F3" s="106" t="s">
        <v>2</v>
      </c>
      <c r="G3" s="469"/>
      <c r="H3" s="76" t="s">
        <v>32</v>
      </c>
      <c r="I3" s="469"/>
      <c r="J3" s="469"/>
      <c r="K3" s="469"/>
      <c r="L3" s="469"/>
      <c r="M3" s="469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6.25" customHeight="1">
      <c r="A4" s="294"/>
      <c r="B4" s="294" t="s">
        <v>139</v>
      </c>
      <c r="C4" s="295"/>
      <c r="D4" s="295">
        <v>15.875</v>
      </c>
      <c r="E4" s="295">
        <v>88</v>
      </c>
      <c r="F4" s="296">
        <v>1100</v>
      </c>
      <c r="G4" s="297">
        <v>189</v>
      </c>
      <c r="H4" s="298"/>
      <c r="I4" s="48">
        <f t="shared" ref="I4:I23" si="0">D4*E4*F4*G4/1000000000</f>
        <v>0.29043629999999998</v>
      </c>
      <c r="J4" s="48">
        <f t="shared" ref="J4:J23" si="1">I4*35.315</f>
        <v>10.2567579345</v>
      </c>
      <c r="K4" s="47">
        <v>20000</v>
      </c>
      <c r="L4" s="48">
        <f t="shared" ref="L4:L23" si="2">I4*K4</f>
        <v>5808.7259999999997</v>
      </c>
      <c r="M4" s="294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26.25" customHeight="1">
      <c r="A5" s="294"/>
      <c r="B5" s="294" t="s">
        <v>139</v>
      </c>
      <c r="C5" s="295"/>
      <c r="D5" s="295">
        <v>15.875</v>
      </c>
      <c r="E5" s="295">
        <v>88</v>
      </c>
      <c r="F5" s="296">
        <v>1100</v>
      </c>
      <c r="G5" s="297">
        <v>216</v>
      </c>
      <c r="H5" s="298"/>
      <c r="I5" s="48">
        <f t="shared" si="0"/>
        <v>0.33192719999999998</v>
      </c>
      <c r="J5" s="48">
        <f t="shared" si="1"/>
        <v>11.722009067999998</v>
      </c>
      <c r="K5" s="47">
        <v>20000</v>
      </c>
      <c r="L5" s="48">
        <f t="shared" si="2"/>
        <v>6638.5439999999999</v>
      </c>
      <c r="M5" s="294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26.25" customHeight="1">
      <c r="A6" s="294"/>
      <c r="B6" s="294" t="s">
        <v>139</v>
      </c>
      <c r="C6" s="295"/>
      <c r="D6" s="295">
        <v>15.875</v>
      </c>
      <c r="E6" s="295">
        <v>166</v>
      </c>
      <c r="F6" s="296">
        <v>1100</v>
      </c>
      <c r="G6" s="297">
        <v>385</v>
      </c>
      <c r="H6" s="298"/>
      <c r="I6" s="48">
        <f t="shared" si="0"/>
        <v>1.116028375</v>
      </c>
      <c r="J6" s="48">
        <f t="shared" si="1"/>
        <v>39.412542063124995</v>
      </c>
      <c r="K6" s="47">
        <v>20000</v>
      </c>
      <c r="L6" s="48">
        <f t="shared" si="2"/>
        <v>22320.567500000001</v>
      </c>
      <c r="M6" s="294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6.25" customHeight="1">
      <c r="A7" s="294"/>
      <c r="B7" s="294" t="s">
        <v>139</v>
      </c>
      <c r="C7" s="295"/>
      <c r="D7" s="295">
        <v>15.875</v>
      </c>
      <c r="E7" s="295">
        <v>207</v>
      </c>
      <c r="F7" s="296">
        <v>540</v>
      </c>
      <c r="G7" s="297">
        <v>304</v>
      </c>
      <c r="H7" s="298"/>
      <c r="I7" s="48">
        <f t="shared" si="0"/>
        <v>0.53945027999999995</v>
      </c>
      <c r="J7" s="48">
        <f t="shared" si="1"/>
        <v>19.050686638199998</v>
      </c>
      <c r="K7" s="47">
        <v>20000</v>
      </c>
      <c r="L7" s="48">
        <f t="shared" si="2"/>
        <v>10789.005599999999</v>
      </c>
      <c r="M7" s="294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6.25" customHeight="1">
      <c r="A8" s="294"/>
      <c r="B8" s="294" t="s">
        <v>140</v>
      </c>
      <c r="C8" s="295"/>
      <c r="D8" s="295">
        <v>15.875</v>
      </c>
      <c r="E8" s="295">
        <v>166</v>
      </c>
      <c r="F8" s="296">
        <v>820</v>
      </c>
      <c r="G8" s="297">
        <v>406</v>
      </c>
      <c r="H8" s="298"/>
      <c r="I8" s="48">
        <f t="shared" si="0"/>
        <v>0.87732743000000002</v>
      </c>
      <c r="J8" s="48">
        <f t="shared" si="1"/>
        <v>30.982818190449997</v>
      </c>
      <c r="K8" s="47">
        <v>20000</v>
      </c>
      <c r="L8" s="48">
        <f t="shared" si="2"/>
        <v>17546.548600000002</v>
      </c>
      <c r="M8" s="294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26.25" customHeight="1">
      <c r="A9" s="294"/>
      <c r="B9" s="294" t="s">
        <v>140</v>
      </c>
      <c r="C9" s="295"/>
      <c r="D9" s="295">
        <v>15.875</v>
      </c>
      <c r="E9" s="295">
        <v>90</v>
      </c>
      <c r="F9" s="296">
        <v>490</v>
      </c>
      <c r="G9" s="297">
        <v>264</v>
      </c>
      <c r="H9" s="298"/>
      <c r="I9" s="48">
        <f t="shared" si="0"/>
        <v>0.18482309999999999</v>
      </c>
      <c r="J9" s="48">
        <f t="shared" si="1"/>
        <v>6.5270277764999989</v>
      </c>
      <c r="K9" s="47">
        <v>20000</v>
      </c>
      <c r="L9" s="48">
        <f t="shared" si="2"/>
        <v>3696.462</v>
      </c>
      <c r="M9" s="294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26.25" customHeight="1">
      <c r="A10" s="294"/>
      <c r="B10" s="294" t="s">
        <v>140</v>
      </c>
      <c r="C10" s="295"/>
      <c r="D10" s="295">
        <v>15.875</v>
      </c>
      <c r="E10" s="295">
        <v>166</v>
      </c>
      <c r="F10" s="296">
        <v>890</v>
      </c>
      <c r="G10" s="297">
        <v>322</v>
      </c>
      <c r="H10" s="298"/>
      <c r="I10" s="48">
        <f t="shared" si="0"/>
        <v>0.75520994500000005</v>
      </c>
      <c r="J10" s="48">
        <f t="shared" si="1"/>
        <v>26.670239207674999</v>
      </c>
      <c r="K10" s="47">
        <v>20000</v>
      </c>
      <c r="L10" s="48">
        <f t="shared" si="2"/>
        <v>15104.198900000001</v>
      </c>
      <c r="M10" s="294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6.25" customHeight="1">
      <c r="A11" s="294"/>
      <c r="B11" s="294" t="s">
        <v>140</v>
      </c>
      <c r="C11" s="295"/>
      <c r="D11" s="295">
        <v>15.875</v>
      </c>
      <c r="E11" s="295">
        <v>166</v>
      </c>
      <c r="F11" s="296">
        <v>820</v>
      </c>
      <c r="G11" s="297">
        <v>280</v>
      </c>
      <c r="H11" s="298"/>
      <c r="I11" s="48">
        <f t="shared" si="0"/>
        <v>0.60505339999999996</v>
      </c>
      <c r="J11" s="48">
        <f t="shared" si="1"/>
        <v>21.367460820999998</v>
      </c>
      <c r="K11" s="47">
        <v>20000</v>
      </c>
      <c r="L11" s="48">
        <f t="shared" si="2"/>
        <v>12101.067999999999</v>
      </c>
      <c r="M11" s="294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26.25" customHeight="1">
      <c r="A12" s="294"/>
      <c r="B12" s="294" t="s">
        <v>140</v>
      </c>
      <c r="C12" s="295"/>
      <c r="D12" s="295">
        <v>15.875</v>
      </c>
      <c r="E12" s="295">
        <v>166</v>
      </c>
      <c r="F12" s="296">
        <v>740</v>
      </c>
      <c r="G12" s="297">
        <v>252</v>
      </c>
      <c r="H12" s="298"/>
      <c r="I12" s="48">
        <f t="shared" si="0"/>
        <v>0.49142142</v>
      </c>
      <c r="J12" s="48">
        <f t="shared" si="1"/>
        <v>17.3545474473</v>
      </c>
      <c r="K12" s="47">
        <v>20000</v>
      </c>
      <c r="L12" s="48">
        <f t="shared" si="2"/>
        <v>9828.4284000000007</v>
      </c>
      <c r="M12" s="294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6.25" customHeight="1">
      <c r="A13" s="294"/>
      <c r="B13" s="294" t="s">
        <v>140</v>
      </c>
      <c r="C13" s="295"/>
      <c r="D13" s="295">
        <v>15.875</v>
      </c>
      <c r="E13" s="295">
        <v>258</v>
      </c>
      <c r="F13" s="296">
        <v>540</v>
      </c>
      <c r="G13" s="297">
        <v>312</v>
      </c>
      <c r="H13" s="298"/>
      <c r="I13" s="48">
        <f t="shared" si="0"/>
        <v>0.69005196000000002</v>
      </c>
      <c r="J13" s="48">
        <f t="shared" si="1"/>
        <v>24.369184967399999</v>
      </c>
      <c r="K13" s="47">
        <v>20000</v>
      </c>
      <c r="L13" s="48">
        <f t="shared" si="2"/>
        <v>13801.039200000001</v>
      </c>
      <c r="M13" s="294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26.25" customHeight="1">
      <c r="A14" s="294"/>
      <c r="B14" s="294" t="s">
        <v>141</v>
      </c>
      <c r="C14" s="295"/>
      <c r="D14" s="295">
        <v>15.875</v>
      </c>
      <c r="E14" s="295">
        <v>90</v>
      </c>
      <c r="F14" s="296">
        <v>540</v>
      </c>
      <c r="G14" s="297">
        <v>705</v>
      </c>
      <c r="H14" s="298"/>
      <c r="I14" s="48">
        <f t="shared" si="0"/>
        <v>0.54392512500000001</v>
      </c>
      <c r="J14" s="48">
        <f t="shared" si="1"/>
        <v>19.208715789374999</v>
      </c>
      <c r="K14" s="47">
        <v>20000</v>
      </c>
      <c r="L14" s="48">
        <f t="shared" si="2"/>
        <v>10878.502500000001</v>
      </c>
      <c r="M14" s="294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26" customHeight="1">
      <c r="A15" s="34"/>
      <c r="B15" s="294" t="s">
        <v>134</v>
      </c>
      <c r="C15" s="34"/>
      <c r="D15" s="295">
        <v>15.875</v>
      </c>
      <c r="E15" s="107">
        <v>105</v>
      </c>
      <c r="F15" s="108">
        <v>700</v>
      </c>
      <c r="G15" s="109">
        <v>616</v>
      </c>
      <c r="H15" s="34"/>
      <c r="I15" s="48">
        <f t="shared" si="0"/>
        <v>0.71875650000000002</v>
      </c>
      <c r="J15" s="48">
        <f t="shared" si="1"/>
        <v>25.382885797499998</v>
      </c>
      <c r="K15" s="47">
        <v>20000</v>
      </c>
      <c r="L15" s="48">
        <f t="shared" si="2"/>
        <v>14375.130000000001</v>
      </c>
      <c r="M15" s="82"/>
      <c r="N15" s="110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26.25" customHeight="1">
      <c r="A16" s="34"/>
      <c r="B16" s="294" t="s">
        <v>142</v>
      </c>
      <c r="C16" s="34"/>
      <c r="D16" s="295">
        <v>15.875</v>
      </c>
      <c r="E16" s="107">
        <v>99</v>
      </c>
      <c r="F16" s="108">
        <v>560</v>
      </c>
      <c r="G16" s="109">
        <v>275</v>
      </c>
      <c r="H16" s="34"/>
      <c r="I16" s="48">
        <f t="shared" si="0"/>
        <v>0.24203025</v>
      </c>
      <c r="J16" s="48">
        <f t="shared" si="1"/>
        <v>8.5472982787499987</v>
      </c>
      <c r="K16" s="47">
        <v>20000</v>
      </c>
      <c r="L16" s="48">
        <f t="shared" si="2"/>
        <v>4840.6050000000005</v>
      </c>
      <c r="M16" s="34"/>
      <c r="N16" s="110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26.25" customHeight="1">
      <c r="A17" s="34"/>
      <c r="B17" s="294" t="s">
        <v>141</v>
      </c>
      <c r="C17" s="34"/>
      <c r="D17" s="295">
        <v>15.875</v>
      </c>
      <c r="E17" s="107">
        <v>166</v>
      </c>
      <c r="F17" s="108">
        <v>1100</v>
      </c>
      <c r="G17" s="109">
        <v>277</v>
      </c>
      <c r="H17" s="34"/>
      <c r="I17" s="48">
        <f t="shared" si="0"/>
        <v>0.80296067500000001</v>
      </c>
      <c r="J17" s="48">
        <f t="shared" si="1"/>
        <v>28.356556237625</v>
      </c>
      <c r="K17" s="47">
        <v>20000</v>
      </c>
      <c r="L17" s="48">
        <f t="shared" si="2"/>
        <v>16059.2135</v>
      </c>
      <c r="M17" s="34"/>
      <c r="N17" s="110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26.25" customHeight="1">
      <c r="A18" s="34"/>
      <c r="B18" s="294"/>
      <c r="C18" s="34"/>
      <c r="D18" s="295"/>
      <c r="E18" s="107"/>
      <c r="F18" s="108"/>
      <c r="G18" s="109"/>
      <c r="H18" s="34"/>
      <c r="I18" s="48">
        <f t="shared" si="0"/>
        <v>0</v>
      </c>
      <c r="J18" s="48">
        <f t="shared" si="1"/>
        <v>0</v>
      </c>
      <c r="K18" s="47">
        <v>20000</v>
      </c>
      <c r="L18" s="48">
        <f t="shared" si="2"/>
        <v>0</v>
      </c>
      <c r="M18" s="34"/>
      <c r="N18" s="110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26.25" customHeight="1">
      <c r="A19" s="34"/>
      <c r="B19" s="34"/>
      <c r="C19" s="34"/>
      <c r="D19" s="295"/>
      <c r="E19" s="107"/>
      <c r="F19" s="111"/>
      <c r="G19" s="109"/>
      <c r="H19" s="34"/>
      <c r="I19" s="48">
        <f t="shared" si="0"/>
        <v>0</v>
      </c>
      <c r="J19" s="48">
        <f t="shared" si="1"/>
        <v>0</v>
      </c>
      <c r="K19" s="47">
        <v>20000</v>
      </c>
      <c r="L19" s="48">
        <f t="shared" si="2"/>
        <v>0</v>
      </c>
      <c r="M19" s="34"/>
      <c r="N19" s="110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26.25" customHeight="1">
      <c r="A20" s="34"/>
      <c r="B20" s="34"/>
      <c r="C20" s="34"/>
      <c r="D20" s="295"/>
      <c r="E20" s="107"/>
      <c r="F20" s="111"/>
      <c r="G20" s="109"/>
      <c r="H20" s="34"/>
      <c r="I20" s="48">
        <f t="shared" si="0"/>
        <v>0</v>
      </c>
      <c r="J20" s="48">
        <f t="shared" si="1"/>
        <v>0</v>
      </c>
      <c r="K20" s="47">
        <v>20000</v>
      </c>
      <c r="L20" s="48">
        <f t="shared" si="2"/>
        <v>0</v>
      </c>
      <c r="M20" s="34"/>
      <c r="N20" s="110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26.25" customHeight="1">
      <c r="A21" s="34"/>
      <c r="B21" s="34"/>
      <c r="C21" s="34"/>
      <c r="D21" s="295"/>
      <c r="E21" s="107"/>
      <c r="F21" s="111"/>
      <c r="G21" s="109"/>
      <c r="H21" s="34"/>
      <c r="I21" s="48">
        <f t="shared" si="0"/>
        <v>0</v>
      </c>
      <c r="J21" s="48">
        <f t="shared" si="1"/>
        <v>0</v>
      </c>
      <c r="K21" s="47">
        <v>20000</v>
      </c>
      <c r="L21" s="48">
        <f t="shared" si="2"/>
        <v>0</v>
      </c>
      <c r="M21" s="34"/>
      <c r="N21" s="110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26.25" customHeight="1">
      <c r="A22" s="34"/>
      <c r="B22" s="34"/>
      <c r="C22" s="34"/>
      <c r="D22" s="295"/>
      <c r="E22" s="107"/>
      <c r="F22" s="111"/>
      <c r="G22" s="109"/>
      <c r="H22" s="34"/>
      <c r="I22" s="48">
        <f t="shared" si="0"/>
        <v>0</v>
      </c>
      <c r="J22" s="48">
        <f t="shared" si="1"/>
        <v>0</v>
      </c>
      <c r="K22" s="47">
        <v>20000</v>
      </c>
      <c r="L22" s="48">
        <f t="shared" si="2"/>
        <v>0</v>
      </c>
      <c r="M22" s="34"/>
      <c r="N22" s="110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26.25" customHeight="1">
      <c r="A23" s="34"/>
      <c r="B23" s="34"/>
      <c r="C23" s="34"/>
      <c r="D23" s="295"/>
      <c r="E23" s="107"/>
      <c r="F23" s="111"/>
      <c r="G23" s="109"/>
      <c r="H23" s="34"/>
      <c r="I23" s="48">
        <f t="shared" si="0"/>
        <v>0</v>
      </c>
      <c r="J23" s="48">
        <f t="shared" si="1"/>
        <v>0</v>
      </c>
      <c r="K23" s="47">
        <v>20000</v>
      </c>
      <c r="L23" s="48">
        <f t="shared" si="2"/>
        <v>0</v>
      </c>
      <c r="M23" s="34"/>
      <c r="N23" s="110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26.25" customHeight="1">
      <c r="A24" s="477" t="s">
        <v>18</v>
      </c>
      <c r="B24" s="466"/>
      <c r="C24" s="466"/>
      <c r="D24" s="466"/>
      <c r="E24" s="466"/>
      <c r="F24" s="467"/>
      <c r="G24" s="112">
        <f>SUM(G4:G23)</f>
        <v>4803</v>
      </c>
      <c r="H24" s="113"/>
      <c r="I24" s="114">
        <f>SUM(I4:I23)</f>
        <v>8.1894019600000014</v>
      </c>
      <c r="J24" s="114">
        <f>SUM(J4:J23)</f>
        <v>289.20873021739999</v>
      </c>
      <c r="K24" s="114"/>
      <c r="L24" s="114">
        <f>SUM(L4:L23)</f>
        <v>163788.03920000003</v>
      </c>
      <c r="M24" s="113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ht="19.5" customHeight="1">
      <c r="A25" s="74"/>
      <c r="B25" s="74"/>
      <c r="C25" s="74"/>
      <c r="D25" s="74"/>
      <c r="E25" s="74"/>
      <c r="F25" s="102"/>
      <c r="G25" s="74"/>
      <c r="H25" s="74"/>
      <c r="I25" s="102"/>
      <c r="J25" s="88"/>
      <c r="K25" s="88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19.5" customHeight="1">
      <c r="A26" s="484" t="s">
        <v>33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19.5" customHeight="1">
      <c r="A27" s="475" t="s">
        <v>4</v>
      </c>
      <c r="B27" s="475" t="s">
        <v>5</v>
      </c>
      <c r="C27" s="28" t="s">
        <v>6</v>
      </c>
      <c r="D27" s="476" t="s">
        <v>7</v>
      </c>
      <c r="E27" s="466"/>
      <c r="F27" s="467"/>
      <c r="G27" s="485" t="s">
        <v>8</v>
      </c>
      <c r="H27" s="75" t="s">
        <v>9</v>
      </c>
      <c r="I27" s="475" t="s">
        <v>10</v>
      </c>
      <c r="J27" s="475" t="s">
        <v>11</v>
      </c>
      <c r="K27" s="475" t="s">
        <v>12</v>
      </c>
      <c r="L27" s="475" t="s">
        <v>13</v>
      </c>
      <c r="M27" s="483" t="s">
        <v>14</v>
      </c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19.5" customHeight="1">
      <c r="A28" s="469"/>
      <c r="B28" s="469"/>
      <c r="C28" s="31" t="s">
        <v>0</v>
      </c>
      <c r="D28" s="31" t="s">
        <v>0</v>
      </c>
      <c r="E28" s="31" t="s">
        <v>1</v>
      </c>
      <c r="F28" s="106" t="s">
        <v>2</v>
      </c>
      <c r="G28" s="469"/>
      <c r="H28" s="76" t="s">
        <v>34</v>
      </c>
      <c r="I28" s="469"/>
      <c r="J28" s="469"/>
      <c r="K28" s="469"/>
      <c r="L28" s="469"/>
      <c r="M28" s="469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21.75" customHeight="1">
      <c r="A29" s="34" t="s">
        <v>16</v>
      </c>
      <c r="B29" s="294" t="s">
        <v>138</v>
      </c>
      <c r="C29" s="295"/>
      <c r="D29" s="295">
        <v>15.875</v>
      </c>
      <c r="E29" s="295">
        <v>166</v>
      </c>
      <c r="F29" s="296">
        <v>2440</v>
      </c>
      <c r="G29" s="297">
        <v>530</v>
      </c>
      <c r="H29" s="34"/>
      <c r="I29" s="48">
        <f>D29*E29*F29*G29/1000000000</f>
        <v>3.4079052999999999</v>
      </c>
      <c r="J29" s="48">
        <f>I29*35.315</f>
        <v>120.35017566949999</v>
      </c>
      <c r="K29" s="47">
        <v>20000</v>
      </c>
      <c r="L29" s="48">
        <f>I29*K29</f>
        <v>68158.106</v>
      </c>
      <c r="M29" s="116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24" customHeight="1">
      <c r="A30" s="34" t="s">
        <v>16</v>
      </c>
      <c r="B30" s="294" t="s">
        <v>138</v>
      </c>
      <c r="C30" s="295"/>
      <c r="D30" s="295">
        <v>15.875</v>
      </c>
      <c r="E30" s="295">
        <v>89</v>
      </c>
      <c r="F30" s="296">
        <v>2440</v>
      </c>
      <c r="G30" s="297">
        <v>804</v>
      </c>
      <c r="H30" s="34"/>
      <c r="I30" s="48">
        <f>D30*E30*F30*G30/1000000000</f>
        <v>2.7717216599999999</v>
      </c>
      <c r="J30" s="48">
        <f>I30*35.315</f>
        <v>97.883350422899994</v>
      </c>
      <c r="K30" s="47">
        <v>20000</v>
      </c>
      <c r="L30" s="48">
        <f>I30*K30</f>
        <v>55434.433199999999</v>
      </c>
      <c r="M30" s="116"/>
      <c r="N30" s="96"/>
      <c r="O30" s="96"/>
      <c r="P30" s="96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19.5" customHeight="1">
      <c r="A31" s="34" t="s">
        <v>16</v>
      </c>
      <c r="B31" s="34"/>
      <c r="C31" s="34"/>
      <c r="D31" s="107"/>
      <c r="E31" s="107"/>
      <c r="F31" s="108"/>
      <c r="G31" s="109"/>
      <c r="H31" s="34"/>
      <c r="I31" s="48"/>
      <c r="J31" s="48"/>
      <c r="K31" s="47"/>
      <c r="L31" s="48"/>
      <c r="M31" s="116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19.5" customHeight="1">
      <c r="A32" s="34" t="s">
        <v>16</v>
      </c>
      <c r="B32" s="34"/>
      <c r="C32" s="34"/>
      <c r="D32" s="107"/>
      <c r="E32" s="107"/>
      <c r="F32" s="108"/>
      <c r="G32" s="109"/>
      <c r="H32" s="34"/>
      <c r="I32" s="48"/>
      <c r="J32" s="48"/>
      <c r="K32" s="47"/>
      <c r="L32" s="48"/>
      <c r="M32" s="116"/>
      <c r="N32" s="74"/>
      <c r="O32" s="55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9.5" customHeight="1">
      <c r="A33" s="34" t="s">
        <v>16</v>
      </c>
      <c r="B33" s="34"/>
      <c r="C33" s="34"/>
      <c r="D33" s="107"/>
      <c r="E33" s="107"/>
      <c r="F33" s="108"/>
      <c r="G33" s="109"/>
      <c r="H33" s="34"/>
      <c r="I33" s="48"/>
      <c r="J33" s="48"/>
      <c r="K33" s="47"/>
      <c r="L33" s="48"/>
      <c r="M33" s="116"/>
      <c r="N33" s="110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9.5" customHeight="1">
      <c r="A34" s="34" t="s">
        <v>16</v>
      </c>
      <c r="B34" s="34"/>
      <c r="C34" s="34"/>
      <c r="D34" s="107"/>
      <c r="E34" s="107"/>
      <c r="F34" s="108"/>
      <c r="G34" s="109"/>
      <c r="H34" s="34"/>
      <c r="I34" s="48"/>
      <c r="J34" s="48"/>
      <c r="K34" s="47"/>
      <c r="L34" s="48"/>
      <c r="M34" s="116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9.5" customHeight="1">
      <c r="A35" s="82" t="s">
        <v>16</v>
      </c>
      <c r="B35" s="82"/>
      <c r="C35" s="34"/>
      <c r="D35" s="107"/>
      <c r="E35" s="107"/>
      <c r="F35" s="108"/>
      <c r="G35" s="109"/>
      <c r="H35" s="34"/>
      <c r="I35" s="48"/>
      <c r="J35" s="48"/>
      <c r="K35" s="47"/>
      <c r="L35" s="48"/>
      <c r="M35" s="3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9.5" customHeight="1">
      <c r="A36" s="82" t="s">
        <v>16</v>
      </c>
      <c r="B36" s="82"/>
      <c r="C36" s="34"/>
      <c r="D36" s="107"/>
      <c r="E36" s="107"/>
      <c r="F36" s="108"/>
      <c r="G36" s="109"/>
      <c r="H36" s="34"/>
      <c r="I36" s="48"/>
      <c r="J36" s="48"/>
      <c r="K36" s="47"/>
      <c r="L36" s="48"/>
      <c r="M36" s="3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9.5" customHeight="1">
      <c r="A37" s="82" t="s">
        <v>16</v>
      </c>
      <c r="B37" s="82"/>
      <c r="C37" s="34"/>
      <c r="D37" s="107"/>
      <c r="E37" s="107"/>
      <c r="F37" s="108"/>
      <c r="G37" s="109"/>
      <c r="H37" s="34"/>
      <c r="I37" s="48"/>
      <c r="J37" s="48"/>
      <c r="K37" s="47"/>
      <c r="L37" s="48"/>
      <c r="M37" s="3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9.5" customHeight="1">
      <c r="A38" s="82" t="s">
        <v>16</v>
      </c>
      <c r="B38" s="82"/>
      <c r="C38" s="34"/>
      <c r="D38" s="107"/>
      <c r="E38" s="107"/>
      <c r="F38" s="108"/>
      <c r="G38" s="109"/>
      <c r="H38" s="34"/>
      <c r="I38" s="48"/>
      <c r="J38" s="48"/>
      <c r="K38" s="47"/>
      <c r="L38" s="48"/>
      <c r="M38" s="3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9.5" customHeight="1">
      <c r="A39" s="34"/>
      <c r="B39" s="82"/>
      <c r="C39" s="34"/>
      <c r="D39" s="107"/>
      <c r="E39" s="107"/>
      <c r="F39" s="108"/>
      <c r="G39" s="109"/>
      <c r="H39" s="34"/>
      <c r="I39" s="48"/>
      <c r="J39" s="48"/>
      <c r="K39" s="47"/>
      <c r="L39" s="48"/>
      <c r="M39" s="3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9.5" customHeight="1">
      <c r="A40" s="477" t="s">
        <v>18</v>
      </c>
      <c r="B40" s="466"/>
      <c r="C40" s="466"/>
      <c r="D40" s="466"/>
      <c r="E40" s="466"/>
      <c r="F40" s="467"/>
      <c r="G40" s="112">
        <f>SUM(G29:G38)</f>
        <v>1334</v>
      </c>
      <c r="H40" s="113"/>
      <c r="I40" s="114">
        <f>SUM(I29:I38)</f>
        <v>6.1796269600000002</v>
      </c>
      <c r="J40" s="114">
        <f>SUM(J29:J38)</f>
        <v>218.23352609239998</v>
      </c>
      <c r="K40" s="114"/>
      <c r="L40" s="114">
        <f>SUM(L29:L38)</f>
        <v>123592.5392</v>
      </c>
      <c r="M40" s="113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9.5" customHeight="1">
      <c r="A41" s="74"/>
      <c r="B41" s="74"/>
      <c r="C41" s="74"/>
      <c r="D41" s="74"/>
      <c r="E41" s="74"/>
      <c r="F41" s="102"/>
      <c r="G41" s="74"/>
      <c r="H41" s="74"/>
      <c r="I41" s="102"/>
      <c r="J41" s="88"/>
      <c r="K41" s="88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9.5" customHeight="1">
      <c r="A42" s="74"/>
      <c r="B42" s="74"/>
      <c r="C42" s="74"/>
      <c r="D42" s="74"/>
      <c r="E42" s="74"/>
      <c r="F42" s="102"/>
      <c r="G42" s="74"/>
      <c r="H42" s="74"/>
      <c r="I42" s="102"/>
      <c r="J42" s="88"/>
      <c r="K42" s="88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9.5" customHeight="1">
      <c r="A43" s="74"/>
      <c r="B43" s="74"/>
      <c r="C43" s="74"/>
      <c r="D43" s="74"/>
      <c r="E43" s="74"/>
      <c r="F43" s="102"/>
      <c r="G43" s="74"/>
      <c r="H43" s="74"/>
      <c r="I43" s="102"/>
      <c r="J43" s="88"/>
      <c r="K43" s="88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9.5" customHeight="1">
      <c r="A44" s="74"/>
      <c r="B44" s="74"/>
      <c r="C44" s="74"/>
      <c r="D44" s="74"/>
      <c r="E44" s="74"/>
      <c r="F44" s="102"/>
      <c r="G44" s="74"/>
      <c r="H44" s="74"/>
      <c r="I44" s="102"/>
      <c r="J44" s="88"/>
      <c r="K44" s="88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9.5" customHeight="1">
      <c r="A45" s="74"/>
      <c r="B45" s="74"/>
      <c r="C45" s="74"/>
      <c r="D45" s="74"/>
      <c r="E45" s="74"/>
      <c r="F45" s="102"/>
      <c r="G45" s="74"/>
      <c r="H45" s="74"/>
      <c r="I45" s="102"/>
      <c r="J45" s="88"/>
      <c r="K45" s="88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9.5" customHeight="1">
      <c r="A46" s="74"/>
      <c r="B46" s="74"/>
      <c r="C46" s="74"/>
      <c r="D46" s="74"/>
      <c r="E46" s="74"/>
      <c r="F46" s="102"/>
      <c r="G46" s="74"/>
      <c r="H46" s="74"/>
      <c r="I46" s="102"/>
      <c r="J46" s="88"/>
      <c r="K46" s="88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9.5" customHeight="1">
      <c r="A47" s="74"/>
      <c r="B47" s="74"/>
      <c r="C47" s="74"/>
      <c r="D47" s="74"/>
      <c r="E47" s="74"/>
      <c r="F47" s="102"/>
      <c r="G47" s="74"/>
      <c r="H47" s="74"/>
      <c r="I47" s="102"/>
      <c r="J47" s="88"/>
      <c r="K47" s="88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9.5" customHeight="1">
      <c r="A48" s="74"/>
      <c r="B48" s="74"/>
      <c r="C48" s="74"/>
      <c r="D48" s="74"/>
      <c r="E48" s="74"/>
      <c r="F48" s="102"/>
      <c r="G48" s="74"/>
      <c r="H48" s="74"/>
      <c r="I48" s="102"/>
      <c r="J48" s="88"/>
      <c r="K48" s="88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9.5" customHeight="1">
      <c r="A49" s="74"/>
      <c r="B49" s="74"/>
      <c r="C49" s="74"/>
      <c r="D49" s="74"/>
      <c r="E49" s="74"/>
      <c r="F49" s="102"/>
      <c r="G49" s="74"/>
      <c r="H49" s="74"/>
      <c r="I49" s="102"/>
      <c r="J49" s="88"/>
      <c r="K49" s="88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9.5" customHeight="1">
      <c r="A50" s="74"/>
      <c r="B50" s="74"/>
      <c r="C50" s="74"/>
      <c r="D50" s="74"/>
      <c r="E50" s="74"/>
      <c r="F50" s="102"/>
      <c r="G50" s="74"/>
      <c r="H50" s="74"/>
      <c r="I50" s="102"/>
      <c r="J50" s="88"/>
      <c r="K50" s="88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9.5" customHeight="1">
      <c r="A51" s="74"/>
      <c r="B51" s="74"/>
      <c r="C51" s="74"/>
      <c r="D51" s="74"/>
      <c r="E51" s="74"/>
      <c r="F51" s="102"/>
      <c r="G51" s="74"/>
      <c r="H51" s="74"/>
      <c r="I51" s="102"/>
      <c r="J51" s="88"/>
      <c r="K51" s="88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9.5" customHeight="1">
      <c r="A52" s="74"/>
      <c r="B52" s="74"/>
      <c r="C52" s="74"/>
      <c r="D52" s="74"/>
      <c r="E52" s="74"/>
      <c r="F52" s="102"/>
      <c r="G52" s="74"/>
      <c r="H52" s="74"/>
      <c r="I52" s="102"/>
      <c r="J52" s="88"/>
      <c r="K52" s="88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9.5" customHeight="1">
      <c r="A53" s="74"/>
      <c r="B53" s="74"/>
      <c r="C53" s="74"/>
      <c r="D53" s="74"/>
      <c r="E53" s="74"/>
      <c r="F53" s="102"/>
      <c r="G53" s="74"/>
      <c r="H53" s="74"/>
      <c r="I53" s="102"/>
      <c r="J53" s="88"/>
      <c r="K53" s="88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9.5" customHeight="1">
      <c r="A54" s="74"/>
      <c r="B54" s="74"/>
      <c r="C54" s="74"/>
      <c r="D54" s="74"/>
      <c r="E54" s="74"/>
      <c r="F54" s="102"/>
      <c r="G54" s="74"/>
      <c r="H54" s="74"/>
      <c r="I54" s="102"/>
      <c r="J54" s="88"/>
      <c r="K54" s="88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9.5" customHeight="1">
      <c r="A55" s="74"/>
      <c r="B55" s="74"/>
      <c r="C55" s="74"/>
      <c r="D55" s="74"/>
      <c r="E55" s="74"/>
      <c r="F55" s="102"/>
      <c r="G55" s="74"/>
      <c r="H55" s="74"/>
      <c r="I55" s="102"/>
      <c r="J55" s="88"/>
      <c r="K55" s="88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9.5" customHeight="1">
      <c r="A56" s="74"/>
      <c r="B56" s="74"/>
      <c r="C56" s="74"/>
      <c r="D56" s="74"/>
      <c r="E56" s="74"/>
      <c r="F56" s="102"/>
      <c r="G56" s="74"/>
      <c r="H56" s="74"/>
      <c r="I56" s="102"/>
      <c r="J56" s="88"/>
      <c r="K56" s="88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9.5" customHeight="1">
      <c r="A57" s="74"/>
      <c r="B57" s="74"/>
      <c r="C57" s="74"/>
      <c r="D57" s="74"/>
      <c r="E57" s="74"/>
      <c r="F57" s="102"/>
      <c r="G57" s="74"/>
      <c r="H57" s="74"/>
      <c r="I57" s="102"/>
      <c r="J57" s="88"/>
      <c r="K57" s="88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9.5" customHeight="1">
      <c r="A58" s="74"/>
      <c r="B58" s="74"/>
      <c r="C58" s="74"/>
      <c r="D58" s="74"/>
      <c r="E58" s="74"/>
      <c r="F58" s="102"/>
      <c r="G58" s="74"/>
      <c r="H58" s="74"/>
      <c r="I58" s="102"/>
      <c r="J58" s="88"/>
      <c r="K58" s="88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9.5" customHeight="1">
      <c r="A59" s="74"/>
      <c r="B59" s="74"/>
      <c r="C59" s="74"/>
      <c r="D59" s="74"/>
      <c r="E59" s="74"/>
      <c r="F59" s="102"/>
      <c r="G59" s="74"/>
      <c r="H59" s="74"/>
      <c r="I59" s="102"/>
      <c r="J59" s="88"/>
      <c r="K59" s="88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9.5" customHeight="1">
      <c r="A60" s="74"/>
      <c r="B60" s="74"/>
      <c r="C60" s="74"/>
      <c r="D60" s="74"/>
      <c r="E60" s="74"/>
      <c r="F60" s="102"/>
      <c r="G60" s="74"/>
      <c r="H60" s="74"/>
      <c r="I60" s="102"/>
      <c r="J60" s="88"/>
      <c r="K60" s="88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9.5" customHeight="1">
      <c r="A61" s="74"/>
      <c r="B61" s="74"/>
      <c r="C61" s="74"/>
      <c r="D61" s="74"/>
      <c r="E61" s="74"/>
      <c r="F61" s="102"/>
      <c r="G61" s="74"/>
      <c r="H61" s="74"/>
      <c r="I61" s="102"/>
      <c r="J61" s="88"/>
      <c r="K61" s="88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9.5" customHeight="1">
      <c r="A62" s="74"/>
      <c r="B62" s="74"/>
      <c r="C62" s="74"/>
      <c r="D62" s="74"/>
      <c r="E62" s="74"/>
      <c r="F62" s="102"/>
      <c r="G62" s="74"/>
      <c r="H62" s="74"/>
      <c r="I62" s="102"/>
      <c r="J62" s="88"/>
      <c r="K62" s="88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9.5" customHeight="1">
      <c r="A63" s="74"/>
      <c r="B63" s="74"/>
      <c r="C63" s="74"/>
      <c r="D63" s="74"/>
      <c r="E63" s="74"/>
      <c r="F63" s="102"/>
      <c r="G63" s="74"/>
      <c r="H63" s="74"/>
      <c r="I63" s="102"/>
      <c r="J63" s="88"/>
      <c r="K63" s="88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9.5" customHeight="1">
      <c r="A64" s="74"/>
      <c r="B64" s="74"/>
      <c r="C64" s="74"/>
      <c r="D64" s="74"/>
      <c r="E64" s="74"/>
      <c r="F64" s="102"/>
      <c r="G64" s="74"/>
      <c r="H64" s="74"/>
      <c r="I64" s="102"/>
      <c r="J64" s="88"/>
      <c r="K64" s="88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9.5" customHeight="1">
      <c r="A65" s="74"/>
      <c r="B65" s="74"/>
      <c r="C65" s="74"/>
      <c r="D65" s="74"/>
      <c r="E65" s="74"/>
      <c r="F65" s="102"/>
      <c r="G65" s="74"/>
      <c r="H65" s="74"/>
      <c r="I65" s="102"/>
      <c r="J65" s="88"/>
      <c r="K65" s="88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9.5" customHeight="1">
      <c r="A66" s="74"/>
      <c r="B66" s="74"/>
      <c r="C66" s="74"/>
      <c r="D66" s="74"/>
      <c r="E66" s="74"/>
      <c r="F66" s="102"/>
      <c r="G66" s="74"/>
      <c r="H66" s="74"/>
      <c r="I66" s="102"/>
      <c r="J66" s="88"/>
      <c r="K66" s="88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9.5" customHeight="1">
      <c r="A67" s="74"/>
      <c r="B67" s="74"/>
      <c r="C67" s="74"/>
      <c r="D67" s="74"/>
      <c r="E67" s="74"/>
      <c r="F67" s="102"/>
      <c r="G67" s="74"/>
      <c r="H67" s="74"/>
      <c r="I67" s="102"/>
      <c r="J67" s="88"/>
      <c r="K67" s="88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9.5" customHeight="1">
      <c r="A68" s="74"/>
      <c r="B68" s="74"/>
      <c r="C68" s="74"/>
      <c r="D68" s="74"/>
      <c r="E68" s="74"/>
      <c r="F68" s="102"/>
      <c r="G68" s="74"/>
      <c r="H68" s="74"/>
      <c r="I68" s="102"/>
      <c r="J68" s="88"/>
      <c r="K68" s="88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9.5" customHeight="1">
      <c r="A69" s="74"/>
      <c r="B69" s="74"/>
      <c r="C69" s="74"/>
      <c r="D69" s="74"/>
      <c r="E69" s="74"/>
      <c r="F69" s="102"/>
      <c r="G69" s="74"/>
      <c r="H69" s="74"/>
      <c r="I69" s="102"/>
      <c r="J69" s="88"/>
      <c r="K69" s="88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9.5" customHeight="1">
      <c r="A70" s="74"/>
      <c r="B70" s="74"/>
      <c r="C70" s="74"/>
      <c r="D70" s="74"/>
      <c r="E70" s="74"/>
      <c r="F70" s="102"/>
      <c r="G70" s="74"/>
      <c r="H70" s="74"/>
      <c r="I70" s="102"/>
      <c r="J70" s="88"/>
      <c r="K70" s="88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9.5" customHeight="1">
      <c r="A71" s="74"/>
      <c r="B71" s="74"/>
      <c r="C71" s="74"/>
      <c r="D71" s="74"/>
      <c r="E71" s="74"/>
      <c r="F71" s="102"/>
      <c r="G71" s="74"/>
      <c r="H71" s="74"/>
      <c r="I71" s="102"/>
      <c r="J71" s="88"/>
      <c r="K71" s="88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9.5" customHeight="1">
      <c r="A72" s="74"/>
      <c r="B72" s="74"/>
      <c r="C72" s="74"/>
      <c r="D72" s="74"/>
      <c r="E72" s="74"/>
      <c r="F72" s="102"/>
      <c r="G72" s="74"/>
      <c r="H72" s="74"/>
      <c r="I72" s="102"/>
      <c r="J72" s="88"/>
      <c r="K72" s="88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9.5" customHeight="1">
      <c r="A73" s="74"/>
      <c r="B73" s="74"/>
      <c r="C73" s="74"/>
      <c r="D73" s="74"/>
      <c r="E73" s="74"/>
      <c r="F73" s="102"/>
      <c r="G73" s="74"/>
      <c r="H73" s="74"/>
      <c r="I73" s="102"/>
      <c r="J73" s="88"/>
      <c r="K73" s="88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9.5" customHeight="1">
      <c r="A74" s="74"/>
      <c r="B74" s="74"/>
      <c r="C74" s="74"/>
      <c r="D74" s="74"/>
      <c r="E74" s="74"/>
      <c r="F74" s="102"/>
      <c r="G74" s="74"/>
      <c r="H74" s="74"/>
      <c r="I74" s="102"/>
      <c r="J74" s="88"/>
      <c r="K74" s="88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9.5" customHeight="1">
      <c r="A75" s="74"/>
      <c r="B75" s="74"/>
      <c r="C75" s="74"/>
      <c r="D75" s="74"/>
      <c r="E75" s="74"/>
      <c r="F75" s="102"/>
      <c r="G75" s="74"/>
      <c r="H75" s="74"/>
      <c r="I75" s="102"/>
      <c r="J75" s="88"/>
      <c r="K75" s="88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9.5" customHeight="1">
      <c r="A76" s="74"/>
      <c r="B76" s="74"/>
      <c r="C76" s="74"/>
      <c r="D76" s="74"/>
      <c r="E76" s="74"/>
      <c r="F76" s="102"/>
      <c r="G76" s="74"/>
      <c r="H76" s="74"/>
      <c r="I76" s="102"/>
      <c r="J76" s="88"/>
      <c r="K76" s="88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9.5" customHeight="1">
      <c r="A77" s="74"/>
      <c r="B77" s="74"/>
      <c r="C77" s="74"/>
      <c r="D77" s="74"/>
      <c r="E77" s="74"/>
      <c r="F77" s="102"/>
      <c r="G77" s="74"/>
      <c r="H77" s="74"/>
      <c r="I77" s="102"/>
      <c r="J77" s="88"/>
      <c r="K77" s="88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9.5" customHeight="1">
      <c r="A78" s="74"/>
      <c r="B78" s="74"/>
      <c r="C78" s="74"/>
      <c r="D78" s="74"/>
      <c r="E78" s="74"/>
      <c r="F78" s="102"/>
      <c r="G78" s="74"/>
      <c r="H78" s="74"/>
      <c r="I78" s="102"/>
      <c r="J78" s="88"/>
      <c r="K78" s="88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9.5" customHeight="1">
      <c r="A79" s="74"/>
      <c r="B79" s="74"/>
      <c r="C79" s="74"/>
      <c r="D79" s="74"/>
      <c r="E79" s="74"/>
      <c r="F79" s="102"/>
      <c r="G79" s="74"/>
      <c r="H79" s="74"/>
      <c r="I79" s="102"/>
      <c r="J79" s="88"/>
      <c r="K79" s="88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9.5" customHeight="1">
      <c r="A80" s="74"/>
      <c r="B80" s="74"/>
      <c r="C80" s="74"/>
      <c r="D80" s="74"/>
      <c r="E80" s="74"/>
      <c r="F80" s="102"/>
      <c r="G80" s="74"/>
      <c r="H80" s="74"/>
      <c r="I80" s="102"/>
      <c r="J80" s="88"/>
      <c r="K80" s="88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9.5" customHeight="1">
      <c r="A81" s="74"/>
      <c r="B81" s="74"/>
      <c r="C81" s="74"/>
      <c r="D81" s="74"/>
      <c r="E81" s="74"/>
      <c r="F81" s="102"/>
      <c r="G81" s="74"/>
      <c r="H81" s="74"/>
      <c r="I81" s="102"/>
      <c r="J81" s="88"/>
      <c r="K81" s="88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9.5" customHeight="1">
      <c r="A82" s="74"/>
      <c r="B82" s="74"/>
      <c r="C82" s="74"/>
      <c r="D82" s="74"/>
      <c r="E82" s="74"/>
      <c r="F82" s="102"/>
      <c r="G82" s="74"/>
      <c r="H82" s="74"/>
      <c r="I82" s="102"/>
      <c r="J82" s="88"/>
      <c r="K82" s="88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9.5" customHeight="1">
      <c r="A83" s="74"/>
      <c r="B83" s="74"/>
      <c r="C83" s="74"/>
      <c r="D83" s="74"/>
      <c r="E83" s="74"/>
      <c r="F83" s="102"/>
      <c r="G83" s="74"/>
      <c r="H83" s="74"/>
      <c r="I83" s="102"/>
      <c r="J83" s="88"/>
      <c r="K83" s="88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9.5" customHeight="1">
      <c r="A84" s="74"/>
      <c r="B84" s="74"/>
      <c r="C84" s="74"/>
      <c r="D84" s="74"/>
      <c r="E84" s="74"/>
      <c r="F84" s="102"/>
      <c r="G84" s="74"/>
      <c r="H84" s="74"/>
      <c r="I84" s="102"/>
      <c r="J84" s="88"/>
      <c r="K84" s="88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9.5" customHeight="1">
      <c r="A85" s="74"/>
      <c r="B85" s="74"/>
      <c r="C85" s="74"/>
      <c r="D85" s="74"/>
      <c r="E85" s="74"/>
      <c r="F85" s="102"/>
      <c r="G85" s="74"/>
      <c r="H85" s="74"/>
      <c r="I85" s="102"/>
      <c r="J85" s="88"/>
      <c r="K85" s="88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9.5" customHeight="1">
      <c r="A86" s="74"/>
      <c r="B86" s="74"/>
      <c r="C86" s="74"/>
      <c r="D86" s="74"/>
      <c r="E86" s="74"/>
      <c r="F86" s="102"/>
      <c r="G86" s="74"/>
      <c r="H86" s="74"/>
      <c r="I86" s="102"/>
      <c r="J86" s="88"/>
      <c r="K86" s="88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9.5" customHeight="1">
      <c r="A87" s="74"/>
      <c r="B87" s="74"/>
      <c r="C87" s="74"/>
      <c r="D87" s="74"/>
      <c r="E87" s="74"/>
      <c r="F87" s="102"/>
      <c r="G87" s="74"/>
      <c r="H87" s="74"/>
      <c r="I87" s="102"/>
      <c r="J87" s="88"/>
      <c r="K87" s="88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9.5" customHeight="1">
      <c r="A88" s="74"/>
      <c r="B88" s="74"/>
      <c r="C88" s="74"/>
      <c r="D88" s="74"/>
      <c r="E88" s="74"/>
      <c r="F88" s="102"/>
      <c r="G88" s="74"/>
      <c r="H88" s="74"/>
      <c r="I88" s="102"/>
      <c r="J88" s="88"/>
      <c r="K88" s="88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9.5" customHeight="1">
      <c r="A89" s="74"/>
      <c r="B89" s="74"/>
      <c r="C89" s="74"/>
      <c r="D89" s="74"/>
      <c r="E89" s="74"/>
      <c r="F89" s="102"/>
      <c r="G89" s="74"/>
      <c r="H89" s="74"/>
      <c r="I89" s="102"/>
      <c r="J89" s="88"/>
      <c r="K89" s="88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9.5" customHeight="1">
      <c r="A90" s="74"/>
      <c r="B90" s="74"/>
      <c r="C90" s="74"/>
      <c r="D90" s="74"/>
      <c r="E90" s="74"/>
      <c r="F90" s="102"/>
      <c r="G90" s="74"/>
      <c r="H90" s="74"/>
      <c r="I90" s="102"/>
      <c r="J90" s="88"/>
      <c r="K90" s="88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9.5" customHeight="1">
      <c r="A91" s="74"/>
      <c r="B91" s="74"/>
      <c r="C91" s="74"/>
      <c r="D91" s="74"/>
      <c r="E91" s="74"/>
      <c r="F91" s="102"/>
      <c r="G91" s="74"/>
      <c r="H91" s="74"/>
      <c r="I91" s="102"/>
      <c r="J91" s="88"/>
      <c r="K91" s="88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9.5" customHeight="1">
      <c r="A92" s="74"/>
      <c r="B92" s="74"/>
      <c r="C92" s="74"/>
      <c r="D92" s="74"/>
      <c r="E92" s="74"/>
      <c r="F92" s="102"/>
      <c r="G92" s="74"/>
      <c r="H92" s="74"/>
      <c r="I92" s="102"/>
      <c r="J92" s="88"/>
      <c r="K92" s="88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9.5" customHeight="1">
      <c r="A93" s="74"/>
      <c r="B93" s="74"/>
      <c r="C93" s="74"/>
      <c r="D93" s="74"/>
      <c r="E93" s="74"/>
      <c r="F93" s="102"/>
      <c r="G93" s="74"/>
      <c r="H93" s="74"/>
      <c r="I93" s="102"/>
      <c r="J93" s="88"/>
      <c r="K93" s="88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9.5" customHeight="1">
      <c r="A94" s="74"/>
      <c r="B94" s="74"/>
      <c r="C94" s="74"/>
      <c r="D94" s="74"/>
      <c r="E94" s="74"/>
      <c r="F94" s="102"/>
      <c r="G94" s="74"/>
      <c r="H94" s="74"/>
      <c r="I94" s="102"/>
      <c r="J94" s="88"/>
      <c r="K94" s="88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9.5" customHeight="1">
      <c r="A95" s="74"/>
      <c r="B95" s="74"/>
      <c r="C95" s="74"/>
      <c r="D95" s="74"/>
      <c r="E95" s="74"/>
      <c r="F95" s="102"/>
      <c r="G95" s="74"/>
      <c r="H95" s="74"/>
      <c r="I95" s="102"/>
      <c r="J95" s="88"/>
      <c r="K95" s="88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9.5" customHeight="1">
      <c r="A96" s="74"/>
      <c r="B96" s="74"/>
      <c r="C96" s="74"/>
      <c r="D96" s="74"/>
      <c r="E96" s="74"/>
      <c r="F96" s="102"/>
      <c r="G96" s="74"/>
      <c r="H96" s="74"/>
      <c r="I96" s="102"/>
      <c r="J96" s="88"/>
      <c r="K96" s="88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9.5" customHeight="1">
      <c r="A97" s="74"/>
      <c r="B97" s="74"/>
      <c r="C97" s="74"/>
      <c r="D97" s="74"/>
      <c r="E97" s="74"/>
      <c r="F97" s="102"/>
      <c r="G97" s="74"/>
      <c r="H97" s="74"/>
      <c r="I97" s="102"/>
      <c r="J97" s="88"/>
      <c r="K97" s="88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9.5" customHeight="1">
      <c r="A98" s="74"/>
      <c r="B98" s="74"/>
      <c r="C98" s="74"/>
      <c r="D98" s="74"/>
      <c r="E98" s="74"/>
      <c r="F98" s="102"/>
      <c r="G98" s="74"/>
      <c r="H98" s="74"/>
      <c r="I98" s="102"/>
      <c r="J98" s="88"/>
      <c r="K98" s="88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9.5" customHeight="1">
      <c r="A99" s="74"/>
      <c r="B99" s="74"/>
      <c r="C99" s="74"/>
      <c r="D99" s="74"/>
      <c r="E99" s="74"/>
      <c r="F99" s="102"/>
      <c r="G99" s="74"/>
      <c r="H99" s="74"/>
      <c r="I99" s="102"/>
      <c r="J99" s="88"/>
      <c r="K99" s="88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9.5" customHeight="1">
      <c r="A100" s="74"/>
      <c r="B100" s="74"/>
      <c r="C100" s="74"/>
      <c r="D100" s="74"/>
      <c r="E100" s="74"/>
      <c r="F100" s="102"/>
      <c r="G100" s="74"/>
      <c r="H100" s="74"/>
      <c r="I100" s="102"/>
      <c r="J100" s="88"/>
      <c r="K100" s="88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9.5" customHeight="1">
      <c r="A101" s="74"/>
      <c r="B101" s="74"/>
      <c r="C101" s="74"/>
      <c r="D101" s="74"/>
      <c r="E101" s="74"/>
      <c r="F101" s="102"/>
      <c r="G101" s="74"/>
      <c r="H101" s="74"/>
      <c r="I101" s="102"/>
      <c r="J101" s="88"/>
      <c r="K101" s="88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9.5" customHeight="1">
      <c r="A102" s="74"/>
      <c r="B102" s="74"/>
      <c r="C102" s="74"/>
      <c r="D102" s="74"/>
      <c r="E102" s="74"/>
      <c r="F102" s="102"/>
      <c r="G102" s="74"/>
      <c r="H102" s="74"/>
      <c r="I102" s="102"/>
      <c r="J102" s="88"/>
      <c r="K102" s="88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9.5" customHeight="1">
      <c r="A103" s="74"/>
      <c r="B103" s="74"/>
      <c r="C103" s="74"/>
      <c r="D103" s="74"/>
      <c r="E103" s="74"/>
      <c r="F103" s="102"/>
      <c r="G103" s="74"/>
      <c r="H103" s="74"/>
      <c r="I103" s="102"/>
      <c r="J103" s="88"/>
      <c r="K103" s="88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9.5" customHeight="1">
      <c r="A104" s="74"/>
      <c r="B104" s="74"/>
      <c r="C104" s="74"/>
      <c r="D104" s="74"/>
      <c r="E104" s="74"/>
      <c r="F104" s="102"/>
      <c r="G104" s="74"/>
      <c r="H104" s="74"/>
      <c r="I104" s="102"/>
      <c r="J104" s="88"/>
      <c r="K104" s="88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9.5" customHeight="1">
      <c r="A105" s="74"/>
      <c r="B105" s="74"/>
      <c r="C105" s="74"/>
      <c r="D105" s="74"/>
      <c r="E105" s="74"/>
      <c r="F105" s="102"/>
      <c r="G105" s="74"/>
      <c r="H105" s="74"/>
      <c r="I105" s="102"/>
      <c r="J105" s="88"/>
      <c r="K105" s="88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9.5" customHeight="1">
      <c r="A106" s="74"/>
      <c r="B106" s="74"/>
      <c r="C106" s="74"/>
      <c r="D106" s="74"/>
      <c r="E106" s="74"/>
      <c r="F106" s="102"/>
      <c r="G106" s="74"/>
      <c r="H106" s="74"/>
      <c r="I106" s="102"/>
      <c r="J106" s="88"/>
      <c r="K106" s="88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9.5" customHeight="1">
      <c r="A107" s="74"/>
      <c r="B107" s="74"/>
      <c r="C107" s="74"/>
      <c r="D107" s="74"/>
      <c r="E107" s="74"/>
      <c r="F107" s="102"/>
      <c r="G107" s="74"/>
      <c r="H107" s="74"/>
      <c r="I107" s="102"/>
      <c r="J107" s="88"/>
      <c r="K107" s="88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9.5" customHeight="1">
      <c r="A108" s="74"/>
      <c r="B108" s="74"/>
      <c r="C108" s="74"/>
      <c r="D108" s="74"/>
      <c r="E108" s="74"/>
      <c r="F108" s="102"/>
      <c r="G108" s="74"/>
      <c r="H108" s="74"/>
      <c r="I108" s="102"/>
      <c r="J108" s="88"/>
      <c r="K108" s="88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9.5" customHeight="1">
      <c r="A109" s="74"/>
      <c r="B109" s="74"/>
      <c r="C109" s="74"/>
      <c r="D109" s="74"/>
      <c r="E109" s="74"/>
      <c r="F109" s="102"/>
      <c r="G109" s="74"/>
      <c r="H109" s="74"/>
      <c r="I109" s="102"/>
      <c r="J109" s="88"/>
      <c r="K109" s="88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9.5" customHeight="1">
      <c r="A110" s="74"/>
      <c r="B110" s="74"/>
      <c r="C110" s="74"/>
      <c r="D110" s="74"/>
      <c r="E110" s="74"/>
      <c r="F110" s="102"/>
      <c r="G110" s="74"/>
      <c r="H110" s="74"/>
      <c r="I110" s="102"/>
      <c r="J110" s="88"/>
      <c r="K110" s="88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9.5" customHeight="1">
      <c r="A111" s="74"/>
      <c r="B111" s="74"/>
      <c r="C111" s="74"/>
      <c r="D111" s="74"/>
      <c r="E111" s="74"/>
      <c r="F111" s="102"/>
      <c r="G111" s="74"/>
      <c r="H111" s="74"/>
      <c r="I111" s="102"/>
      <c r="J111" s="88"/>
      <c r="K111" s="88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9.5" customHeight="1">
      <c r="A112" s="74"/>
      <c r="B112" s="74"/>
      <c r="C112" s="74"/>
      <c r="D112" s="74"/>
      <c r="E112" s="74"/>
      <c r="F112" s="102"/>
      <c r="G112" s="74"/>
      <c r="H112" s="74"/>
      <c r="I112" s="102"/>
      <c r="J112" s="88"/>
      <c r="K112" s="88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9.5" customHeight="1">
      <c r="A113" s="74"/>
      <c r="B113" s="74"/>
      <c r="C113" s="74"/>
      <c r="D113" s="74"/>
      <c r="E113" s="74"/>
      <c r="F113" s="102"/>
      <c r="G113" s="74"/>
      <c r="H113" s="74"/>
      <c r="I113" s="102"/>
      <c r="J113" s="88"/>
      <c r="K113" s="88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9.5" customHeight="1">
      <c r="A114" s="74"/>
      <c r="B114" s="74"/>
      <c r="C114" s="74"/>
      <c r="D114" s="74"/>
      <c r="E114" s="74"/>
      <c r="F114" s="102"/>
      <c r="G114" s="74"/>
      <c r="H114" s="74"/>
      <c r="I114" s="102"/>
      <c r="J114" s="88"/>
      <c r="K114" s="88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9.5" customHeight="1">
      <c r="A115" s="74"/>
      <c r="B115" s="74"/>
      <c r="C115" s="74"/>
      <c r="D115" s="74"/>
      <c r="E115" s="74"/>
      <c r="F115" s="102"/>
      <c r="G115" s="74"/>
      <c r="H115" s="74"/>
      <c r="I115" s="102"/>
      <c r="J115" s="88"/>
      <c r="K115" s="88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9.5" customHeight="1">
      <c r="A116" s="74"/>
      <c r="B116" s="74"/>
      <c r="C116" s="74"/>
      <c r="D116" s="74"/>
      <c r="E116" s="74"/>
      <c r="F116" s="102"/>
      <c r="G116" s="74"/>
      <c r="H116" s="74"/>
      <c r="I116" s="102"/>
      <c r="J116" s="88"/>
      <c r="K116" s="88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9.5" customHeight="1">
      <c r="A117" s="74"/>
      <c r="B117" s="74"/>
      <c r="C117" s="74"/>
      <c r="D117" s="74"/>
      <c r="E117" s="74"/>
      <c r="F117" s="102"/>
      <c r="G117" s="74"/>
      <c r="H117" s="74"/>
      <c r="I117" s="102"/>
      <c r="J117" s="88"/>
      <c r="K117" s="88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9.5" customHeight="1">
      <c r="A118" s="74"/>
      <c r="B118" s="74"/>
      <c r="C118" s="74"/>
      <c r="D118" s="74"/>
      <c r="E118" s="74"/>
      <c r="F118" s="102"/>
      <c r="G118" s="74"/>
      <c r="H118" s="74"/>
      <c r="I118" s="102"/>
      <c r="J118" s="88"/>
      <c r="K118" s="88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9.5" customHeight="1">
      <c r="A119" s="74"/>
      <c r="B119" s="74"/>
      <c r="C119" s="74"/>
      <c r="D119" s="74"/>
      <c r="E119" s="74"/>
      <c r="F119" s="102"/>
      <c r="G119" s="74"/>
      <c r="H119" s="74"/>
      <c r="I119" s="102"/>
      <c r="J119" s="88"/>
      <c r="K119" s="88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9.5" customHeight="1">
      <c r="A120" s="74"/>
      <c r="B120" s="74"/>
      <c r="C120" s="74"/>
      <c r="D120" s="74"/>
      <c r="E120" s="74"/>
      <c r="F120" s="102"/>
      <c r="G120" s="74"/>
      <c r="H120" s="74"/>
      <c r="I120" s="102"/>
      <c r="J120" s="88"/>
      <c r="K120" s="88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9.5" customHeight="1">
      <c r="A121" s="74"/>
      <c r="B121" s="74"/>
      <c r="C121" s="74"/>
      <c r="D121" s="74"/>
      <c r="E121" s="74"/>
      <c r="F121" s="102"/>
      <c r="G121" s="74"/>
      <c r="H121" s="74"/>
      <c r="I121" s="102"/>
      <c r="J121" s="88"/>
      <c r="K121" s="88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9.5" customHeight="1">
      <c r="A122" s="74"/>
      <c r="B122" s="74"/>
      <c r="C122" s="74"/>
      <c r="D122" s="74"/>
      <c r="E122" s="74"/>
      <c r="F122" s="102"/>
      <c r="G122" s="74"/>
      <c r="H122" s="74"/>
      <c r="I122" s="102"/>
      <c r="J122" s="88"/>
      <c r="K122" s="88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9.5" customHeight="1">
      <c r="A123" s="74"/>
      <c r="B123" s="74"/>
      <c r="C123" s="74"/>
      <c r="D123" s="74"/>
      <c r="E123" s="74"/>
      <c r="F123" s="102"/>
      <c r="G123" s="74"/>
      <c r="H123" s="74"/>
      <c r="I123" s="102"/>
      <c r="J123" s="88"/>
      <c r="K123" s="88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9.5" customHeight="1">
      <c r="A124" s="74"/>
      <c r="B124" s="74"/>
      <c r="C124" s="74"/>
      <c r="D124" s="74"/>
      <c r="E124" s="74"/>
      <c r="F124" s="102"/>
      <c r="G124" s="74"/>
      <c r="H124" s="74"/>
      <c r="I124" s="102"/>
      <c r="J124" s="88"/>
      <c r="K124" s="88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9.5" customHeight="1">
      <c r="A125" s="74"/>
      <c r="B125" s="74"/>
      <c r="C125" s="74"/>
      <c r="D125" s="74"/>
      <c r="E125" s="74"/>
      <c r="F125" s="102"/>
      <c r="G125" s="74"/>
      <c r="H125" s="74"/>
      <c r="I125" s="102"/>
      <c r="J125" s="88"/>
      <c r="K125" s="88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9.5" customHeight="1">
      <c r="A126" s="74"/>
      <c r="B126" s="74"/>
      <c r="C126" s="74"/>
      <c r="D126" s="74"/>
      <c r="E126" s="74"/>
      <c r="F126" s="102"/>
      <c r="G126" s="74"/>
      <c r="H126" s="74"/>
      <c r="I126" s="102"/>
      <c r="J126" s="88"/>
      <c r="K126" s="88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9.5" customHeight="1">
      <c r="A127" s="74"/>
      <c r="B127" s="74"/>
      <c r="C127" s="74"/>
      <c r="D127" s="74"/>
      <c r="E127" s="74"/>
      <c r="F127" s="102"/>
      <c r="G127" s="74"/>
      <c r="H127" s="74"/>
      <c r="I127" s="102"/>
      <c r="J127" s="88"/>
      <c r="K127" s="88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9.5" customHeight="1">
      <c r="A128" s="74"/>
      <c r="B128" s="74"/>
      <c r="C128" s="74"/>
      <c r="D128" s="74"/>
      <c r="E128" s="74"/>
      <c r="F128" s="102"/>
      <c r="G128" s="74"/>
      <c r="H128" s="74"/>
      <c r="I128" s="102"/>
      <c r="J128" s="88"/>
      <c r="K128" s="88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9.5" customHeight="1">
      <c r="A129" s="74"/>
      <c r="B129" s="74"/>
      <c r="C129" s="74"/>
      <c r="D129" s="74"/>
      <c r="E129" s="74"/>
      <c r="F129" s="102"/>
      <c r="G129" s="74"/>
      <c r="H129" s="74"/>
      <c r="I129" s="102"/>
      <c r="J129" s="88"/>
      <c r="K129" s="88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9.5" customHeight="1">
      <c r="A130" s="74"/>
      <c r="B130" s="74"/>
      <c r="C130" s="74"/>
      <c r="D130" s="74"/>
      <c r="E130" s="74"/>
      <c r="F130" s="102"/>
      <c r="G130" s="74"/>
      <c r="H130" s="74"/>
      <c r="I130" s="102"/>
      <c r="J130" s="88"/>
      <c r="K130" s="88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9.5" customHeight="1">
      <c r="A131" s="74"/>
      <c r="B131" s="74"/>
      <c r="C131" s="74"/>
      <c r="D131" s="74"/>
      <c r="E131" s="74"/>
      <c r="F131" s="102"/>
      <c r="G131" s="74"/>
      <c r="H131" s="74"/>
      <c r="I131" s="102"/>
      <c r="J131" s="88"/>
      <c r="K131" s="88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9.5" customHeight="1">
      <c r="A132" s="74"/>
      <c r="B132" s="74"/>
      <c r="C132" s="74"/>
      <c r="D132" s="74"/>
      <c r="E132" s="74"/>
      <c r="F132" s="102"/>
      <c r="G132" s="74"/>
      <c r="H132" s="74"/>
      <c r="I132" s="102"/>
      <c r="J132" s="88"/>
      <c r="K132" s="88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9.5" customHeight="1">
      <c r="A133" s="74"/>
      <c r="B133" s="74"/>
      <c r="C133" s="74"/>
      <c r="D133" s="74"/>
      <c r="E133" s="74"/>
      <c r="F133" s="102"/>
      <c r="G133" s="74"/>
      <c r="H133" s="74"/>
      <c r="I133" s="102"/>
      <c r="J133" s="88"/>
      <c r="K133" s="88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9.5" customHeight="1">
      <c r="A134" s="74"/>
      <c r="B134" s="74"/>
      <c r="C134" s="74"/>
      <c r="D134" s="74"/>
      <c r="E134" s="74"/>
      <c r="F134" s="102"/>
      <c r="G134" s="74"/>
      <c r="H134" s="74"/>
      <c r="I134" s="102"/>
      <c r="J134" s="88"/>
      <c r="K134" s="88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9.5" customHeight="1">
      <c r="A135" s="74"/>
      <c r="B135" s="74"/>
      <c r="C135" s="74"/>
      <c r="D135" s="74"/>
      <c r="E135" s="74"/>
      <c r="F135" s="102"/>
      <c r="G135" s="74"/>
      <c r="H135" s="74"/>
      <c r="I135" s="102"/>
      <c r="J135" s="88"/>
      <c r="K135" s="88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9.5" customHeight="1">
      <c r="A136" s="74"/>
      <c r="B136" s="74"/>
      <c r="C136" s="74"/>
      <c r="D136" s="74"/>
      <c r="E136" s="74"/>
      <c r="F136" s="102"/>
      <c r="G136" s="74"/>
      <c r="H136" s="74"/>
      <c r="I136" s="102"/>
      <c r="J136" s="88"/>
      <c r="K136" s="88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9.5" customHeight="1">
      <c r="A137" s="74"/>
      <c r="B137" s="74"/>
      <c r="C137" s="74"/>
      <c r="D137" s="74"/>
      <c r="E137" s="74"/>
      <c r="F137" s="102"/>
      <c r="G137" s="74"/>
      <c r="H137" s="74"/>
      <c r="I137" s="102"/>
      <c r="J137" s="88"/>
      <c r="K137" s="88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9.5" customHeight="1">
      <c r="A138" s="74"/>
      <c r="B138" s="74"/>
      <c r="C138" s="74"/>
      <c r="D138" s="74"/>
      <c r="E138" s="74"/>
      <c r="F138" s="102"/>
      <c r="G138" s="74"/>
      <c r="H138" s="74"/>
      <c r="I138" s="102"/>
      <c r="J138" s="88"/>
      <c r="K138" s="88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9.5" customHeight="1">
      <c r="A139" s="74"/>
      <c r="B139" s="74"/>
      <c r="C139" s="74"/>
      <c r="D139" s="74"/>
      <c r="E139" s="74"/>
      <c r="F139" s="102"/>
      <c r="G139" s="74"/>
      <c r="H139" s="74"/>
      <c r="I139" s="102"/>
      <c r="J139" s="88"/>
      <c r="K139" s="88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9.5" customHeight="1">
      <c r="A140" s="74"/>
      <c r="B140" s="74"/>
      <c r="C140" s="74"/>
      <c r="D140" s="74"/>
      <c r="E140" s="74"/>
      <c r="F140" s="102"/>
      <c r="G140" s="74"/>
      <c r="H140" s="74"/>
      <c r="I140" s="102"/>
      <c r="J140" s="88"/>
      <c r="K140" s="88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9.5" customHeight="1">
      <c r="A141" s="74"/>
      <c r="B141" s="74"/>
      <c r="C141" s="74"/>
      <c r="D141" s="74"/>
      <c r="E141" s="74"/>
      <c r="F141" s="102"/>
      <c r="G141" s="74"/>
      <c r="H141" s="74"/>
      <c r="I141" s="102"/>
      <c r="J141" s="88"/>
      <c r="K141" s="88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9.5" customHeight="1">
      <c r="A142" s="74"/>
      <c r="B142" s="74"/>
      <c r="C142" s="74"/>
      <c r="D142" s="74"/>
      <c r="E142" s="74"/>
      <c r="F142" s="102"/>
      <c r="G142" s="74"/>
      <c r="H142" s="74"/>
      <c r="I142" s="102"/>
      <c r="J142" s="88"/>
      <c r="K142" s="88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9.5" customHeight="1">
      <c r="A143" s="74"/>
      <c r="B143" s="74"/>
      <c r="C143" s="74"/>
      <c r="D143" s="74"/>
      <c r="E143" s="74"/>
      <c r="F143" s="102"/>
      <c r="G143" s="74"/>
      <c r="H143" s="74"/>
      <c r="I143" s="102"/>
      <c r="J143" s="88"/>
      <c r="K143" s="88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9.5" customHeight="1">
      <c r="A144" s="74"/>
      <c r="B144" s="74"/>
      <c r="C144" s="74"/>
      <c r="D144" s="74"/>
      <c r="E144" s="74"/>
      <c r="F144" s="102"/>
      <c r="G144" s="74"/>
      <c r="H144" s="74"/>
      <c r="I144" s="102"/>
      <c r="J144" s="88"/>
      <c r="K144" s="88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9.5" customHeight="1">
      <c r="A145" s="74"/>
      <c r="B145" s="74"/>
      <c r="C145" s="74"/>
      <c r="D145" s="74"/>
      <c r="E145" s="74"/>
      <c r="F145" s="102"/>
      <c r="G145" s="74"/>
      <c r="H145" s="74"/>
      <c r="I145" s="102"/>
      <c r="J145" s="88"/>
      <c r="K145" s="88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9.5" customHeight="1">
      <c r="A146" s="74"/>
      <c r="B146" s="74"/>
      <c r="C146" s="74"/>
      <c r="D146" s="74"/>
      <c r="E146" s="74"/>
      <c r="F146" s="102"/>
      <c r="G146" s="74"/>
      <c r="H146" s="74"/>
      <c r="I146" s="102"/>
      <c r="J146" s="88"/>
      <c r="K146" s="88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9.5" customHeight="1">
      <c r="A147" s="74"/>
      <c r="B147" s="74"/>
      <c r="C147" s="74"/>
      <c r="D147" s="74"/>
      <c r="E147" s="74"/>
      <c r="F147" s="102"/>
      <c r="G147" s="74"/>
      <c r="H147" s="74"/>
      <c r="I147" s="102"/>
      <c r="J147" s="88"/>
      <c r="K147" s="88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9.5" customHeight="1">
      <c r="A148" s="74"/>
      <c r="B148" s="74"/>
      <c r="C148" s="74"/>
      <c r="D148" s="74"/>
      <c r="E148" s="74"/>
      <c r="F148" s="102"/>
      <c r="G148" s="74"/>
      <c r="H148" s="74"/>
      <c r="I148" s="102"/>
      <c r="J148" s="88"/>
      <c r="K148" s="88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9.5" customHeight="1">
      <c r="A149" s="74"/>
      <c r="B149" s="74"/>
      <c r="C149" s="74"/>
      <c r="D149" s="74"/>
      <c r="E149" s="74"/>
      <c r="F149" s="102"/>
      <c r="G149" s="74"/>
      <c r="H149" s="74"/>
      <c r="I149" s="102"/>
      <c r="J149" s="88"/>
      <c r="K149" s="88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9.5" customHeight="1">
      <c r="A150" s="74"/>
      <c r="B150" s="74"/>
      <c r="C150" s="74"/>
      <c r="D150" s="74"/>
      <c r="E150" s="74"/>
      <c r="F150" s="102"/>
      <c r="G150" s="74"/>
      <c r="H150" s="74"/>
      <c r="I150" s="102"/>
      <c r="J150" s="88"/>
      <c r="K150" s="88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9.5" customHeight="1">
      <c r="A151" s="74"/>
      <c r="B151" s="74"/>
      <c r="C151" s="74"/>
      <c r="D151" s="74"/>
      <c r="E151" s="74"/>
      <c r="F151" s="102"/>
      <c r="G151" s="74"/>
      <c r="H151" s="74"/>
      <c r="I151" s="102"/>
      <c r="J151" s="88"/>
      <c r="K151" s="88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9.5" customHeight="1">
      <c r="A152" s="74"/>
      <c r="B152" s="74"/>
      <c r="C152" s="74"/>
      <c r="D152" s="74"/>
      <c r="E152" s="74"/>
      <c r="F152" s="102"/>
      <c r="G152" s="74"/>
      <c r="H152" s="74"/>
      <c r="I152" s="102"/>
      <c r="J152" s="88"/>
      <c r="K152" s="88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9.5" customHeight="1">
      <c r="A153" s="74"/>
      <c r="B153" s="74"/>
      <c r="C153" s="74"/>
      <c r="D153" s="74"/>
      <c r="E153" s="74"/>
      <c r="F153" s="102"/>
      <c r="G153" s="74"/>
      <c r="H153" s="74"/>
      <c r="I153" s="102"/>
      <c r="J153" s="88"/>
      <c r="K153" s="88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9.5" customHeight="1">
      <c r="A154" s="74"/>
      <c r="B154" s="74"/>
      <c r="C154" s="74"/>
      <c r="D154" s="74"/>
      <c r="E154" s="74"/>
      <c r="F154" s="102"/>
      <c r="G154" s="74"/>
      <c r="H154" s="74"/>
      <c r="I154" s="102"/>
      <c r="J154" s="88"/>
      <c r="K154" s="88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9.5" customHeight="1">
      <c r="A155" s="74"/>
      <c r="B155" s="74"/>
      <c r="C155" s="74"/>
      <c r="D155" s="74"/>
      <c r="E155" s="74"/>
      <c r="F155" s="102"/>
      <c r="G155" s="74"/>
      <c r="H155" s="74"/>
      <c r="I155" s="102"/>
      <c r="J155" s="88"/>
      <c r="K155" s="88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9.5" customHeight="1">
      <c r="A156" s="74"/>
      <c r="B156" s="74"/>
      <c r="C156" s="74"/>
      <c r="D156" s="74"/>
      <c r="E156" s="74"/>
      <c r="F156" s="102"/>
      <c r="G156" s="74"/>
      <c r="H156" s="74"/>
      <c r="I156" s="102"/>
      <c r="J156" s="88"/>
      <c r="K156" s="88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9.5" customHeight="1">
      <c r="A157" s="74"/>
      <c r="B157" s="74"/>
      <c r="C157" s="74"/>
      <c r="D157" s="74"/>
      <c r="E157" s="74"/>
      <c r="F157" s="102"/>
      <c r="G157" s="74"/>
      <c r="H157" s="74"/>
      <c r="I157" s="102"/>
      <c r="J157" s="88"/>
      <c r="K157" s="88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9.5" customHeight="1">
      <c r="A158" s="74"/>
      <c r="B158" s="74"/>
      <c r="C158" s="74"/>
      <c r="D158" s="74"/>
      <c r="E158" s="74"/>
      <c r="F158" s="102"/>
      <c r="G158" s="74"/>
      <c r="H158" s="74"/>
      <c r="I158" s="102"/>
      <c r="J158" s="88"/>
      <c r="K158" s="88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9.5" customHeight="1">
      <c r="A159" s="74"/>
      <c r="B159" s="74"/>
      <c r="C159" s="74"/>
      <c r="D159" s="74"/>
      <c r="E159" s="74"/>
      <c r="F159" s="102"/>
      <c r="G159" s="74"/>
      <c r="H159" s="74"/>
      <c r="I159" s="102"/>
      <c r="J159" s="88"/>
      <c r="K159" s="88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9.5" customHeight="1">
      <c r="A160" s="74"/>
      <c r="B160" s="74"/>
      <c r="C160" s="74"/>
      <c r="D160" s="74"/>
      <c r="E160" s="74"/>
      <c r="F160" s="102"/>
      <c r="G160" s="74"/>
      <c r="H160" s="74"/>
      <c r="I160" s="102"/>
      <c r="J160" s="88"/>
      <c r="K160" s="88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9.5" customHeight="1">
      <c r="A161" s="74"/>
      <c r="B161" s="74"/>
      <c r="C161" s="74"/>
      <c r="D161" s="74"/>
      <c r="E161" s="74"/>
      <c r="F161" s="102"/>
      <c r="G161" s="74"/>
      <c r="H161" s="74"/>
      <c r="I161" s="102"/>
      <c r="J161" s="88"/>
      <c r="K161" s="88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9.5" customHeight="1">
      <c r="A162" s="74"/>
      <c r="B162" s="74"/>
      <c r="C162" s="74"/>
      <c r="D162" s="74"/>
      <c r="E162" s="74"/>
      <c r="F162" s="102"/>
      <c r="G162" s="74"/>
      <c r="H162" s="74"/>
      <c r="I162" s="102"/>
      <c r="J162" s="88"/>
      <c r="K162" s="88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9.5" customHeight="1">
      <c r="A163" s="74"/>
      <c r="B163" s="74"/>
      <c r="C163" s="74"/>
      <c r="D163" s="74"/>
      <c r="E163" s="74"/>
      <c r="F163" s="102"/>
      <c r="G163" s="74"/>
      <c r="H163" s="74"/>
      <c r="I163" s="102"/>
      <c r="J163" s="88"/>
      <c r="K163" s="88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9.5" customHeight="1">
      <c r="A164" s="74"/>
      <c r="B164" s="74"/>
      <c r="C164" s="74"/>
      <c r="D164" s="74"/>
      <c r="E164" s="74"/>
      <c r="F164" s="102"/>
      <c r="G164" s="74"/>
      <c r="H164" s="74"/>
      <c r="I164" s="102"/>
      <c r="J164" s="88"/>
      <c r="K164" s="88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9.5" customHeight="1">
      <c r="A165" s="74"/>
      <c r="B165" s="74"/>
      <c r="C165" s="74"/>
      <c r="D165" s="74"/>
      <c r="E165" s="74"/>
      <c r="F165" s="102"/>
      <c r="G165" s="74"/>
      <c r="H165" s="74"/>
      <c r="I165" s="102"/>
      <c r="J165" s="88"/>
      <c r="K165" s="88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9.5" customHeight="1">
      <c r="A166" s="74"/>
      <c r="B166" s="74"/>
      <c r="C166" s="74"/>
      <c r="D166" s="74"/>
      <c r="E166" s="74"/>
      <c r="F166" s="102"/>
      <c r="G166" s="74"/>
      <c r="H166" s="74"/>
      <c r="I166" s="102"/>
      <c r="J166" s="88"/>
      <c r="K166" s="88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9.5" customHeight="1">
      <c r="A167" s="74"/>
      <c r="B167" s="74"/>
      <c r="C167" s="74"/>
      <c r="D167" s="74"/>
      <c r="E167" s="74"/>
      <c r="F167" s="102"/>
      <c r="G167" s="74"/>
      <c r="H167" s="74"/>
      <c r="I167" s="102"/>
      <c r="J167" s="88"/>
      <c r="K167" s="88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9.5" customHeight="1">
      <c r="A168" s="74"/>
      <c r="B168" s="74"/>
      <c r="C168" s="74"/>
      <c r="D168" s="74"/>
      <c r="E168" s="74"/>
      <c r="F168" s="102"/>
      <c r="G168" s="74"/>
      <c r="H168" s="74"/>
      <c r="I168" s="102"/>
      <c r="J168" s="88"/>
      <c r="K168" s="88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9.5" customHeight="1">
      <c r="A169" s="74"/>
      <c r="B169" s="74"/>
      <c r="C169" s="74"/>
      <c r="D169" s="74"/>
      <c r="E169" s="74"/>
      <c r="F169" s="102"/>
      <c r="G169" s="74"/>
      <c r="H169" s="74"/>
      <c r="I169" s="102"/>
      <c r="J169" s="88"/>
      <c r="K169" s="88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9.5" customHeight="1">
      <c r="A170" s="74"/>
      <c r="B170" s="74"/>
      <c r="C170" s="74"/>
      <c r="D170" s="74"/>
      <c r="E170" s="74"/>
      <c r="F170" s="102"/>
      <c r="G170" s="74"/>
      <c r="H170" s="74"/>
      <c r="I170" s="102"/>
      <c r="J170" s="88"/>
      <c r="K170" s="88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9.5" customHeight="1">
      <c r="A171" s="74"/>
      <c r="B171" s="74"/>
      <c r="C171" s="74"/>
      <c r="D171" s="74"/>
      <c r="E171" s="74"/>
      <c r="F171" s="102"/>
      <c r="G171" s="74"/>
      <c r="H171" s="74"/>
      <c r="I171" s="102"/>
      <c r="J171" s="88"/>
      <c r="K171" s="88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9.5" customHeight="1">
      <c r="A172" s="74"/>
      <c r="B172" s="74"/>
      <c r="C172" s="74"/>
      <c r="D172" s="74"/>
      <c r="E172" s="74"/>
      <c r="F172" s="102"/>
      <c r="G172" s="74"/>
      <c r="H172" s="74"/>
      <c r="I172" s="102"/>
      <c r="J172" s="88"/>
      <c r="K172" s="88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9.5" customHeight="1">
      <c r="A173" s="74"/>
      <c r="B173" s="74"/>
      <c r="C173" s="74"/>
      <c r="D173" s="74"/>
      <c r="E173" s="74"/>
      <c r="F173" s="102"/>
      <c r="G173" s="74"/>
      <c r="H173" s="74"/>
      <c r="I173" s="102"/>
      <c r="J173" s="88"/>
      <c r="K173" s="88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9.5" customHeight="1">
      <c r="A174" s="74"/>
      <c r="B174" s="74"/>
      <c r="C174" s="74"/>
      <c r="D174" s="74"/>
      <c r="E174" s="74"/>
      <c r="F174" s="102"/>
      <c r="G174" s="74"/>
      <c r="H174" s="74"/>
      <c r="I174" s="102"/>
      <c r="J174" s="88"/>
      <c r="K174" s="88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9.5" customHeight="1">
      <c r="A175" s="74"/>
      <c r="B175" s="74"/>
      <c r="C175" s="74"/>
      <c r="D175" s="74"/>
      <c r="E175" s="74"/>
      <c r="F175" s="102"/>
      <c r="G175" s="74"/>
      <c r="H175" s="74"/>
      <c r="I175" s="102"/>
      <c r="J175" s="88"/>
      <c r="K175" s="88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9.5" customHeight="1">
      <c r="A176" s="74"/>
      <c r="B176" s="74"/>
      <c r="C176" s="74"/>
      <c r="D176" s="74"/>
      <c r="E176" s="74"/>
      <c r="F176" s="102"/>
      <c r="G176" s="74"/>
      <c r="H176" s="74"/>
      <c r="I176" s="102"/>
      <c r="J176" s="88"/>
      <c r="K176" s="88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9.5" customHeight="1">
      <c r="A177" s="74"/>
      <c r="B177" s="74"/>
      <c r="C177" s="74"/>
      <c r="D177" s="74"/>
      <c r="E177" s="74"/>
      <c r="F177" s="102"/>
      <c r="G177" s="74"/>
      <c r="H177" s="74"/>
      <c r="I177" s="102"/>
      <c r="J177" s="88"/>
      <c r="K177" s="88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9.5" customHeight="1">
      <c r="A178" s="74"/>
      <c r="B178" s="74"/>
      <c r="C178" s="74"/>
      <c r="D178" s="74"/>
      <c r="E178" s="74"/>
      <c r="F178" s="102"/>
      <c r="G178" s="74"/>
      <c r="H178" s="74"/>
      <c r="I178" s="102"/>
      <c r="J178" s="88"/>
      <c r="K178" s="88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9.5" customHeight="1">
      <c r="A179" s="74"/>
      <c r="B179" s="74"/>
      <c r="C179" s="74"/>
      <c r="D179" s="74"/>
      <c r="E179" s="74"/>
      <c r="F179" s="102"/>
      <c r="G179" s="74"/>
      <c r="H179" s="74"/>
      <c r="I179" s="102"/>
      <c r="J179" s="88"/>
      <c r="K179" s="88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9.5" customHeight="1">
      <c r="A180" s="74"/>
      <c r="B180" s="74"/>
      <c r="C180" s="74"/>
      <c r="D180" s="74"/>
      <c r="E180" s="74"/>
      <c r="F180" s="102"/>
      <c r="G180" s="74"/>
      <c r="H180" s="74"/>
      <c r="I180" s="102"/>
      <c r="J180" s="88"/>
      <c r="K180" s="88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9.5" customHeight="1">
      <c r="A181" s="74"/>
      <c r="B181" s="74"/>
      <c r="C181" s="74"/>
      <c r="D181" s="74"/>
      <c r="E181" s="74"/>
      <c r="F181" s="102"/>
      <c r="G181" s="74"/>
      <c r="H181" s="74"/>
      <c r="I181" s="102"/>
      <c r="J181" s="88"/>
      <c r="K181" s="88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9.5" customHeight="1">
      <c r="A182" s="74"/>
      <c r="B182" s="74"/>
      <c r="C182" s="74"/>
      <c r="D182" s="74"/>
      <c r="E182" s="74"/>
      <c r="F182" s="102"/>
      <c r="G182" s="74"/>
      <c r="H182" s="74"/>
      <c r="I182" s="102"/>
      <c r="J182" s="88"/>
      <c r="K182" s="88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9.5" customHeight="1">
      <c r="A183" s="74"/>
      <c r="B183" s="74"/>
      <c r="C183" s="74"/>
      <c r="D183" s="74"/>
      <c r="E183" s="74"/>
      <c r="F183" s="102"/>
      <c r="G183" s="74"/>
      <c r="H183" s="74"/>
      <c r="I183" s="102"/>
      <c r="J183" s="88"/>
      <c r="K183" s="88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9.5" customHeight="1">
      <c r="A184" s="74"/>
      <c r="B184" s="74"/>
      <c r="C184" s="74"/>
      <c r="D184" s="74"/>
      <c r="E184" s="74"/>
      <c r="F184" s="102"/>
      <c r="G184" s="74"/>
      <c r="H184" s="74"/>
      <c r="I184" s="102"/>
      <c r="J184" s="88"/>
      <c r="K184" s="88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9.5" customHeight="1">
      <c r="A185" s="74"/>
      <c r="B185" s="74"/>
      <c r="C185" s="74"/>
      <c r="D185" s="74"/>
      <c r="E185" s="74"/>
      <c r="F185" s="102"/>
      <c r="G185" s="74"/>
      <c r="H185" s="74"/>
      <c r="I185" s="102"/>
      <c r="J185" s="88"/>
      <c r="K185" s="88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9.5" customHeight="1">
      <c r="A186" s="74"/>
      <c r="B186" s="74"/>
      <c r="C186" s="74"/>
      <c r="D186" s="74"/>
      <c r="E186" s="74"/>
      <c r="F186" s="102"/>
      <c r="G186" s="74"/>
      <c r="H186" s="74"/>
      <c r="I186" s="102"/>
      <c r="J186" s="88"/>
      <c r="K186" s="88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9.5" customHeight="1">
      <c r="A187" s="74"/>
      <c r="B187" s="74"/>
      <c r="C187" s="74"/>
      <c r="D187" s="74"/>
      <c r="E187" s="74"/>
      <c r="F187" s="102"/>
      <c r="G187" s="74"/>
      <c r="H187" s="74"/>
      <c r="I187" s="102"/>
      <c r="J187" s="88"/>
      <c r="K187" s="88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9.5" customHeight="1">
      <c r="A188" s="74"/>
      <c r="B188" s="74"/>
      <c r="C188" s="74"/>
      <c r="D188" s="74"/>
      <c r="E188" s="74"/>
      <c r="F188" s="102"/>
      <c r="G188" s="74"/>
      <c r="H188" s="74"/>
      <c r="I188" s="102"/>
      <c r="J188" s="88"/>
      <c r="K188" s="88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9.5" customHeight="1">
      <c r="A189" s="74"/>
      <c r="B189" s="74"/>
      <c r="C189" s="74"/>
      <c r="D189" s="74"/>
      <c r="E189" s="74"/>
      <c r="F189" s="102"/>
      <c r="G189" s="74"/>
      <c r="H189" s="74"/>
      <c r="I189" s="102"/>
      <c r="J189" s="88"/>
      <c r="K189" s="88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9.5" customHeight="1">
      <c r="A190" s="74"/>
      <c r="B190" s="74"/>
      <c r="C190" s="74"/>
      <c r="D190" s="74"/>
      <c r="E190" s="74"/>
      <c r="F190" s="102"/>
      <c r="G190" s="74"/>
      <c r="H190" s="74"/>
      <c r="I190" s="102"/>
      <c r="J190" s="88"/>
      <c r="K190" s="88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9.5" customHeight="1">
      <c r="A191" s="74"/>
      <c r="B191" s="74"/>
      <c r="C191" s="74"/>
      <c r="D191" s="74"/>
      <c r="E191" s="74"/>
      <c r="F191" s="102"/>
      <c r="G191" s="74"/>
      <c r="H191" s="74"/>
      <c r="I191" s="102"/>
      <c r="J191" s="88"/>
      <c r="K191" s="88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9.5" customHeight="1">
      <c r="A192" s="74"/>
      <c r="B192" s="74"/>
      <c r="C192" s="74"/>
      <c r="D192" s="74"/>
      <c r="E192" s="74"/>
      <c r="F192" s="102"/>
      <c r="G192" s="74"/>
      <c r="H192" s="74"/>
      <c r="I192" s="102"/>
      <c r="J192" s="88"/>
      <c r="K192" s="88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9.5" customHeight="1">
      <c r="A193" s="74"/>
      <c r="B193" s="74"/>
      <c r="C193" s="74"/>
      <c r="D193" s="74"/>
      <c r="E193" s="74"/>
      <c r="F193" s="102"/>
      <c r="G193" s="74"/>
      <c r="H193" s="74"/>
      <c r="I193" s="102"/>
      <c r="J193" s="88"/>
      <c r="K193" s="88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9.5" customHeight="1">
      <c r="A194" s="74"/>
      <c r="B194" s="74"/>
      <c r="C194" s="74"/>
      <c r="D194" s="74"/>
      <c r="E194" s="74"/>
      <c r="F194" s="102"/>
      <c r="G194" s="74"/>
      <c r="H194" s="74"/>
      <c r="I194" s="102"/>
      <c r="J194" s="88"/>
      <c r="K194" s="88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9.5" customHeight="1">
      <c r="A195" s="74"/>
      <c r="B195" s="74"/>
      <c r="C195" s="74"/>
      <c r="D195" s="74"/>
      <c r="E195" s="74"/>
      <c r="F195" s="102"/>
      <c r="G195" s="74"/>
      <c r="H195" s="74"/>
      <c r="I195" s="102"/>
      <c r="J195" s="88"/>
      <c r="K195" s="88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9.5" customHeight="1">
      <c r="A196" s="74"/>
      <c r="B196" s="74"/>
      <c r="C196" s="74"/>
      <c r="D196" s="74"/>
      <c r="E196" s="74"/>
      <c r="F196" s="102"/>
      <c r="G196" s="74"/>
      <c r="H196" s="74"/>
      <c r="I196" s="102"/>
      <c r="J196" s="88"/>
      <c r="K196" s="88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9.5" customHeight="1">
      <c r="A197" s="74"/>
      <c r="B197" s="74"/>
      <c r="C197" s="74"/>
      <c r="D197" s="74"/>
      <c r="E197" s="74"/>
      <c r="F197" s="102"/>
      <c r="G197" s="74"/>
      <c r="H197" s="74"/>
      <c r="I197" s="102"/>
      <c r="J197" s="88"/>
      <c r="K197" s="88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9.5" customHeight="1">
      <c r="A198" s="74"/>
      <c r="B198" s="74"/>
      <c r="C198" s="74"/>
      <c r="D198" s="74"/>
      <c r="E198" s="74"/>
      <c r="F198" s="102"/>
      <c r="G198" s="74"/>
      <c r="H198" s="74"/>
      <c r="I198" s="102"/>
      <c r="J198" s="88"/>
      <c r="K198" s="88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9.5" customHeight="1">
      <c r="A199" s="74"/>
      <c r="B199" s="74"/>
      <c r="C199" s="74"/>
      <c r="D199" s="74"/>
      <c r="E199" s="74"/>
      <c r="F199" s="102"/>
      <c r="G199" s="74"/>
      <c r="H199" s="74"/>
      <c r="I199" s="102"/>
      <c r="J199" s="88"/>
      <c r="K199" s="88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9.5" customHeight="1">
      <c r="A200" s="74"/>
      <c r="B200" s="74"/>
      <c r="C200" s="74"/>
      <c r="D200" s="74"/>
      <c r="E200" s="74"/>
      <c r="F200" s="102"/>
      <c r="G200" s="74"/>
      <c r="H200" s="74"/>
      <c r="I200" s="102"/>
      <c r="J200" s="88"/>
      <c r="K200" s="88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9.5" customHeight="1">
      <c r="A201" s="74"/>
      <c r="B201" s="74"/>
      <c r="C201" s="74"/>
      <c r="D201" s="74"/>
      <c r="E201" s="74"/>
      <c r="F201" s="102"/>
      <c r="G201" s="74"/>
      <c r="H201" s="74"/>
      <c r="I201" s="102"/>
      <c r="J201" s="88"/>
      <c r="K201" s="88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9.5" customHeight="1">
      <c r="A202" s="74"/>
      <c r="B202" s="74"/>
      <c r="C202" s="74"/>
      <c r="D202" s="74"/>
      <c r="E202" s="74"/>
      <c r="F202" s="102"/>
      <c r="G202" s="74"/>
      <c r="H202" s="74"/>
      <c r="I202" s="102"/>
      <c r="J202" s="88"/>
      <c r="K202" s="88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9.5" customHeight="1">
      <c r="A203" s="74"/>
      <c r="B203" s="74"/>
      <c r="C203" s="74"/>
      <c r="D203" s="74"/>
      <c r="E203" s="74"/>
      <c r="F203" s="102"/>
      <c r="G203" s="74"/>
      <c r="H203" s="74"/>
      <c r="I203" s="102"/>
      <c r="J203" s="88"/>
      <c r="K203" s="88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9.5" customHeight="1">
      <c r="A204" s="74"/>
      <c r="B204" s="74"/>
      <c r="C204" s="74"/>
      <c r="D204" s="74"/>
      <c r="E204" s="74"/>
      <c r="F204" s="102"/>
      <c r="G204" s="74"/>
      <c r="H204" s="74"/>
      <c r="I204" s="102"/>
      <c r="J204" s="88"/>
      <c r="K204" s="88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9.5" customHeight="1">
      <c r="A205" s="74"/>
      <c r="B205" s="74"/>
      <c r="C205" s="74"/>
      <c r="D205" s="74"/>
      <c r="E205" s="74"/>
      <c r="F205" s="102"/>
      <c r="G205" s="74"/>
      <c r="H205" s="74"/>
      <c r="I205" s="102"/>
      <c r="J205" s="88"/>
      <c r="K205" s="88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9.5" customHeight="1">
      <c r="A206" s="74"/>
      <c r="B206" s="74"/>
      <c r="C206" s="74"/>
      <c r="D206" s="74"/>
      <c r="E206" s="74"/>
      <c r="F206" s="102"/>
      <c r="G206" s="74"/>
      <c r="H206" s="74"/>
      <c r="I206" s="102"/>
      <c r="J206" s="88"/>
      <c r="K206" s="88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9.5" customHeight="1">
      <c r="A207" s="74"/>
      <c r="B207" s="74"/>
      <c r="C207" s="74"/>
      <c r="D207" s="74"/>
      <c r="E207" s="74"/>
      <c r="F207" s="102"/>
      <c r="G207" s="74"/>
      <c r="H207" s="74"/>
      <c r="I207" s="102"/>
      <c r="J207" s="88"/>
      <c r="K207" s="88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9.5" customHeight="1">
      <c r="A208" s="74"/>
      <c r="B208" s="74"/>
      <c r="C208" s="74"/>
      <c r="D208" s="74"/>
      <c r="E208" s="74"/>
      <c r="F208" s="102"/>
      <c r="G208" s="74"/>
      <c r="H208" s="74"/>
      <c r="I208" s="102"/>
      <c r="J208" s="88"/>
      <c r="K208" s="88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9.5" customHeight="1">
      <c r="A209" s="74"/>
      <c r="B209" s="74"/>
      <c r="C209" s="74"/>
      <c r="D209" s="74"/>
      <c r="E209" s="74"/>
      <c r="F209" s="102"/>
      <c r="G209" s="74"/>
      <c r="H209" s="74"/>
      <c r="I209" s="102"/>
      <c r="J209" s="88"/>
      <c r="K209" s="88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9.5" customHeight="1">
      <c r="A210" s="74"/>
      <c r="B210" s="74"/>
      <c r="C210" s="74"/>
      <c r="D210" s="74"/>
      <c r="E210" s="74"/>
      <c r="F210" s="102"/>
      <c r="G210" s="74"/>
      <c r="H210" s="74"/>
      <c r="I210" s="102"/>
      <c r="J210" s="88"/>
      <c r="K210" s="88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9.5" customHeight="1">
      <c r="A211" s="74"/>
      <c r="B211" s="74"/>
      <c r="C211" s="74"/>
      <c r="D211" s="74"/>
      <c r="E211" s="74"/>
      <c r="F211" s="102"/>
      <c r="G211" s="74"/>
      <c r="H211" s="74"/>
      <c r="I211" s="102"/>
      <c r="J211" s="88"/>
      <c r="K211" s="88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9.5" customHeight="1">
      <c r="A212" s="74"/>
      <c r="B212" s="74"/>
      <c r="C212" s="74"/>
      <c r="D212" s="74"/>
      <c r="E212" s="74"/>
      <c r="F212" s="102"/>
      <c r="G212" s="74"/>
      <c r="H212" s="74"/>
      <c r="I212" s="102"/>
      <c r="J212" s="88"/>
      <c r="K212" s="88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9.5" customHeight="1">
      <c r="A213" s="74"/>
      <c r="B213" s="74"/>
      <c r="C213" s="74"/>
      <c r="D213" s="74"/>
      <c r="E213" s="74"/>
      <c r="F213" s="102"/>
      <c r="G213" s="74"/>
      <c r="H213" s="74"/>
      <c r="I213" s="102"/>
      <c r="J213" s="88"/>
      <c r="K213" s="88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9.5" customHeight="1">
      <c r="A214" s="74"/>
      <c r="B214" s="74"/>
      <c r="C214" s="74"/>
      <c r="D214" s="74"/>
      <c r="E214" s="74"/>
      <c r="F214" s="102"/>
      <c r="G214" s="74"/>
      <c r="H214" s="74"/>
      <c r="I214" s="102"/>
      <c r="J214" s="88"/>
      <c r="K214" s="88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9.5" customHeight="1">
      <c r="A215" s="74"/>
      <c r="B215" s="74"/>
      <c r="C215" s="74"/>
      <c r="D215" s="74"/>
      <c r="E215" s="74"/>
      <c r="F215" s="102"/>
      <c r="G215" s="74"/>
      <c r="H215" s="74"/>
      <c r="I215" s="102"/>
      <c r="J215" s="88"/>
      <c r="K215" s="88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9.5" customHeight="1">
      <c r="A216" s="74"/>
      <c r="B216" s="74"/>
      <c r="C216" s="74"/>
      <c r="D216" s="74"/>
      <c r="E216" s="74"/>
      <c r="F216" s="102"/>
      <c r="G216" s="74"/>
      <c r="H216" s="74"/>
      <c r="I216" s="102"/>
      <c r="J216" s="88"/>
      <c r="K216" s="88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9.5" customHeight="1">
      <c r="A217" s="74"/>
      <c r="B217" s="74"/>
      <c r="C217" s="74"/>
      <c r="D217" s="74"/>
      <c r="E217" s="74"/>
      <c r="F217" s="102"/>
      <c r="G217" s="74"/>
      <c r="H217" s="74"/>
      <c r="I217" s="102"/>
      <c r="J217" s="88"/>
      <c r="K217" s="88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9.5" customHeight="1">
      <c r="A218" s="74"/>
      <c r="B218" s="74"/>
      <c r="C218" s="74"/>
      <c r="D218" s="74"/>
      <c r="E218" s="74"/>
      <c r="F218" s="102"/>
      <c r="G218" s="74"/>
      <c r="H218" s="74"/>
      <c r="I218" s="102"/>
      <c r="J218" s="88"/>
      <c r="K218" s="88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9.5" customHeight="1">
      <c r="A219" s="74"/>
      <c r="B219" s="74"/>
      <c r="C219" s="74"/>
      <c r="D219" s="74"/>
      <c r="E219" s="74"/>
      <c r="F219" s="102"/>
      <c r="G219" s="74"/>
      <c r="H219" s="74"/>
      <c r="I219" s="102"/>
      <c r="J219" s="88"/>
      <c r="K219" s="88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9.5" customHeight="1">
      <c r="A220" s="74"/>
      <c r="B220" s="74"/>
      <c r="C220" s="74"/>
      <c r="D220" s="74"/>
      <c r="E220" s="74"/>
      <c r="F220" s="102"/>
      <c r="G220" s="74"/>
      <c r="H220" s="74"/>
      <c r="I220" s="102"/>
      <c r="J220" s="88"/>
      <c r="K220" s="88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9.5" customHeight="1">
      <c r="A221" s="74"/>
      <c r="B221" s="74"/>
      <c r="C221" s="74"/>
      <c r="D221" s="74"/>
      <c r="E221" s="74"/>
      <c r="F221" s="102"/>
      <c r="G221" s="74"/>
      <c r="H221" s="74"/>
      <c r="I221" s="102"/>
      <c r="J221" s="88"/>
      <c r="K221" s="88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9.5" customHeight="1">
      <c r="A222" s="74"/>
      <c r="B222" s="74"/>
      <c r="C222" s="74"/>
      <c r="D222" s="74"/>
      <c r="E222" s="74"/>
      <c r="F222" s="102"/>
      <c r="G222" s="74"/>
      <c r="H222" s="74"/>
      <c r="I222" s="102"/>
      <c r="J222" s="88"/>
      <c r="K222" s="88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9.5" customHeight="1">
      <c r="A223" s="74"/>
      <c r="B223" s="74"/>
      <c r="C223" s="74"/>
      <c r="D223" s="74"/>
      <c r="E223" s="74"/>
      <c r="F223" s="102"/>
      <c r="G223" s="74"/>
      <c r="H223" s="74"/>
      <c r="I223" s="102"/>
      <c r="J223" s="88"/>
      <c r="K223" s="88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9.5" customHeight="1">
      <c r="A224" s="74"/>
      <c r="B224" s="74"/>
      <c r="C224" s="74"/>
      <c r="D224" s="74"/>
      <c r="E224" s="74"/>
      <c r="F224" s="102"/>
      <c r="G224" s="74"/>
      <c r="H224" s="74"/>
      <c r="I224" s="102"/>
      <c r="J224" s="88"/>
      <c r="K224" s="88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9.5" customHeight="1">
      <c r="A225" s="74"/>
      <c r="B225" s="74"/>
      <c r="C225" s="74"/>
      <c r="D225" s="74"/>
      <c r="E225" s="74"/>
      <c r="F225" s="102"/>
      <c r="G225" s="74"/>
      <c r="H225" s="74"/>
      <c r="I225" s="102"/>
      <c r="J225" s="88"/>
      <c r="K225" s="88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9.5" customHeight="1">
      <c r="A226" s="74"/>
      <c r="B226" s="74"/>
      <c r="C226" s="74"/>
      <c r="D226" s="74"/>
      <c r="E226" s="74"/>
      <c r="F226" s="102"/>
      <c r="G226" s="74"/>
      <c r="H226" s="74"/>
      <c r="I226" s="102"/>
      <c r="J226" s="88"/>
      <c r="K226" s="88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9.5" customHeight="1">
      <c r="A227" s="74"/>
      <c r="B227" s="74"/>
      <c r="C227" s="74"/>
      <c r="D227" s="74"/>
      <c r="E227" s="74"/>
      <c r="F227" s="102"/>
      <c r="G227" s="74"/>
      <c r="H227" s="74"/>
      <c r="I227" s="102"/>
      <c r="J227" s="88"/>
      <c r="K227" s="88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9.5" customHeight="1">
      <c r="A228" s="74"/>
      <c r="B228" s="74"/>
      <c r="C228" s="74"/>
      <c r="D228" s="74"/>
      <c r="E228" s="74"/>
      <c r="F228" s="102"/>
      <c r="G228" s="74"/>
      <c r="H228" s="74"/>
      <c r="I228" s="102"/>
      <c r="J228" s="88"/>
      <c r="K228" s="88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9.5" customHeight="1">
      <c r="A229" s="74"/>
      <c r="B229" s="74"/>
      <c r="C229" s="74"/>
      <c r="D229" s="74"/>
      <c r="E229" s="74"/>
      <c r="F229" s="102"/>
      <c r="G229" s="74"/>
      <c r="H229" s="74"/>
      <c r="I229" s="102"/>
      <c r="J229" s="88"/>
      <c r="K229" s="88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9.5" customHeight="1">
      <c r="A230" s="74"/>
      <c r="B230" s="74"/>
      <c r="C230" s="74"/>
      <c r="D230" s="74"/>
      <c r="E230" s="74"/>
      <c r="F230" s="102"/>
      <c r="G230" s="74"/>
      <c r="H230" s="74"/>
      <c r="I230" s="102"/>
      <c r="J230" s="88"/>
      <c r="K230" s="88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9.5" customHeight="1">
      <c r="A231" s="74"/>
      <c r="B231" s="74"/>
      <c r="C231" s="74"/>
      <c r="D231" s="74"/>
      <c r="E231" s="74"/>
      <c r="F231" s="102"/>
      <c r="G231" s="74"/>
      <c r="H231" s="74"/>
      <c r="I231" s="102"/>
      <c r="J231" s="88"/>
      <c r="K231" s="88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9.5" customHeight="1">
      <c r="A232" s="74"/>
      <c r="B232" s="74"/>
      <c r="C232" s="74"/>
      <c r="D232" s="74"/>
      <c r="E232" s="74"/>
      <c r="F232" s="102"/>
      <c r="G232" s="74"/>
      <c r="H232" s="74"/>
      <c r="I232" s="102"/>
      <c r="J232" s="88"/>
      <c r="K232" s="88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9.5" customHeight="1">
      <c r="A233" s="74"/>
      <c r="B233" s="74"/>
      <c r="C233" s="74"/>
      <c r="D233" s="74"/>
      <c r="E233" s="74"/>
      <c r="F233" s="102"/>
      <c r="G233" s="74"/>
      <c r="H233" s="74"/>
      <c r="I233" s="102"/>
      <c r="J233" s="88"/>
      <c r="K233" s="88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9.5" customHeight="1">
      <c r="A234" s="74"/>
      <c r="B234" s="74"/>
      <c r="C234" s="74"/>
      <c r="D234" s="74"/>
      <c r="E234" s="74"/>
      <c r="F234" s="102"/>
      <c r="G234" s="74"/>
      <c r="H234" s="74"/>
      <c r="I234" s="102"/>
      <c r="J234" s="88"/>
      <c r="K234" s="88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9.5" customHeight="1">
      <c r="A235" s="74"/>
      <c r="B235" s="74"/>
      <c r="C235" s="74"/>
      <c r="D235" s="74"/>
      <c r="E235" s="74"/>
      <c r="F235" s="102"/>
      <c r="G235" s="74"/>
      <c r="H235" s="74"/>
      <c r="I235" s="102"/>
      <c r="J235" s="88"/>
      <c r="K235" s="88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9.5" customHeight="1">
      <c r="A236" s="74"/>
      <c r="B236" s="74"/>
      <c r="C236" s="74"/>
      <c r="D236" s="74"/>
      <c r="E236" s="74"/>
      <c r="F236" s="102"/>
      <c r="G236" s="74"/>
      <c r="H236" s="74"/>
      <c r="I236" s="102"/>
      <c r="J236" s="88"/>
      <c r="K236" s="88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9.5" customHeight="1">
      <c r="A237" s="74"/>
      <c r="B237" s="74"/>
      <c r="C237" s="74"/>
      <c r="D237" s="74"/>
      <c r="E237" s="74"/>
      <c r="F237" s="102"/>
      <c r="G237" s="74"/>
      <c r="H237" s="74"/>
      <c r="I237" s="102"/>
      <c r="J237" s="88"/>
      <c r="K237" s="88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9.5" customHeight="1">
      <c r="A238" s="74"/>
      <c r="B238" s="74"/>
      <c r="C238" s="74"/>
      <c r="D238" s="74"/>
      <c r="E238" s="74"/>
      <c r="F238" s="102"/>
      <c r="G238" s="74"/>
      <c r="H238" s="74"/>
      <c r="I238" s="102"/>
      <c r="J238" s="88"/>
      <c r="K238" s="88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9.5" customHeight="1">
      <c r="A239" s="74"/>
      <c r="B239" s="74"/>
      <c r="C239" s="74"/>
      <c r="D239" s="74"/>
      <c r="E239" s="74"/>
      <c r="F239" s="102"/>
      <c r="G239" s="74"/>
      <c r="H239" s="74"/>
      <c r="I239" s="102"/>
      <c r="J239" s="88"/>
      <c r="K239" s="88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9.5" customHeight="1">
      <c r="A240" s="74"/>
      <c r="B240" s="74"/>
      <c r="C240" s="74"/>
      <c r="D240" s="74"/>
      <c r="E240" s="74"/>
      <c r="F240" s="102"/>
      <c r="G240" s="74"/>
      <c r="H240" s="74"/>
      <c r="I240" s="102"/>
      <c r="J240" s="88"/>
      <c r="K240" s="88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2">
    <mergeCell ref="A1:M1"/>
    <mergeCell ref="A2:A3"/>
    <mergeCell ref="B2:B3"/>
    <mergeCell ref="G2:G3"/>
    <mergeCell ref="I2:I3"/>
    <mergeCell ref="J2:J3"/>
    <mergeCell ref="M2:M3"/>
    <mergeCell ref="D2:F2"/>
    <mergeCell ref="A40:F40"/>
    <mergeCell ref="K27:K28"/>
    <mergeCell ref="L27:L28"/>
    <mergeCell ref="K2:K3"/>
    <mergeCell ref="L2:L3"/>
    <mergeCell ref="A24:F24"/>
    <mergeCell ref="A26:M26"/>
    <mergeCell ref="A27:A28"/>
    <mergeCell ref="B27:B28"/>
    <mergeCell ref="D27:F27"/>
    <mergeCell ref="G27:G28"/>
    <mergeCell ref="M27:M28"/>
    <mergeCell ref="I27:I28"/>
    <mergeCell ref="J27:J28"/>
  </mergeCells>
  <conditionalFormatting sqref="I2:L2">
    <cfRule type="cellIs" dxfId="8" priority="1" operator="equal">
      <formula>"สั่งซื้อเพิ่ม"</formula>
    </cfRule>
  </conditionalFormatting>
  <conditionalFormatting sqref="I27:L27">
    <cfRule type="cellIs" dxfId="7" priority="2" operator="equal">
      <formula>"สั่งซื้อเพิ่ม"</formula>
    </cfRule>
  </conditionalFormatting>
  <pageMargins left="0" right="0" top="0.19685039370078741" bottom="0" header="0" footer="0"/>
  <pageSetup paperSize="9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CC00"/>
  </sheetPr>
  <dimension ref="A1:Z989"/>
  <sheetViews>
    <sheetView topLeftCell="A25" zoomScale="85" zoomScaleNormal="85" workbookViewId="0">
      <selection activeCell="P26" sqref="P26"/>
    </sheetView>
  </sheetViews>
  <sheetFormatPr defaultColWidth="14.453125" defaultRowHeight="15" customHeight="1"/>
  <cols>
    <col min="1" max="1" width="11.453125" customWidth="1"/>
    <col min="2" max="2" width="21.90625" customWidth="1"/>
    <col min="4" max="5" width="10.453125" customWidth="1"/>
    <col min="6" max="6" width="11.6328125" style="217" bestFit="1" customWidth="1"/>
    <col min="7" max="7" width="14.453125" style="199"/>
    <col min="10" max="10" width="14.453125" style="200"/>
    <col min="12" max="12" width="19" customWidth="1"/>
    <col min="13" max="13" width="56" customWidth="1"/>
    <col min="14" max="26" width="8.6328125" customWidth="1"/>
  </cols>
  <sheetData>
    <row r="1" spans="1:26" ht="39.75" customHeight="1">
      <c r="A1" s="495" t="s">
        <v>35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117"/>
      <c r="O1" s="118"/>
      <c r="P1" s="118"/>
      <c r="Q1" s="118"/>
      <c r="R1" s="118"/>
      <c r="S1" s="119"/>
      <c r="T1" s="119"/>
      <c r="U1" s="120"/>
      <c r="V1" s="120"/>
      <c r="W1" s="120"/>
      <c r="X1" s="120"/>
      <c r="Y1" s="120"/>
      <c r="Z1" s="120"/>
    </row>
    <row r="2" spans="1:26" ht="32.25" customHeight="1">
      <c r="A2" s="486" t="s">
        <v>4</v>
      </c>
      <c r="B2" s="486" t="s">
        <v>5</v>
      </c>
      <c r="C2" s="89" t="s">
        <v>6</v>
      </c>
      <c r="D2" s="496" t="s">
        <v>7</v>
      </c>
      <c r="E2" s="466"/>
      <c r="F2" s="467"/>
      <c r="G2" s="497" t="s">
        <v>8</v>
      </c>
      <c r="H2" s="121" t="s">
        <v>9</v>
      </c>
      <c r="I2" s="492" t="s">
        <v>10</v>
      </c>
      <c r="J2" s="492" t="s">
        <v>11</v>
      </c>
      <c r="K2" s="492" t="s">
        <v>12</v>
      </c>
      <c r="L2" s="492" t="s">
        <v>13</v>
      </c>
      <c r="M2" s="500" t="s">
        <v>14</v>
      </c>
      <c r="N2" s="122"/>
      <c r="O2" s="122"/>
      <c r="P2" s="122"/>
      <c r="Q2" s="122"/>
      <c r="R2" s="122"/>
      <c r="S2" s="122"/>
      <c r="T2" s="122"/>
      <c r="U2" s="30"/>
      <c r="V2" s="30"/>
      <c r="W2" s="30"/>
      <c r="X2" s="30"/>
      <c r="Y2" s="30"/>
      <c r="Z2" s="30"/>
    </row>
    <row r="3" spans="1:26" ht="32.25" customHeight="1">
      <c r="A3" s="469"/>
      <c r="B3" s="469"/>
      <c r="C3" s="91" t="s">
        <v>0</v>
      </c>
      <c r="D3" s="123" t="s">
        <v>0</v>
      </c>
      <c r="E3" s="123" t="s">
        <v>1</v>
      </c>
      <c r="F3" s="210" t="s">
        <v>2</v>
      </c>
      <c r="G3" s="498"/>
      <c r="H3" s="124" t="s">
        <v>36</v>
      </c>
      <c r="I3" s="469"/>
      <c r="J3" s="499"/>
      <c r="K3" s="469"/>
      <c r="L3" s="469"/>
      <c r="M3" s="469"/>
      <c r="N3" s="122"/>
      <c r="O3" s="122"/>
      <c r="P3" s="122"/>
      <c r="Q3" s="122"/>
      <c r="R3" s="122"/>
      <c r="S3" s="122"/>
      <c r="T3" s="122"/>
      <c r="U3" s="30"/>
      <c r="V3" s="30"/>
      <c r="W3" s="30"/>
      <c r="X3" s="30"/>
      <c r="Y3" s="30"/>
      <c r="Z3" s="30"/>
    </row>
    <row r="4" spans="1:26" ht="27" customHeight="1">
      <c r="A4" s="34"/>
      <c r="B4" s="204" t="s">
        <v>143</v>
      </c>
      <c r="C4" s="34"/>
      <c r="D4" s="107">
        <v>15.3</v>
      </c>
      <c r="E4" s="107">
        <v>189</v>
      </c>
      <c r="F4" s="211">
        <v>320</v>
      </c>
      <c r="G4" s="109">
        <v>564</v>
      </c>
      <c r="H4" s="126"/>
      <c r="I4" s="126">
        <f t="shared" ref="I4:I33" si="0">D4*E4*F4*G4/1000000000</f>
        <v>0.52189401600000007</v>
      </c>
      <c r="J4" s="126">
        <f t="shared" ref="J4:J33" si="1">I4*35.315</f>
        <v>18.430687175040003</v>
      </c>
      <c r="K4" s="126">
        <v>21000</v>
      </c>
      <c r="L4" s="126">
        <f t="shared" ref="L4:L33" si="2">I4*K4</f>
        <v>10959.774336000002</v>
      </c>
      <c r="M4" s="127"/>
      <c r="N4" s="128"/>
      <c r="O4" s="129"/>
      <c r="P4" s="129"/>
      <c r="Q4" s="129"/>
      <c r="R4" s="129"/>
      <c r="S4" s="130"/>
      <c r="T4" s="130"/>
      <c r="U4" s="74"/>
      <c r="V4" s="74"/>
      <c r="W4" s="74"/>
      <c r="X4" s="74"/>
      <c r="Y4" s="74"/>
      <c r="Z4" s="74"/>
    </row>
    <row r="5" spans="1:26" ht="27" customHeight="1">
      <c r="A5" s="34"/>
      <c r="B5" s="204" t="s">
        <v>143</v>
      </c>
      <c r="C5" s="34"/>
      <c r="D5" s="107">
        <v>15.3</v>
      </c>
      <c r="E5" s="107">
        <v>232</v>
      </c>
      <c r="F5" s="211">
        <v>490</v>
      </c>
      <c r="G5" s="109">
        <v>62</v>
      </c>
      <c r="H5" s="126"/>
      <c r="I5" s="126">
        <f t="shared" si="0"/>
        <v>0.10783684800000001</v>
      </c>
      <c r="J5" s="126">
        <f t="shared" si="1"/>
        <v>3.8082582871200001</v>
      </c>
      <c r="K5" s="126">
        <v>21000</v>
      </c>
      <c r="L5" s="126">
        <f t="shared" si="2"/>
        <v>2264.5738080000001</v>
      </c>
      <c r="M5" s="127"/>
      <c r="N5" s="128"/>
      <c r="O5" s="129"/>
      <c r="P5" s="129"/>
      <c r="Q5" s="129"/>
      <c r="R5" s="129"/>
      <c r="S5" s="130"/>
      <c r="T5" s="130"/>
      <c r="U5" s="74"/>
      <c r="V5" s="74"/>
      <c r="W5" s="74"/>
      <c r="X5" s="74"/>
      <c r="Y5" s="74"/>
      <c r="Z5" s="74"/>
    </row>
    <row r="6" spans="1:26" ht="27" customHeight="1">
      <c r="A6" s="34"/>
      <c r="B6" s="204" t="s">
        <v>143</v>
      </c>
      <c r="C6" s="34"/>
      <c r="D6" s="107">
        <v>15.3</v>
      </c>
      <c r="E6" s="107">
        <v>105</v>
      </c>
      <c r="F6" s="211">
        <v>390</v>
      </c>
      <c r="G6" s="109">
        <v>165</v>
      </c>
      <c r="H6" s="126"/>
      <c r="I6" s="126">
        <f t="shared" si="0"/>
        <v>0.10337827500000001</v>
      </c>
      <c r="J6" s="126">
        <f t="shared" si="1"/>
        <v>3.6508037816250001</v>
      </c>
      <c r="K6" s="126">
        <v>21000</v>
      </c>
      <c r="L6" s="126">
        <f t="shared" si="2"/>
        <v>2170.9437750000002</v>
      </c>
      <c r="M6" s="131"/>
      <c r="N6" s="128"/>
      <c r="O6" s="129"/>
      <c r="P6" s="129"/>
      <c r="Q6" s="129"/>
      <c r="R6" s="129"/>
      <c r="S6" s="130"/>
      <c r="T6" s="130"/>
      <c r="U6" s="74"/>
      <c r="V6" s="74"/>
      <c r="W6" s="74"/>
      <c r="X6" s="74"/>
      <c r="Y6" s="74"/>
      <c r="Z6" s="74"/>
    </row>
    <row r="7" spans="1:26" ht="27" customHeight="1">
      <c r="A7" s="34"/>
      <c r="B7" s="204" t="s">
        <v>143</v>
      </c>
      <c r="C7" s="34"/>
      <c r="D7" s="107">
        <v>15.3</v>
      </c>
      <c r="E7" s="107">
        <v>105</v>
      </c>
      <c r="F7" s="211">
        <v>390</v>
      </c>
      <c r="G7" s="109">
        <v>987</v>
      </c>
      <c r="H7" s="126"/>
      <c r="I7" s="126">
        <f t="shared" si="0"/>
        <v>0.61839004500000005</v>
      </c>
      <c r="J7" s="126">
        <f t="shared" si="1"/>
        <v>21.838444439174999</v>
      </c>
      <c r="K7" s="126">
        <v>21000</v>
      </c>
      <c r="L7" s="126">
        <f t="shared" si="2"/>
        <v>12986.190945</v>
      </c>
      <c r="M7" s="131"/>
      <c r="N7" s="128"/>
      <c r="O7" s="129"/>
      <c r="P7" s="129"/>
      <c r="Q7" s="129"/>
      <c r="R7" s="129"/>
      <c r="S7" s="130"/>
      <c r="T7" s="130"/>
      <c r="U7" s="74"/>
      <c r="V7" s="74"/>
      <c r="W7" s="74"/>
      <c r="X7" s="74"/>
      <c r="Y7" s="74"/>
      <c r="Z7" s="74"/>
    </row>
    <row r="8" spans="1:26" ht="27" customHeight="1">
      <c r="A8" s="34"/>
      <c r="B8" s="204" t="s">
        <v>143</v>
      </c>
      <c r="C8" s="34"/>
      <c r="D8" s="107">
        <v>15.3</v>
      </c>
      <c r="E8" s="107">
        <v>232</v>
      </c>
      <c r="F8" s="211">
        <v>490</v>
      </c>
      <c r="G8" s="109">
        <v>70</v>
      </c>
      <c r="H8" s="126"/>
      <c r="I8" s="126">
        <f t="shared" si="0"/>
        <v>0.12175128000000002</v>
      </c>
      <c r="J8" s="126">
        <f t="shared" si="1"/>
        <v>4.2996464532000003</v>
      </c>
      <c r="K8" s="126">
        <v>21000</v>
      </c>
      <c r="L8" s="126">
        <f t="shared" si="2"/>
        <v>2556.7768800000003</v>
      </c>
      <c r="M8" s="131"/>
      <c r="N8" s="128"/>
      <c r="O8" s="129"/>
      <c r="P8" s="129"/>
      <c r="Q8" s="129"/>
      <c r="R8" s="129"/>
      <c r="S8" s="130"/>
      <c r="T8" s="130"/>
      <c r="U8" s="74"/>
      <c r="V8" s="74"/>
      <c r="W8" s="74"/>
      <c r="X8" s="74"/>
      <c r="Y8" s="74"/>
      <c r="Z8" s="74"/>
    </row>
    <row r="9" spans="1:26" ht="27" customHeight="1">
      <c r="A9" s="34"/>
      <c r="B9" s="204" t="s">
        <v>143</v>
      </c>
      <c r="C9" s="34"/>
      <c r="D9" s="107">
        <v>15.3</v>
      </c>
      <c r="E9" s="107">
        <v>101</v>
      </c>
      <c r="F9" s="211">
        <v>571</v>
      </c>
      <c r="G9" s="109">
        <v>750</v>
      </c>
      <c r="H9" s="126"/>
      <c r="I9" s="126">
        <f t="shared" si="0"/>
        <v>0.66177472500000001</v>
      </c>
      <c r="J9" s="126">
        <f t="shared" si="1"/>
        <v>23.370574413375</v>
      </c>
      <c r="K9" s="126">
        <v>21000</v>
      </c>
      <c r="L9" s="126">
        <f t="shared" si="2"/>
        <v>13897.269225</v>
      </c>
      <c r="M9" s="131"/>
      <c r="N9" s="128"/>
      <c r="O9" s="129"/>
      <c r="P9" s="129"/>
      <c r="Q9" s="129"/>
      <c r="R9" s="129"/>
      <c r="S9" s="130"/>
      <c r="T9" s="130"/>
      <c r="U9" s="74"/>
      <c r="V9" s="74"/>
      <c r="W9" s="74"/>
      <c r="X9" s="74"/>
      <c r="Y9" s="74"/>
      <c r="Z9" s="74"/>
    </row>
    <row r="10" spans="1:26" ht="27" customHeight="1">
      <c r="A10" s="34"/>
      <c r="B10" s="204" t="s">
        <v>143</v>
      </c>
      <c r="C10" s="34"/>
      <c r="D10" s="107">
        <v>15.3</v>
      </c>
      <c r="E10" s="107">
        <v>232</v>
      </c>
      <c r="F10" s="211">
        <v>850</v>
      </c>
      <c r="G10" s="109">
        <v>322</v>
      </c>
      <c r="H10" s="126"/>
      <c r="I10" s="126">
        <f t="shared" si="0"/>
        <v>0.97152552000000014</v>
      </c>
      <c r="J10" s="126">
        <f t="shared" si="1"/>
        <v>34.3094237388</v>
      </c>
      <c r="K10" s="126">
        <v>21000</v>
      </c>
      <c r="L10" s="126">
        <f t="shared" si="2"/>
        <v>20402.035920000002</v>
      </c>
      <c r="M10" s="131"/>
      <c r="N10" s="128"/>
      <c r="O10" s="129"/>
      <c r="P10" s="129"/>
      <c r="Q10" s="129"/>
      <c r="R10" s="129"/>
      <c r="S10" s="130"/>
      <c r="T10" s="130"/>
      <c r="U10" s="74"/>
      <c r="V10" s="74"/>
      <c r="W10" s="74"/>
      <c r="X10" s="74"/>
      <c r="Y10" s="74"/>
      <c r="Z10" s="74"/>
    </row>
    <row r="11" spans="1:26" ht="27" customHeight="1">
      <c r="A11" s="34"/>
      <c r="B11" s="204" t="s">
        <v>143</v>
      </c>
      <c r="C11" s="34"/>
      <c r="D11" s="107">
        <v>15.3</v>
      </c>
      <c r="E11" s="107">
        <v>105</v>
      </c>
      <c r="F11" s="211">
        <v>830</v>
      </c>
      <c r="G11" s="109">
        <v>611</v>
      </c>
      <c r="H11" s="126"/>
      <c r="I11" s="126">
        <f t="shared" si="0"/>
        <v>0.814704345</v>
      </c>
      <c r="J11" s="126">
        <f t="shared" si="1"/>
        <v>28.771283943674998</v>
      </c>
      <c r="K11" s="126">
        <v>21000</v>
      </c>
      <c r="L11" s="126">
        <f t="shared" si="2"/>
        <v>17108.791245</v>
      </c>
      <c r="M11" s="131"/>
      <c r="N11" s="128"/>
      <c r="O11" s="129"/>
      <c r="P11" s="129"/>
      <c r="Q11" s="129"/>
      <c r="R11" s="129"/>
      <c r="S11" s="130"/>
      <c r="T11" s="130"/>
      <c r="U11" s="74"/>
      <c r="V11" s="74"/>
      <c r="W11" s="74"/>
      <c r="X11" s="74"/>
      <c r="Y11" s="74"/>
      <c r="Z11" s="74"/>
    </row>
    <row r="12" spans="1:26" ht="27" customHeight="1">
      <c r="A12" s="34"/>
      <c r="B12" s="204" t="s">
        <v>143</v>
      </c>
      <c r="C12" s="34"/>
      <c r="D12" s="107">
        <v>15.3</v>
      </c>
      <c r="E12" s="107">
        <v>284</v>
      </c>
      <c r="F12" s="211">
        <v>750</v>
      </c>
      <c r="G12" s="109">
        <v>164</v>
      </c>
      <c r="H12" s="126"/>
      <c r="I12" s="126">
        <f t="shared" si="0"/>
        <v>0.53445960000000003</v>
      </c>
      <c r="J12" s="126">
        <f t="shared" si="1"/>
        <v>18.874440774</v>
      </c>
      <c r="K12" s="126">
        <v>21000</v>
      </c>
      <c r="L12" s="126">
        <f t="shared" si="2"/>
        <v>11223.651600000001</v>
      </c>
      <c r="M12" s="131"/>
      <c r="N12" s="128"/>
      <c r="O12" s="129"/>
      <c r="P12" s="129"/>
      <c r="Q12" s="129"/>
      <c r="R12" s="129"/>
      <c r="S12" s="130"/>
      <c r="T12" s="130"/>
      <c r="U12" s="74"/>
      <c r="V12" s="74"/>
      <c r="W12" s="74"/>
      <c r="X12" s="74"/>
      <c r="Y12" s="74"/>
      <c r="Z12" s="74"/>
    </row>
    <row r="13" spans="1:26" ht="27" customHeight="1">
      <c r="A13" s="34"/>
      <c r="B13" s="204" t="s">
        <v>143</v>
      </c>
      <c r="C13" s="34"/>
      <c r="D13" s="107">
        <v>15.3</v>
      </c>
      <c r="E13" s="107">
        <v>105</v>
      </c>
      <c r="F13" s="211">
        <v>540</v>
      </c>
      <c r="G13" s="109">
        <v>1038</v>
      </c>
      <c r="H13" s="126"/>
      <c r="I13" s="126">
        <f t="shared" si="0"/>
        <v>0.90047538000000005</v>
      </c>
      <c r="J13" s="126">
        <f t="shared" si="1"/>
        <v>31.8002880447</v>
      </c>
      <c r="K13" s="126">
        <v>21000</v>
      </c>
      <c r="L13" s="126">
        <f t="shared" si="2"/>
        <v>18909.982980000001</v>
      </c>
      <c r="M13" s="131"/>
      <c r="N13" s="128"/>
      <c r="O13" s="129"/>
      <c r="P13" s="129"/>
      <c r="Q13" s="129"/>
      <c r="R13" s="129"/>
      <c r="S13" s="130"/>
      <c r="T13" s="130"/>
      <c r="U13" s="74"/>
      <c r="V13" s="74"/>
      <c r="W13" s="74"/>
      <c r="X13" s="74"/>
      <c r="Y13" s="74"/>
      <c r="Z13" s="74"/>
    </row>
    <row r="14" spans="1:26" ht="27" customHeight="1">
      <c r="A14" s="34"/>
      <c r="B14" s="204" t="s">
        <v>143</v>
      </c>
      <c r="C14" s="34"/>
      <c r="D14" s="107">
        <v>15.3</v>
      </c>
      <c r="E14" s="107">
        <v>182</v>
      </c>
      <c r="F14" s="211">
        <v>540</v>
      </c>
      <c r="G14" s="109">
        <v>124</v>
      </c>
      <c r="H14" s="126"/>
      <c r="I14" s="126">
        <f t="shared" si="0"/>
        <v>0.186456816</v>
      </c>
      <c r="J14" s="126">
        <f t="shared" si="1"/>
        <v>6.5847224570399998</v>
      </c>
      <c r="K14" s="126">
        <v>21000</v>
      </c>
      <c r="L14" s="126">
        <f t="shared" si="2"/>
        <v>3915.593136</v>
      </c>
      <c r="M14" s="131"/>
      <c r="N14" s="128"/>
      <c r="O14" s="129"/>
      <c r="P14" s="129"/>
      <c r="Q14" s="129"/>
      <c r="R14" s="129"/>
      <c r="S14" s="130"/>
      <c r="T14" s="130"/>
      <c r="U14" s="74"/>
      <c r="V14" s="74"/>
      <c r="W14" s="74"/>
      <c r="X14" s="74"/>
      <c r="Y14" s="74"/>
      <c r="Z14" s="74"/>
    </row>
    <row r="15" spans="1:26" ht="27" customHeight="1">
      <c r="A15" s="34"/>
      <c r="B15" s="204" t="s">
        <v>143</v>
      </c>
      <c r="C15" s="34"/>
      <c r="D15" s="107">
        <v>15.3</v>
      </c>
      <c r="E15" s="107">
        <v>284</v>
      </c>
      <c r="F15" s="211">
        <v>850</v>
      </c>
      <c r="G15" s="109">
        <v>214</v>
      </c>
      <c r="H15" s="126"/>
      <c r="I15" s="126">
        <f t="shared" si="0"/>
        <v>0.79039188000000005</v>
      </c>
      <c r="J15" s="126">
        <f t="shared" si="1"/>
        <v>27.912689242199999</v>
      </c>
      <c r="K15" s="126">
        <v>21000</v>
      </c>
      <c r="L15" s="126">
        <f t="shared" si="2"/>
        <v>16598.229480000002</v>
      </c>
      <c r="M15" s="131"/>
      <c r="N15" s="128"/>
      <c r="O15" s="129"/>
      <c r="P15" s="129"/>
      <c r="Q15" s="129"/>
      <c r="R15" s="129"/>
      <c r="S15" s="130"/>
      <c r="T15" s="130"/>
      <c r="U15" s="74"/>
      <c r="V15" s="74"/>
      <c r="W15" s="74"/>
      <c r="X15" s="74"/>
      <c r="Y15" s="74"/>
      <c r="Z15" s="74"/>
    </row>
    <row r="16" spans="1:26" ht="27" customHeight="1">
      <c r="A16" s="34"/>
      <c r="B16" s="204" t="s">
        <v>143</v>
      </c>
      <c r="C16" s="34"/>
      <c r="D16" s="107">
        <v>15.3</v>
      </c>
      <c r="E16" s="107">
        <v>182</v>
      </c>
      <c r="F16" s="211">
        <v>1250</v>
      </c>
      <c r="G16" s="109">
        <v>443</v>
      </c>
      <c r="H16" s="126"/>
      <c r="I16" s="126">
        <f t="shared" si="0"/>
        <v>1.5419722499999999</v>
      </c>
      <c r="J16" s="126">
        <f t="shared" si="1"/>
        <v>54.454750008749997</v>
      </c>
      <c r="K16" s="126">
        <v>21000</v>
      </c>
      <c r="L16" s="126">
        <f t="shared" si="2"/>
        <v>32381.417249999999</v>
      </c>
      <c r="M16" s="131"/>
      <c r="N16" s="128"/>
      <c r="O16" s="129"/>
      <c r="P16" s="129"/>
      <c r="Q16" s="129"/>
      <c r="R16" s="129"/>
      <c r="S16" s="130"/>
      <c r="T16" s="130"/>
      <c r="U16" s="74"/>
      <c r="V16" s="74"/>
      <c r="W16" s="74"/>
      <c r="X16" s="74"/>
      <c r="Y16" s="74"/>
      <c r="Z16" s="74"/>
    </row>
    <row r="17" spans="1:26" ht="27" customHeight="1">
      <c r="A17" s="34"/>
      <c r="B17" s="204" t="s">
        <v>143</v>
      </c>
      <c r="C17" s="34"/>
      <c r="D17" s="107">
        <v>15.3</v>
      </c>
      <c r="E17" s="107">
        <v>284</v>
      </c>
      <c r="F17" s="211">
        <v>1250</v>
      </c>
      <c r="G17" s="109">
        <v>182</v>
      </c>
      <c r="H17" s="126"/>
      <c r="I17" s="126">
        <f t="shared" si="0"/>
        <v>0.988533</v>
      </c>
      <c r="J17" s="126">
        <f t="shared" si="1"/>
        <v>34.910042894999997</v>
      </c>
      <c r="K17" s="126">
        <v>21000</v>
      </c>
      <c r="L17" s="126">
        <f t="shared" si="2"/>
        <v>20759.192999999999</v>
      </c>
      <c r="M17" s="131"/>
      <c r="N17" s="128"/>
      <c r="O17" s="129"/>
      <c r="P17" s="129"/>
      <c r="Q17" s="129"/>
      <c r="R17" s="129"/>
      <c r="S17" s="130"/>
      <c r="T17" s="130"/>
      <c r="U17" s="74"/>
      <c r="V17" s="74"/>
      <c r="W17" s="74"/>
      <c r="X17" s="74"/>
      <c r="Y17" s="74"/>
      <c r="Z17" s="74"/>
    </row>
    <row r="18" spans="1:26" ht="27" customHeight="1">
      <c r="A18" s="34"/>
      <c r="B18" s="204" t="s">
        <v>144</v>
      </c>
      <c r="C18" s="34"/>
      <c r="D18" s="107">
        <v>16</v>
      </c>
      <c r="E18" s="107">
        <v>86</v>
      </c>
      <c r="F18" s="211">
        <v>474</v>
      </c>
      <c r="G18" s="109">
        <v>1027</v>
      </c>
      <c r="H18" s="126"/>
      <c r="I18" s="126">
        <f t="shared" si="0"/>
        <v>0.66983404800000002</v>
      </c>
      <c r="J18" s="126">
        <f t="shared" si="1"/>
        <v>23.655189405119998</v>
      </c>
      <c r="K18" s="126">
        <v>21000</v>
      </c>
      <c r="L18" s="126">
        <f t="shared" si="2"/>
        <v>14066.515008</v>
      </c>
      <c r="M18" s="131"/>
      <c r="N18" s="128"/>
      <c r="O18" s="129"/>
      <c r="P18" s="129"/>
      <c r="Q18" s="129"/>
      <c r="R18" s="129"/>
      <c r="S18" s="130"/>
      <c r="T18" s="130"/>
      <c r="U18" s="74"/>
      <c r="V18" s="74"/>
      <c r="W18" s="74"/>
      <c r="X18" s="74"/>
      <c r="Y18" s="74"/>
      <c r="Z18" s="74"/>
    </row>
    <row r="19" spans="1:26" ht="27" customHeight="1">
      <c r="A19" s="34"/>
      <c r="B19" s="204" t="s">
        <v>144</v>
      </c>
      <c r="C19" s="34"/>
      <c r="D19" s="107">
        <v>16.100000000000001</v>
      </c>
      <c r="E19" s="107">
        <v>166</v>
      </c>
      <c r="F19" s="211">
        <v>540</v>
      </c>
      <c r="G19" s="109">
        <v>692</v>
      </c>
      <c r="H19" s="126"/>
      <c r="I19" s="126">
        <f t="shared" si="0"/>
        <v>0.99869716800000008</v>
      </c>
      <c r="J19" s="126">
        <f t="shared" si="1"/>
        <v>35.26899048792</v>
      </c>
      <c r="K19" s="126">
        <v>21000</v>
      </c>
      <c r="L19" s="126">
        <f t="shared" si="2"/>
        <v>20972.640528</v>
      </c>
      <c r="M19" s="131"/>
      <c r="N19" s="128"/>
      <c r="O19" s="129"/>
      <c r="P19" s="129"/>
      <c r="Q19" s="129"/>
      <c r="R19" s="129"/>
      <c r="S19" s="130"/>
      <c r="T19" s="130"/>
      <c r="U19" s="74"/>
      <c r="V19" s="74"/>
      <c r="W19" s="74"/>
      <c r="X19" s="74"/>
      <c r="Y19" s="74"/>
      <c r="Z19" s="74"/>
    </row>
    <row r="20" spans="1:26" ht="27" customHeight="1">
      <c r="A20" s="34"/>
      <c r="B20" s="204" t="s">
        <v>144</v>
      </c>
      <c r="C20" s="34"/>
      <c r="D20" s="107">
        <v>16.100000000000001</v>
      </c>
      <c r="E20" s="107">
        <v>90</v>
      </c>
      <c r="F20" s="211">
        <v>820</v>
      </c>
      <c r="G20" s="109">
        <v>576</v>
      </c>
      <c r="H20" s="126"/>
      <c r="I20" s="126">
        <f t="shared" si="0"/>
        <v>0.68439168000000017</v>
      </c>
      <c r="J20" s="126">
        <f t="shared" si="1"/>
        <v>24.169292179200003</v>
      </c>
      <c r="K20" s="126">
        <v>21000</v>
      </c>
      <c r="L20" s="126">
        <f t="shared" si="2"/>
        <v>14372.225280000004</v>
      </c>
      <c r="M20" s="131"/>
      <c r="N20" s="128"/>
      <c r="O20" s="129"/>
      <c r="P20" s="129"/>
      <c r="Q20" s="129"/>
      <c r="R20" s="129"/>
      <c r="S20" s="130"/>
      <c r="T20" s="130"/>
      <c r="U20" s="74"/>
      <c r="V20" s="74"/>
      <c r="W20" s="74"/>
      <c r="X20" s="74"/>
      <c r="Y20" s="74"/>
      <c r="Z20" s="74"/>
    </row>
    <row r="21" spans="1:26" ht="27" customHeight="1">
      <c r="A21" s="34"/>
      <c r="B21" s="204" t="s">
        <v>144</v>
      </c>
      <c r="C21" s="34"/>
      <c r="D21" s="107">
        <v>16.100000000000001</v>
      </c>
      <c r="E21" s="107">
        <v>90</v>
      </c>
      <c r="F21" s="211">
        <v>540</v>
      </c>
      <c r="G21" s="109">
        <v>638</v>
      </c>
      <c r="H21" s="126"/>
      <c r="I21" s="126">
        <f t="shared" si="0"/>
        <v>0.49920948000000004</v>
      </c>
      <c r="J21" s="126">
        <f t="shared" si="1"/>
        <v>17.6295827862</v>
      </c>
      <c r="K21" s="126">
        <v>21000</v>
      </c>
      <c r="L21" s="126">
        <f t="shared" si="2"/>
        <v>10483.399080000001</v>
      </c>
      <c r="M21" s="131"/>
      <c r="N21" s="128"/>
      <c r="O21" s="129"/>
      <c r="P21" s="129"/>
      <c r="Q21" s="129"/>
      <c r="R21" s="129"/>
      <c r="S21" s="130"/>
      <c r="T21" s="130"/>
      <c r="U21" s="74"/>
      <c r="V21" s="74"/>
      <c r="W21" s="74"/>
      <c r="X21" s="74"/>
      <c r="Y21" s="74"/>
      <c r="Z21" s="74"/>
    </row>
    <row r="22" spans="1:26" ht="27" customHeight="1">
      <c r="A22" s="34"/>
      <c r="B22" s="34" t="s">
        <v>145</v>
      </c>
      <c r="C22" s="34"/>
      <c r="D22" s="107">
        <v>16.100000000000001</v>
      </c>
      <c r="E22" s="107">
        <v>88</v>
      </c>
      <c r="F22" s="211">
        <v>1100</v>
      </c>
      <c r="G22" s="109">
        <v>687</v>
      </c>
      <c r="H22" s="126"/>
      <c r="I22" s="126">
        <f t="shared" si="0"/>
        <v>1.0706757600000001</v>
      </c>
      <c r="J22" s="126">
        <f t="shared" si="1"/>
        <v>37.8109144644</v>
      </c>
      <c r="K22" s="126">
        <v>21000</v>
      </c>
      <c r="L22" s="126">
        <f t="shared" si="2"/>
        <v>22484.190960000004</v>
      </c>
      <c r="M22" s="131"/>
      <c r="N22" s="128"/>
      <c r="O22" s="129"/>
      <c r="P22" s="129"/>
      <c r="Q22" s="129"/>
      <c r="R22" s="129"/>
      <c r="S22" s="130"/>
      <c r="T22" s="130"/>
      <c r="U22" s="74"/>
      <c r="V22" s="74"/>
      <c r="W22" s="74"/>
      <c r="X22" s="74"/>
      <c r="Y22" s="74"/>
      <c r="Z22" s="74"/>
    </row>
    <row r="23" spans="1:26" ht="27" customHeight="1">
      <c r="A23" s="34"/>
      <c r="B23" s="34" t="s">
        <v>145</v>
      </c>
      <c r="C23" s="34"/>
      <c r="D23" s="107">
        <v>16.100000000000001</v>
      </c>
      <c r="E23" s="107">
        <v>90</v>
      </c>
      <c r="F23" s="211">
        <v>620</v>
      </c>
      <c r="G23" s="109">
        <v>578</v>
      </c>
      <c r="H23" s="126"/>
      <c r="I23" s="126">
        <f t="shared" si="0"/>
        <v>0.51926364000000003</v>
      </c>
      <c r="J23" s="126">
        <f t="shared" si="1"/>
        <v>18.337795446600001</v>
      </c>
      <c r="K23" s="126">
        <v>21000</v>
      </c>
      <c r="L23" s="126">
        <f t="shared" si="2"/>
        <v>10904.53644</v>
      </c>
      <c r="M23" s="131"/>
      <c r="N23" s="128"/>
      <c r="O23" s="129"/>
      <c r="P23" s="129"/>
      <c r="Q23" s="129"/>
      <c r="R23" s="129"/>
      <c r="S23" s="130"/>
      <c r="T23" s="130"/>
      <c r="U23" s="74"/>
      <c r="V23" s="74"/>
      <c r="W23" s="74"/>
      <c r="X23" s="74"/>
      <c r="Y23" s="74"/>
      <c r="Z23" s="74"/>
    </row>
    <row r="24" spans="1:26" ht="27" customHeight="1">
      <c r="A24" s="34"/>
      <c r="B24" s="34" t="s">
        <v>145</v>
      </c>
      <c r="C24" s="34"/>
      <c r="D24" s="107">
        <v>16.100000000000001</v>
      </c>
      <c r="E24" s="107">
        <v>90</v>
      </c>
      <c r="F24" s="211">
        <v>560</v>
      </c>
      <c r="G24" s="109">
        <v>274</v>
      </c>
      <c r="H24" s="126"/>
      <c r="I24" s="126">
        <f t="shared" si="0"/>
        <v>0.22233456000000004</v>
      </c>
      <c r="J24" s="126">
        <f t="shared" si="1"/>
        <v>7.8517449864000008</v>
      </c>
      <c r="K24" s="126">
        <v>21000</v>
      </c>
      <c r="L24" s="126">
        <f t="shared" si="2"/>
        <v>4669.0257600000004</v>
      </c>
      <c r="M24" s="131"/>
      <c r="N24" s="128"/>
      <c r="O24" s="129"/>
      <c r="P24" s="129"/>
      <c r="Q24" s="129"/>
      <c r="R24" s="129"/>
      <c r="S24" s="130"/>
      <c r="T24" s="130"/>
      <c r="U24" s="74"/>
      <c r="V24" s="74"/>
      <c r="W24" s="74"/>
      <c r="X24" s="74"/>
      <c r="Y24" s="74"/>
      <c r="Z24" s="74"/>
    </row>
    <row r="25" spans="1:26" ht="27" customHeight="1">
      <c r="A25" s="34"/>
      <c r="B25" s="34" t="s">
        <v>145</v>
      </c>
      <c r="C25" s="34"/>
      <c r="D25" s="107">
        <v>16.100000000000001</v>
      </c>
      <c r="E25" s="107">
        <v>88</v>
      </c>
      <c r="F25" s="211">
        <v>540</v>
      </c>
      <c r="G25" s="109">
        <v>497</v>
      </c>
      <c r="H25" s="126"/>
      <c r="I25" s="126">
        <f t="shared" si="0"/>
        <v>0.38024078400000005</v>
      </c>
      <c r="J25" s="126">
        <f t="shared" si="1"/>
        <v>13.428203286960001</v>
      </c>
      <c r="K25" s="126">
        <v>21000</v>
      </c>
      <c r="L25" s="126">
        <f t="shared" si="2"/>
        <v>7985.0564640000011</v>
      </c>
      <c r="M25" s="131"/>
      <c r="N25" s="128"/>
      <c r="O25" s="129"/>
      <c r="P25" s="129"/>
      <c r="Q25" s="129"/>
      <c r="R25" s="129"/>
      <c r="S25" s="130"/>
      <c r="T25" s="130"/>
      <c r="U25" s="74"/>
      <c r="V25" s="74"/>
      <c r="W25" s="74"/>
      <c r="X25" s="74"/>
      <c r="Y25" s="74"/>
      <c r="Z25" s="74"/>
    </row>
    <row r="26" spans="1:26" ht="27" customHeight="1">
      <c r="A26" s="34"/>
      <c r="B26" s="34" t="s">
        <v>145</v>
      </c>
      <c r="C26" s="34"/>
      <c r="D26" s="107">
        <v>16.100000000000001</v>
      </c>
      <c r="E26" s="107">
        <v>137</v>
      </c>
      <c r="F26" s="211">
        <v>390</v>
      </c>
      <c r="G26" s="109">
        <v>257</v>
      </c>
      <c r="H26" s="126"/>
      <c r="I26" s="126">
        <f t="shared" si="0"/>
        <v>0.22107731100000003</v>
      </c>
      <c r="J26" s="126">
        <f t="shared" si="1"/>
        <v>7.8073452379650004</v>
      </c>
      <c r="K26" s="126">
        <v>21000</v>
      </c>
      <c r="L26" s="126">
        <f t="shared" si="2"/>
        <v>4642.6235310000002</v>
      </c>
      <c r="M26" s="131"/>
      <c r="N26" s="128"/>
      <c r="O26" s="129"/>
      <c r="P26" s="129"/>
      <c r="Q26" s="129"/>
      <c r="R26" s="129"/>
      <c r="S26" s="130"/>
      <c r="T26" s="130"/>
      <c r="U26" s="74"/>
      <c r="V26" s="74"/>
      <c r="W26" s="74"/>
      <c r="X26" s="74"/>
      <c r="Y26" s="74"/>
      <c r="Z26" s="74"/>
    </row>
    <row r="27" spans="1:26" ht="27" customHeight="1">
      <c r="A27" s="34"/>
      <c r="B27" s="34" t="s">
        <v>145</v>
      </c>
      <c r="C27" s="34"/>
      <c r="D27" s="107">
        <v>16.100000000000001</v>
      </c>
      <c r="E27" s="107">
        <v>137</v>
      </c>
      <c r="F27" s="211">
        <v>470</v>
      </c>
      <c r="G27" s="109">
        <v>239</v>
      </c>
      <c r="H27" s="126"/>
      <c r="I27" s="126">
        <f t="shared" si="0"/>
        <v>0.24776628100000003</v>
      </c>
      <c r="J27" s="126">
        <f t="shared" si="1"/>
        <v>8.7498662135150003</v>
      </c>
      <c r="K27" s="126">
        <v>21000</v>
      </c>
      <c r="L27" s="126">
        <f t="shared" si="2"/>
        <v>5203.0919010000007</v>
      </c>
      <c r="M27" s="131"/>
      <c r="N27" s="128"/>
      <c r="O27" s="129"/>
      <c r="P27" s="129"/>
      <c r="Q27" s="129"/>
      <c r="R27" s="129"/>
      <c r="S27" s="130"/>
      <c r="T27" s="130"/>
      <c r="U27" s="74"/>
      <c r="V27" s="74"/>
      <c r="W27" s="74"/>
      <c r="X27" s="74"/>
      <c r="Y27" s="74"/>
      <c r="Z27" s="74"/>
    </row>
    <row r="28" spans="1:26" ht="27" customHeight="1">
      <c r="A28" s="34"/>
      <c r="B28" s="34" t="s">
        <v>145</v>
      </c>
      <c r="C28" s="34"/>
      <c r="D28" s="107">
        <v>16.100000000000001</v>
      </c>
      <c r="E28" s="107">
        <v>256</v>
      </c>
      <c r="F28" s="211">
        <v>490</v>
      </c>
      <c r="G28" s="109">
        <v>264</v>
      </c>
      <c r="H28" s="126"/>
      <c r="I28" s="126">
        <f t="shared" si="0"/>
        <v>0.53317017600000005</v>
      </c>
      <c r="J28" s="126">
        <f t="shared" si="1"/>
        <v>18.828904765440001</v>
      </c>
      <c r="K28" s="126">
        <v>21000</v>
      </c>
      <c r="L28" s="126">
        <f t="shared" si="2"/>
        <v>11196.573696000001</v>
      </c>
      <c r="M28" s="131"/>
      <c r="N28" s="128"/>
      <c r="O28" s="129"/>
      <c r="P28" s="129"/>
      <c r="Q28" s="129"/>
      <c r="R28" s="129"/>
      <c r="S28" s="130"/>
      <c r="T28" s="130"/>
      <c r="U28" s="74"/>
      <c r="V28" s="74"/>
      <c r="W28" s="74"/>
      <c r="X28" s="74"/>
      <c r="Y28" s="74"/>
      <c r="Z28" s="74"/>
    </row>
    <row r="29" spans="1:26" ht="27" customHeight="1">
      <c r="A29" s="34"/>
      <c r="B29" s="204" t="s">
        <v>143</v>
      </c>
      <c r="C29" s="34"/>
      <c r="D29" s="107">
        <v>15.3</v>
      </c>
      <c r="E29" s="107">
        <v>105</v>
      </c>
      <c r="F29" s="211">
        <v>770</v>
      </c>
      <c r="G29" s="109">
        <v>550</v>
      </c>
      <c r="H29" s="126"/>
      <c r="I29" s="126">
        <f t="shared" si="0"/>
        <v>0.68035274999999995</v>
      </c>
      <c r="J29" s="126">
        <f t="shared" si="1"/>
        <v>24.026657366249996</v>
      </c>
      <c r="K29" s="126">
        <v>21000</v>
      </c>
      <c r="L29" s="126">
        <f t="shared" si="2"/>
        <v>14287.407749999998</v>
      </c>
      <c r="M29" s="131"/>
      <c r="N29" s="128"/>
      <c r="O29" s="129"/>
      <c r="P29" s="129"/>
      <c r="Q29" s="129"/>
      <c r="R29" s="129"/>
      <c r="S29" s="130"/>
      <c r="T29" s="130"/>
      <c r="U29" s="74"/>
      <c r="V29" s="74"/>
      <c r="W29" s="74"/>
      <c r="X29" s="74"/>
      <c r="Y29" s="74"/>
      <c r="Z29" s="74"/>
    </row>
    <row r="30" spans="1:26" ht="27" customHeight="1">
      <c r="A30" s="34"/>
      <c r="B30" s="204" t="s">
        <v>143</v>
      </c>
      <c r="C30" s="34"/>
      <c r="D30" s="125">
        <v>15.3</v>
      </c>
      <c r="E30" s="125">
        <v>101</v>
      </c>
      <c r="F30" s="212">
        <v>520</v>
      </c>
      <c r="G30" s="193">
        <v>1500</v>
      </c>
      <c r="H30" s="126"/>
      <c r="I30" s="126">
        <f t="shared" si="0"/>
        <v>1.2053340000000001</v>
      </c>
      <c r="J30" s="126">
        <f t="shared" si="1"/>
        <v>42.566370210000002</v>
      </c>
      <c r="K30" s="126">
        <v>21000</v>
      </c>
      <c r="L30" s="126">
        <f t="shared" si="2"/>
        <v>25312.014000000003</v>
      </c>
      <c r="M30" s="131"/>
      <c r="N30" s="128"/>
      <c r="O30" s="129"/>
      <c r="P30" s="129"/>
      <c r="Q30" s="129"/>
      <c r="R30" s="129"/>
      <c r="S30" s="130"/>
      <c r="T30" s="130"/>
      <c r="U30" s="74"/>
      <c r="V30" s="74"/>
      <c r="W30" s="74"/>
      <c r="X30" s="74"/>
      <c r="Y30" s="74"/>
      <c r="Z30" s="74"/>
    </row>
    <row r="31" spans="1:26" ht="27" customHeight="1">
      <c r="A31" s="34"/>
      <c r="B31" s="204" t="s">
        <v>144</v>
      </c>
      <c r="C31" s="34"/>
      <c r="D31" s="125">
        <v>16.100000000000001</v>
      </c>
      <c r="E31" s="125">
        <v>258</v>
      </c>
      <c r="F31" s="212">
        <v>2440</v>
      </c>
      <c r="G31" s="193">
        <v>136</v>
      </c>
      <c r="H31" s="126"/>
      <c r="I31" s="126">
        <f t="shared" si="0"/>
        <v>1.3783969920000001</v>
      </c>
      <c r="J31" s="126">
        <f t="shared" si="1"/>
        <v>48.67808977248</v>
      </c>
      <c r="K31" s="126">
        <v>21000</v>
      </c>
      <c r="L31" s="126">
        <f t="shared" si="2"/>
        <v>28946.336832000001</v>
      </c>
      <c r="M31" s="131"/>
      <c r="N31" s="128"/>
      <c r="O31" s="129"/>
      <c r="P31" s="129"/>
      <c r="Q31" s="129"/>
      <c r="R31" s="129"/>
      <c r="S31" s="130"/>
      <c r="T31" s="130"/>
      <c r="U31" s="74"/>
      <c r="V31" s="74"/>
      <c r="W31" s="74"/>
      <c r="X31" s="74"/>
      <c r="Y31" s="74"/>
      <c r="Z31" s="74"/>
    </row>
    <row r="32" spans="1:26" ht="27" customHeight="1">
      <c r="A32" s="305"/>
      <c r="B32" s="204" t="s">
        <v>144</v>
      </c>
      <c r="C32" s="305"/>
      <c r="D32" s="306">
        <v>16.100000000000001</v>
      </c>
      <c r="E32" s="306">
        <v>90</v>
      </c>
      <c r="F32" s="307">
        <v>690</v>
      </c>
      <c r="G32" s="308">
        <v>720</v>
      </c>
      <c r="H32" s="309"/>
      <c r="I32" s="126">
        <f t="shared" si="0"/>
        <v>0.71986320000000015</v>
      </c>
      <c r="J32" s="126">
        <f t="shared" si="1"/>
        <v>25.421968908000004</v>
      </c>
      <c r="K32" s="126">
        <v>21000</v>
      </c>
      <c r="L32" s="126">
        <f t="shared" si="2"/>
        <v>15117.127200000003</v>
      </c>
      <c r="M32" s="131"/>
      <c r="N32" s="128"/>
      <c r="O32" s="129"/>
      <c r="P32" s="129"/>
      <c r="Q32" s="129"/>
      <c r="R32" s="129"/>
      <c r="S32" s="130"/>
      <c r="T32" s="130"/>
      <c r="U32" s="74"/>
      <c r="V32" s="74"/>
      <c r="W32" s="74"/>
      <c r="X32" s="74"/>
      <c r="Y32" s="74"/>
      <c r="Z32" s="74"/>
    </row>
    <row r="33" spans="1:26" ht="27" customHeight="1">
      <c r="A33" s="310"/>
      <c r="B33" s="310"/>
      <c r="C33" s="310"/>
      <c r="D33" s="311"/>
      <c r="E33" s="311"/>
      <c r="F33" s="312"/>
      <c r="G33" s="313"/>
      <c r="H33" s="314"/>
      <c r="I33" s="304">
        <f t="shared" si="0"/>
        <v>0</v>
      </c>
      <c r="J33" s="132">
        <f t="shared" si="1"/>
        <v>0</v>
      </c>
      <c r="K33" s="132">
        <v>21000</v>
      </c>
      <c r="L33" s="132">
        <f t="shared" si="2"/>
        <v>0</v>
      </c>
      <c r="M33" s="131"/>
      <c r="N33" s="128"/>
      <c r="O33" s="129"/>
      <c r="P33" s="129"/>
      <c r="Q33" s="129"/>
      <c r="R33" s="129"/>
      <c r="S33" s="130"/>
      <c r="T33" s="130"/>
      <c r="U33" s="74"/>
      <c r="V33" s="74"/>
      <c r="W33" s="74"/>
      <c r="X33" s="74"/>
      <c r="Y33" s="74"/>
      <c r="Z33" s="74"/>
    </row>
    <row r="34" spans="1:26" ht="27" customHeight="1">
      <c r="A34" s="493" t="s">
        <v>18</v>
      </c>
      <c r="B34" s="472"/>
      <c r="C34" s="472"/>
      <c r="D34" s="472"/>
      <c r="E34" s="472"/>
      <c r="F34" s="494"/>
      <c r="G34" s="194">
        <f>SUM(G4:G33)</f>
        <v>14331</v>
      </c>
      <c r="H34" s="133"/>
      <c r="I34" s="133">
        <f>SUM(I4:I33)</f>
        <v>18.89415181</v>
      </c>
      <c r="J34" s="133">
        <f>SUM(J4:J33)</f>
        <v>667.24697117015012</v>
      </c>
      <c r="K34" s="133"/>
      <c r="L34" s="133">
        <f>SUM(L4:L33)</f>
        <v>396777.18800999998</v>
      </c>
      <c r="M34" s="134"/>
      <c r="N34" s="135"/>
      <c r="O34" s="136"/>
      <c r="P34" s="136"/>
      <c r="Q34" s="136"/>
      <c r="R34" s="136"/>
      <c r="S34" s="137"/>
      <c r="T34" s="137"/>
      <c r="U34" s="86"/>
      <c r="V34" s="86"/>
      <c r="W34" s="86"/>
      <c r="X34" s="86"/>
      <c r="Y34" s="86"/>
      <c r="Z34" s="86"/>
    </row>
    <row r="35" spans="1:26" ht="27" customHeight="1">
      <c r="A35" s="138"/>
      <c r="B35" s="138"/>
      <c r="C35" s="138"/>
      <c r="D35" s="128"/>
      <c r="E35" s="128"/>
      <c r="F35" s="213"/>
      <c r="G35" s="195"/>
      <c r="H35" s="128"/>
      <c r="I35" s="128"/>
      <c r="J35" s="128"/>
      <c r="K35" s="128"/>
      <c r="L35" s="128"/>
      <c r="M35" s="128"/>
      <c r="N35" s="128"/>
      <c r="O35" s="129"/>
      <c r="P35" s="129"/>
      <c r="Q35" s="129"/>
      <c r="R35" s="129"/>
      <c r="S35" s="130"/>
      <c r="T35" s="130"/>
      <c r="U35" s="74"/>
      <c r="V35" s="74"/>
      <c r="W35" s="74"/>
      <c r="X35" s="74"/>
      <c r="Y35" s="74"/>
      <c r="Z35" s="74"/>
    </row>
    <row r="36" spans="1:26" ht="27" customHeight="1">
      <c r="A36" s="138"/>
      <c r="B36" s="138"/>
      <c r="C36" s="138"/>
      <c r="D36" s="128"/>
      <c r="E36" s="128"/>
      <c r="F36" s="213"/>
      <c r="G36" s="195"/>
      <c r="H36" s="128"/>
      <c r="I36" s="128"/>
      <c r="J36" s="128"/>
      <c r="K36" s="128"/>
      <c r="L36" s="128"/>
      <c r="M36" s="128"/>
      <c r="N36" s="128"/>
      <c r="O36" s="129"/>
      <c r="P36" s="129"/>
      <c r="Q36" s="129"/>
      <c r="R36" s="129"/>
      <c r="S36" s="130"/>
      <c r="T36" s="130"/>
      <c r="U36" s="74"/>
      <c r="V36" s="74"/>
      <c r="W36" s="74"/>
      <c r="X36" s="74"/>
      <c r="Y36" s="74"/>
      <c r="Z36" s="74"/>
    </row>
    <row r="37" spans="1:26" ht="27" customHeight="1">
      <c r="A37" s="139"/>
      <c r="B37" s="139"/>
      <c r="C37" s="139"/>
      <c r="D37" s="129"/>
      <c r="E37" s="129"/>
      <c r="F37" s="214"/>
      <c r="G37" s="196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30"/>
      <c r="T37" s="130"/>
      <c r="U37" s="74"/>
      <c r="V37" s="74"/>
      <c r="W37" s="74"/>
      <c r="X37" s="74"/>
      <c r="Y37" s="74"/>
      <c r="Z37" s="74"/>
    </row>
    <row r="38" spans="1:26" ht="25.5" customHeight="1">
      <c r="A38" s="74"/>
      <c r="B38" s="74"/>
      <c r="C38" s="74"/>
      <c r="D38" s="130"/>
      <c r="E38" s="130"/>
      <c r="F38" s="215"/>
      <c r="G38" s="197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74"/>
      <c r="V38" s="74"/>
      <c r="W38" s="74"/>
      <c r="X38" s="74"/>
      <c r="Y38" s="74"/>
      <c r="Z38" s="74"/>
    </row>
    <row r="39" spans="1:26" ht="25.5" customHeight="1">
      <c r="A39" s="74"/>
      <c r="B39" s="74"/>
      <c r="C39" s="74"/>
      <c r="D39" s="130"/>
      <c r="E39" s="130"/>
      <c r="F39" s="215"/>
      <c r="G39" s="197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74"/>
      <c r="V39" s="74"/>
      <c r="W39" s="74"/>
      <c r="X39" s="74"/>
      <c r="Y39" s="74"/>
      <c r="Z39" s="74"/>
    </row>
    <row r="40" spans="1:26" ht="25.5" customHeight="1">
      <c r="A40" s="74"/>
      <c r="B40" s="74"/>
      <c r="C40" s="74"/>
      <c r="D40" s="130"/>
      <c r="E40" s="130"/>
      <c r="F40" s="215"/>
      <c r="G40" s="197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74"/>
      <c r="V40" s="74"/>
      <c r="W40" s="74"/>
      <c r="X40" s="74"/>
      <c r="Y40" s="74"/>
      <c r="Z40" s="74"/>
    </row>
    <row r="41" spans="1:26" ht="25.5" customHeight="1">
      <c r="A41" s="74"/>
      <c r="B41" s="74"/>
      <c r="C41" s="74"/>
      <c r="D41" s="130"/>
      <c r="E41" s="130"/>
      <c r="F41" s="215"/>
      <c r="G41" s="197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74"/>
      <c r="V41" s="74"/>
      <c r="W41" s="74"/>
      <c r="X41" s="74"/>
      <c r="Y41" s="74"/>
      <c r="Z41" s="74"/>
    </row>
    <row r="42" spans="1:26" ht="25.5" customHeight="1">
      <c r="A42" s="74"/>
      <c r="B42" s="74"/>
      <c r="C42" s="74"/>
      <c r="D42" s="130"/>
      <c r="E42" s="130"/>
      <c r="F42" s="215"/>
      <c r="G42" s="197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74"/>
      <c r="V42" s="74"/>
      <c r="W42" s="74"/>
      <c r="X42" s="74"/>
      <c r="Y42" s="74"/>
      <c r="Z42" s="74"/>
    </row>
    <row r="43" spans="1:26" ht="25.5" customHeight="1">
      <c r="A43" s="74"/>
      <c r="B43" s="74"/>
      <c r="C43" s="74"/>
      <c r="D43" s="130"/>
      <c r="E43" s="130"/>
      <c r="F43" s="215"/>
      <c r="G43" s="197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74"/>
      <c r="V43" s="74"/>
      <c r="W43" s="74"/>
      <c r="X43" s="74"/>
      <c r="Y43" s="74"/>
      <c r="Z43" s="74"/>
    </row>
    <row r="44" spans="1:26" ht="25.5" customHeight="1">
      <c r="A44" s="74"/>
      <c r="B44" s="74"/>
      <c r="C44" s="74"/>
      <c r="D44" s="130"/>
      <c r="E44" s="130"/>
      <c r="F44" s="215"/>
      <c r="G44" s="197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74"/>
      <c r="V44" s="74"/>
      <c r="W44" s="74"/>
      <c r="X44" s="74"/>
      <c r="Y44" s="74"/>
      <c r="Z44" s="74"/>
    </row>
    <row r="45" spans="1:26" ht="25.5" customHeight="1">
      <c r="A45" s="74"/>
      <c r="B45" s="74"/>
      <c r="C45" s="74"/>
      <c r="D45" s="130"/>
      <c r="E45" s="130"/>
      <c r="F45" s="215"/>
      <c r="G45" s="197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74"/>
      <c r="V45" s="74"/>
      <c r="W45" s="74"/>
      <c r="X45" s="74"/>
      <c r="Y45" s="74"/>
      <c r="Z45" s="74"/>
    </row>
    <row r="46" spans="1:26" ht="25.5" customHeight="1">
      <c r="A46" s="74"/>
      <c r="B46" s="74"/>
      <c r="C46" s="74"/>
      <c r="D46" s="130"/>
      <c r="E46" s="130"/>
      <c r="F46" s="215"/>
      <c r="G46" s="197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74"/>
      <c r="V46" s="74"/>
      <c r="W46" s="74"/>
      <c r="X46" s="74"/>
      <c r="Y46" s="74"/>
      <c r="Z46" s="74"/>
    </row>
    <row r="47" spans="1:26" ht="25.5" customHeight="1">
      <c r="A47" s="74"/>
      <c r="B47" s="74"/>
      <c r="C47" s="74"/>
      <c r="D47" s="130"/>
      <c r="E47" s="130"/>
      <c r="F47" s="215"/>
      <c r="G47" s="197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74"/>
      <c r="V47" s="74"/>
      <c r="W47" s="74"/>
      <c r="X47" s="74"/>
      <c r="Y47" s="74"/>
      <c r="Z47" s="74"/>
    </row>
    <row r="48" spans="1:26" ht="25.5" customHeight="1">
      <c r="A48" s="74"/>
      <c r="B48" s="74"/>
      <c r="C48" s="74"/>
      <c r="D48" s="130"/>
      <c r="E48" s="130"/>
      <c r="F48" s="215"/>
      <c r="G48" s="197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74"/>
      <c r="V48" s="74"/>
      <c r="W48" s="74"/>
      <c r="X48" s="74"/>
      <c r="Y48" s="74"/>
      <c r="Z48" s="74"/>
    </row>
    <row r="49" spans="1:26" ht="25.5" customHeight="1">
      <c r="A49" s="74"/>
      <c r="B49" s="74"/>
      <c r="C49" s="74"/>
      <c r="D49" s="130"/>
      <c r="E49" s="130"/>
      <c r="F49" s="215"/>
      <c r="G49" s="197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74"/>
      <c r="V49" s="74"/>
      <c r="W49" s="74"/>
      <c r="X49" s="74"/>
      <c r="Y49" s="74"/>
      <c r="Z49" s="74"/>
    </row>
    <row r="50" spans="1:26" ht="25.5" customHeight="1">
      <c r="A50" s="74"/>
      <c r="B50" s="74"/>
      <c r="C50" s="74"/>
      <c r="D50" s="130"/>
      <c r="E50" s="130"/>
      <c r="F50" s="215"/>
      <c r="G50" s="197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74"/>
      <c r="V50" s="74"/>
      <c r="W50" s="74"/>
      <c r="X50" s="74"/>
      <c r="Y50" s="74"/>
      <c r="Z50" s="74"/>
    </row>
    <row r="51" spans="1:26" ht="25.5" customHeight="1">
      <c r="A51" s="74"/>
      <c r="B51" s="74"/>
      <c r="C51" s="74"/>
      <c r="D51" s="130"/>
      <c r="E51" s="130"/>
      <c r="F51" s="215"/>
      <c r="G51" s="197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74"/>
      <c r="V51" s="74"/>
      <c r="W51" s="74"/>
      <c r="X51" s="74"/>
      <c r="Y51" s="74"/>
      <c r="Z51" s="74"/>
    </row>
    <row r="52" spans="1:26" ht="25.5" customHeight="1">
      <c r="A52" s="74"/>
      <c r="B52" s="74"/>
      <c r="C52" s="74"/>
      <c r="D52" s="130"/>
      <c r="E52" s="130"/>
      <c r="F52" s="215"/>
      <c r="G52" s="197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74"/>
      <c r="V52" s="74"/>
      <c r="W52" s="74"/>
      <c r="X52" s="74"/>
      <c r="Y52" s="74"/>
      <c r="Z52" s="74"/>
    </row>
    <row r="53" spans="1:26" ht="25.5" customHeight="1">
      <c r="A53" s="74"/>
      <c r="B53" s="74"/>
      <c r="C53" s="74"/>
      <c r="D53" s="130"/>
      <c r="E53" s="130"/>
      <c r="F53" s="215"/>
      <c r="G53" s="197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74"/>
      <c r="V53" s="74"/>
      <c r="W53" s="74"/>
      <c r="X53" s="74"/>
      <c r="Y53" s="74"/>
      <c r="Z53" s="74"/>
    </row>
    <row r="54" spans="1:26" ht="25.5" customHeight="1">
      <c r="A54" s="74"/>
      <c r="B54" s="74"/>
      <c r="C54" s="74"/>
      <c r="D54" s="130"/>
      <c r="E54" s="130"/>
      <c r="F54" s="215"/>
      <c r="G54" s="197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74"/>
      <c r="V54" s="74"/>
      <c r="W54" s="74"/>
      <c r="X54" s="74"/>
      <c r="Y54" s="74"/>
      <c r="Z54" s="74"/>
    </row>
    <row r="55" spans="1:26" ht="25.5" customHeight="1">
      <c r="A55" s="74"/>
      <c r="B55" s="74"/>
      <c r="C55" s="74"/>
      <c r="D55" s="130"/>
      <c r="E55" s="130"/>
      <c r="F55" s="215"/>
      <c r="G55" s="197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74"/>
      <c r="V55" s="74"/>
      <c r="W55" s="74"/>
      <c r="X55" s="74"/>
      <c r="Y55" s="74"/>
      <c r="Z55" s="74"/>
    </row>
    <row r="56" spans="1:26" ht="25.5" customHeight="1">
      <c r="A56" s="74"/>
      <c r="B56" s="74"/>
      <c r="C56" s="74"/>
      <c r="D56" s="130"/>
      <c r="E56" s="130"/>
      <c r="F56" s="215"/>
      <c r="G56" s="197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74"/>
      <c r="V56" s="74"/>
      <c r="W56" s="74"/>
      <c r="X56" s="74"/>
      <c r="Y56" s="74"/>
      <c r="Z56" s="74"/>
    </row>
    <row r="57" spans="1:26" ht="25.5" customHeight="1">
      <c r="A57" s="74"/>
      <c r="B57" s="74"/>
      <c r="C57" s="74"/>
      <c r="D57" s="130"/>
      <c r="E57" s="130"/>
      <c r="F57" s="215"/>
      <c r="G57" s="197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74"/>
      <c r="V57" s="74"/>
      <c r="W57" s="74"/>
      <c r="X57" s="74"/>
      <c r="Y57" s="74"/>
      <c r="Z57" s="74"/>
    </row>
    <row r="58" spans="1:26" ht="25.5" customHeight="1">
      <c r="A58" s="74"/>
      <c r="B58" s="74"/>
      <c r="C58" s="74"/>
      <c r="D58" s="130"/>
      <c r="E58" s="130"/>
      <c r="F58" s="215"/>
      <c r="G58" s="197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74"/>
      <c r="V58" s="74"/>
      <c r="W58" s="74"/>
      <c r="X58" s="74"/>
      <c r="Y58" s="74"/>
      <c r="Z58" s="74"/>
    </row>
    <row r="59" spans="1:26" ht="25.5" customHeight="1">
      <c r="A59" s="74"/>
      <c r="B59" s="74"/>
      <c r="C59" s="74"/>
      <c r="D59" s="130"/>
      <c r="E59" s="130"/>
      <c r="F59" s="215"/>
      <c r="G59" s="197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74"/>
      <c r="V59" s="74"/>
      <c r="W59" s="74"/>
      <c r="X59" s="74"/>
      <c r="Y59" s="74"/>
      <c r="Z59" s="74"/>
    </row>
    <row r="60" spans="1:26" ht="25.5" customHeight="1">
      <c r="A60" s="74"/>
      <c r="B60" s="74"/>
      <c r="C60" s="74"/>
      <c r="D60" s="130"/>
      <c r="E60" s="130"/>
      <c r="F60" s="215"/>
      <c r="G60" s="197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74"/>
      <c r="V60" s="74"/>
      <c r="W60" s="74"/>
      <c r="X60" s="74"/>
      <c r="Y60" s="74"/>
      <c r="Z60" s="74"/>
    </row>
    <row r="61" spans="1:26" ht="25.5" customHeight="1">
      <c r="A61" s="74"/>
      <c r="B61" s="74"/>
      <c r="C61" s="74"/>
      <c r="D61" s="130"/>
      <c r="E61" s="130"/>
      <c r="F61" s="215"/>
      <c r="G61" s="197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74"/>
      <c r="V61" s="74"/>
      <c r="W61" s="74"/>
      <c r="X61" s="74"/>
      <c r="Y61" s="74"/>
      <c r="Z61" s="74"/>
    </row>
    <row r="62" spans="1:26" ht="25.5" customHeight="1">
      <c r="A62" s="74"/>
      <c r="B62" s="74"/>
      <c r="C62" s="74"/>
      <c r="D62" s="130"/>
      <c r="E62" s="130"/>
      <c r="F62" s="215"/>
      <c r="G62" s="197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74"/>
      <c r="V62" s="74"/>
      <c r="W62" s="74"/>
      <c r="X62" s="74"/>
      <c r="Y62" s="74"/>
      <c r="Z62" s="74"/>
    </row>
    <row r="63" spans="1:26" ht="25.5" customHeight="1">
      <c r="A63" s="74"/>
      <c r="B63" s="74"/>
      <c r="C63" s="74"/>
      <c r="D63" s="130"/>
      <c r="E63" s="130"/>
      <c r="F63" s="215"/>
      <c r="G63" s="197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74"/>
      <c r="V63" s="74"/>
      <c r="W63" s="74"/>
      <c r="X63" s="74"/>
      <c r="Y63" s="74"/>
      <c r="Z63" s="74"/>
    </row>
    <row r="64" spans="1:26" ht="25.5" customHeight="1">
      <c r="A64" s="74"/>
      <c r="B64" s="74"/>
      <c r="C64" s="74"/>
      <c r="D64" s="130"/>
      <c r="E64" s="130"/>
      <c r="F64" s="215"/>
      <c r="G64" s="197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74"/>
      <c r="V64" s="74"/>
      <c r="W64" s="74"/>
      <c r="X64" s="74"/>
      <c r="Y64" s="74"/>
      <c r="Z64" s="74"/>
    </row>
    <row r="65" spans="1:26" ht="25.5" customHeight="1">
      <c r="A65" s="74"/>
      <c r="B65" s="74"/>
      <c r="C65" s="74"/>
      <c r="D65" s="130"/>
      <c r="E65" s="130"/>
      <c r="F65" s="215"/>
      <c r="G65" s="197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74"/>
      <c r="V65" s="74"/>
      <c r="W65" s="74"/>
      <c r="X65" s="74"/>
      <c r="Y65" s="74"/>
      <c r="Z65" s="74"/>
    </row>
    <row r="66" spans="1:26" ht="25.5" customHeight="1">
      <c r="A66" s="74"/>
      <c r="B66" s="74"/>
      <c r="C66" s="74"/>
      <c r="D66" s="130"/>
      <c r="E66" s="130"/>
      <c r="F66" s="215"/>
      <c r="G66" s="197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74"/>
      <c r="V66" s="74"/>
      <c r="W66" s="74"/>
      <c r="X66" s="74"/>
      <c r="Y66" s="74"/>
      <c r="Z66" s="74"/>
    </row>
    <row r="67" spans="1:26" ht="25.5" customHeight="1">
      <c r="A67" s="74"/>
      <c r="B67" s="74"/>
      <c r="C67" s="74"/>
      <c r="D67" s="130"/>
      <c r="E67" s="130"/>
      <c r="F67" s="215"/>
      <c r="G67" s="197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74"/>
      <c r="V67" s="74"/>
      <c r="W67" s="74"/>
      <c r="X67" s="74"/>
      <c r="Y67" s="74"/>
      <c r="Z67" s="74"/>
    </row>
    <row r="68" spans="1:26" ht="25.5" customHeight="1">
      <c r="A68" s="74"/>
      <c r="B68" s="74"/>
      <c r="C68" s="74"/>
      <c r="D68" s="130"/>
      <c r="E68" s="130"/>
      <c r="F68" s="215"/>
      <c r="G68" s="197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74"/>
      <c r="V68" s="74"/>
      <c r="W68" s="74"/>
      <c r="X68" s="74"/>
      <c r="Y68" s="74"/>
      <c r="Z68" s="74"/>
    </row>
    <row r="69" spans="1:26" ht="25.5" customHeight="1">
      <c r="A69" s="74"/>
      <c r="B69" s="74"/>
      <c r="C69" s="74"/>
      <c r="D69" s="130"/>
      <c r="E69" s="130"/>
      <c r="F69" s="215"/>
      <c r="G69" s="197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74"/>
      <c r="V69" s="74"/>
      <c r="W69" s="74"/>
      <c r="X69" s="74"/>
      <c r="Y69" s="74"/>
      <c r="Z69" s="74"/>
    </row>
    <row r="70" spans="1:26" ht="25.5" customHeight="1">
      <c r="A70" s="74"/>
      <c r="B70" s="74"/>
      <c r="C70" s="74"/>
      <c r="D70" s="130"/>
      <c r="E70" s="130"/>
      <c r="F70" s="215"/>
      <c r="G70" s="197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74"/>
      <c r="V70" s="74"/>
      <c r="W70" s="74"/>
      <c r="X70" s="74"/>
      <c r="Y70" s="74"/>
      <c r="Z70" s="74"/>
    </row>
    <row r="71" spans="1:26" ht="25.5" customHeight="1">
      <c r="A71" s="74"/>
      <c r="B71" s="74"/>
      <c r="C71" s="74"/>
      <c r="D71" s="130"/>
      <c r="E71" s="130"/>
      <c r="F71" s="215"/>
      <c r="G71" s="197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74"/>
      <c r="V71" s="74"/>
      <c r="W71" s="74"/>
      <c r="X71" s="74"/>
      <c r="Y71" s="74"/>
      <c r="Z71" s="74"/>
    </row>
    <row r="72" spans="1:26" ht="25.5" customHeight="1">
      <c r="A72" s="74"/>
      <c r="B72" s="74"/>
      <c r="C72" s="74"/>
      <c r="D72" s="130"/>
      <c r="E72" s="130"/>
      <c r="F72" s="215"/>
      <c r="G72" s="197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74"/>
      <c r="V72" s="74"/>
      <c r="W72" s="74"/>
      <c r="X72" s="74"/>
      <c r="Y72" s="74"/>
      <c r="Z72" s="74"/>
    </row>
    <row r="73" spans="1:26" ht="25.5" customHeight="1">
      <c r="A73" s="74"/>
      <c r="B73" s="74"/>
      <c r="C73" s="74"/>
      <c r="D73" s="130"/>
      <c r="E73" s="130"/>
      <c r="F73" s="215"/>
      <c r="G73" s="197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74"/>
      <c r="V73" s="74"/>
      <c r="W73" s="74"/>
      <c r="X73" s="74"/>
      <c r="Y73" s="74"/>
      <c r="Z73" s="74"/>
    </row>
    <row r="74" spans="1:26" ht="25.5" customHeight="1">
      <c r="A74" s="74"/>
      <c r="B74" s="74"/>
      <c r="C74" s="74"/>
      <c r="D74" s="130"/>
      <c r="E74" s="130"/>
      <c r="F74" s="215"/>
      <c r="G74" s="197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74"/>
      <c r="V74" s="74"/>
      <c r="W74" s="74"/>
      <c r="X74" s="74"/>
      <c r="Y74" s="74"/>
      <c r="Z74" s="74"/>
    </row>
    <row r="75" spans="1:26" ht="25.5" customHeight="1">
      <c r="A75" s="74"/>
      <c r="B75" s="74"/>
      <c r="C75" s="74"/>
      <c r="D75" s="130"/>
      <c r="E75" s="130"/>
      <c r="F75" s="215"/>
      <c r="G75" s="197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74"/>
      <c r="V75" s="74"/>
      <c r="W75" s="74"/>
      <c r="X75" s="74"/>
      <c r="Y75" s="74"/>
      <c r="Z75" s="74"/>
    </row>
    <row r="76" spans="1:26" ht="25.5" customHeight="1">
      <c r="A76" s="74"/>
      <c r="B76" s="74"/>
      <c r="C76" s="74"/>
      <c r="D76" s="130"/>
      <c r="E76" s="130"/>
      <c r="F76" s="215"/>
      <c r="G76" s="197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74"/>
      <c r="V76" s="74"/>
      <c r="W76" s="74"/>
      <c r="X76" s="74"/>
      <c r="Y76" s="74"/>
      <c r="Z76" s="74"/>
    </row>
    <row r="77" spans="1:26" ht="25.5" customHeight="1">
      <c r="A77" s="74"/>
      <c r="B77" s="74"/>
      <c r="C77" s="74"/>
      <c r="D77" s="130"/>
      <c r="E77" s="130"/>
      <c r="F77" s="215"/>
      <c r="G77" s="197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74"/>
      <c r="V77" s="74"/>
      <c r="W77" s="74"/>
      <c r="X77" s="74"/>
      <c r="Y77" s="74"/>
      <c r="Z77" s="74"/>
    </row>
    <row r="78" spans="1:26" ht="25.5" customHeight="1">
      <c r="A78" s="74"/>
      <c r="B78" s="74"/>
      <c r="C78" s="74"/>
      <c r="D78" s="130"/>
      <c r="E78" s="130"/>
      <c r="F78" s="215"/>
      <c r="G78" s="197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74"/>
      <c r="V78" s="74"/>
      <c r="W78" s="74"/>
      <c r="X78" s="74"/>
      <c r="Y78" s="74"/>
      <c r="Z78" s="74"/>
    </row>
    <row r="79" spans="1:26" ht="25.5" customHeight="1">
      <c r="A79" s="74"/>
      <c r="B79" s="74"/>
      <c r="C79" s="74"/>
      <c r="D79" s="130"/>
      <c r="E79" s="130"/>
      <c r="F79" s="215"/>
      <c r="G79" s="197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74"/>
      <c r="V79" s="74"/>
      <c r="W79" s="74"/>
      <c r="X79" s="74"/>
      <c r="Y79" s="74"/>
      <c r="Z79" s="74"/>
    </row>
    <row r="80" spans="1:26" ht="25.5" customHeight="1">
      <c r="A80" s="74"/>
      <c r="B80" s="74"/>
      <c r="C80" s="74"/>
      <c r="D80" s="130"/>
      <c r="E80" s="130"/>
      <c r="F80" s="215"/>
      <c r="G80" s="197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74"/>
      <c r="V80" s="74"/>
      <c r="W80" s="74"/>
      <c r="X80" s="74"/>
      <c r="Y80" s="74"/>
      <c r="Z80" s="74"/>
    </row>
    <row r="81" spans="1:26" ht="25.5" customHeight="1">
      <c r="A81" s="74"/>
      <c r="B81" s="74"/>
      <c r="C81" s="74"/>
      <c r="D81" s="130"/>
      <c r="E81" s="130"/>
      <c r="F81" s="215"/>
      <c r="G81" s="197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74"/>
      <c r="V81" s="74"/>
      <c r="W81" s="74"/>
      <c r="X81" s="74"/>
      <c r="Y81" s="74"/>
      <c r="Z81" s="74"/>
    </row>
    <row r="82" spans="1:26" ht="25.5" customHeight="1">
      <c r="A82" s="74"/>
      <c r="B82" s="74"/>
      <c r="C82" s="74"/>
      <c r="D82" s="130"/>
      <c r="E82" s="130"/>
      <c r="F82" s="215"/>
      <c r="G82" s="197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74"/>
      <c r="V82" s="74"/>
      <c r="W82" s="74"/>
      <c r="X82" s="74"/>
      <c r="Y82" s="74"/>
      <c r="Z82" s="74"/>
    </row>
    <row r="83" spans="1:26" ht="25.5" customHeight="1">
      <c r="A83" s="74"/>
      <c r="B83" s="74"/>
      <c r="C83" s="74"/>
      <c r="D83" s="130"/>
      <c r="E83" s="130"/>
      <c r="F83" s="215"/>
      <c r="G83" s="197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74"/>
      <c r="V83" s="74"/>
      <c r="W83" s="74"/>
      <c r="X83" s="74"/>
      <c r="Y83" s="74"/>
      <c r="Z83" s="74"/>
    </row>
    <row r="84" spans="1:26" ht="25.5" customHeight="1">
      <c r="A84" s="74"/>
      <c r="B84" s="74"/>
      <c r="C84" s="74"/>
      <c r="D84" s="130"/>
      <c r="E84" s="130"/>
      <c r="F84" s="215"/>
      <c r="G84" s="197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74"/>
      <c r="V84" s="74"/>
      <c r="W84" s="74"/>
      <c r="X84" s="74"/>
      <c r="Y84" s="74"/>
      <c r="Z84" s="74"/>
    </row>
    <row r="85" spans="1:26" ht="25.5" customHeight="1">
      <c r="A85" s="74"/>
      <c r="B85" s="74"/>
      <c r="C85" s="74"/>
      <c r="D85" s="130"/>
      <c r="E85" s="130"/>
      <c r="F85" s="215"/>
      <c r="G85" s="197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74"/>
      <c r="V85" s="74"/>
      <c r="W85" s="74"/>
      <c r="X85" s="74"/>
      <c r="Y85" s="74"/>
      <c r="Z85" s="74"/>
    </row>
    <row r="86" spans="1:26" ht="25.5" customHeight="1">
      <c r="A86" s="74"/>
      <c r="B86" s="74"/>
      <c r="C86" s="74"/>
      <c r="D86" s="130"/>
      <c r="E86" s="130"/>
      <c r="F86" s="215"/>
      <c r="G86" s="197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74"/>
      <c r="V86" s="74"/>
      <c r="W86" s="74"/>
      <c r="X86" s="74"/>
      <c r="Y86" s="74"/>
      <c r="Z86" s="74"/>
    </row>
    <row r="87" spans="1:26" ht="25.5" customHeight="1">
      <c r="A87" s="74"/>
      <c r="B87" s="74"/>
      <c r="C87" s="74"/>
      <c r="D87" s="130"/>
      <c r="E87" s="130"/>
      <c r="F87" s="215"/>
      <c r="G87" s="197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74"/>
      <c r="V87" s="74"/>
      <c r="W87" s="74"/>
      <c r="X87" s="74"/>
      <c r="Y87" s="74"/>
      <c r="Z87" s="74"/>
    </row>
    <row r="88" spans="1:26" ht="25.5" customHeight="1">
      <c r="A88" s="74"/>
      <c r="B88" s="74"/>
      <c r="C88" s="74"/>
      <c r="D88" s="130"/>
      <c r="E88" s="130"/>
      <c r="F88" s="215"/>
      <c r="G88" s="197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74"/>
      <c r="V88" s="74"/>
      <c r="W88" s="74"/>
      <c r="X88" s="74"/>
      <c r="Y88" s="74"/>
      <c r="Z88" s="74"/>
    </row>
    <row r="89" spans="1:26" ht="25.5" customHeight="1">
      <c r="A89" s="74"/>
      <c r="B89" s="74"/>
      <c r="C89" s="74"/>
      <c r="D89" s="130"/>
      <c r="E89" s="130"/>
      <c r="F89" s="215"/>
      <c r="G89" s="197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74"/>
      <c r="V89" s="74"/>
      <c r="W89" s="74"/>
      <c r="X89" s="74"/>
      <c r="Y89" s="74"/>
      <c r="Z89" s="74"/>
    </row>
    <row r="90" spans="1:26" ht="25.5" customHeight="1">
      <c r="A90" s="74"/>
      <c r="B90" s="74"/>
      <c r="C90" s="74"/>
      <c r="D90" s="130"/>
      <c r="E90" s="130"/>
      <c r="F90" s="215"/>
      <c r="G90" s="197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74"/>
      <c r="V90" s="74"/>
      <c r="W90" s="74"/>
      <c r="X90" s="74"/>
      <c r="Y90" s="74"/>
      <c r="Z90" s="74"/>
    </row>
    <row r="91" spans="1:26" ht="25.5" customHeight="1">
      <c r="A91" s="74"/>
      <c r="B91" s="74"/>
      <c r="C91" s="74"/>
      <c r="D91" s="130"/>
      <c r="E91" s="130"/>
      <c r="F91" s="215"/>
      <c r="G91" s="197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74"/>
      <c r="V91" s="74"/>
      <c r="W91" s="74"/>
      <c r="X91" s="74"/>
      <c r="Y91" s="74"/>
      <c r="Z91" s="74"/>
    </row>
    <row r="92" spans="1:26" ht="25.5" customHeight="1">
      <c r="A92" s="74"/>
      <c r="B92" s="74"/>
      <c r="C92" s="74"/>
      <c r="D92" s="130"/>
      <c r="E92" s="130"/>
      <c r="F92" s="215"/>
      <c r="G92" s="197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74"/>
      <c r="V92" s="74"/>
      <c r="W92" s="74"/>
      <c r="X92" s="74"/>
      <c r="Y92" s="74"/>
      <c r="Z92" s="74"/>
    </row>
    <row r="93" spans="1:26" ht="25.5" customHeight="1">
      <c r="A93" s="74"/>
      <c r="B93" s="74"/>
      <c r="C93" s="74"/>
      <c r="D93" s="130"/>
      <c r="E93" s="130"/>
      <c r="F93" s="215"/>
      <c r="G93" s="197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74"/>
      <c r="V93" s="74"/>
      <c r="W93" s="74"/>
      <c r="X93" s="74"/>
      <c r="Y93" s="74"/>
      <c r="Z93" s="74"/>
    </row>
    <row r="94" spans="1:26" ht="25.5" customHeight="1">
      <c r="A94" s="74"/>
      <c r="B94" s="74"/>
      <c r="C94" s="74"/>
      <c r="D94" s="130"/>
      <c r="E94" s="130"/>
      <c r="F94" s="215"/>
      <c r="G94" s="197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74"/>
      <c r="V94" s="74"/>
      <c r="W94" s="74"/>
      <c r="X94" s="74"/>
      <c r="Y94" s="74"/>
      <c r="Z94" s="74"/>
    </row>
    <row r="95" spans="1:26" ht="25.5" customHeight="1">
      <c r="A95" s="74"/>
      <c r="B95" s="74"/>
      <c r="C95" s="74"/>
      <c r="D95" s="130"/>
      <c r="E95" s="130"/>
      <c r="F95" s="215"/>
      <c r="G95" s="197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74"/>
      <c r="V95" s="74"/>
      <c r="W95" s="74"/>
      <c r="X95" s="74"/>
      <c r="Y95" s="74"/>
      <c r="Z95" s="74"/>
    </row>
    <row r="96" spans="1:26" ht="25.5" customHeight="1">
      <c r="A96" s="74"/>
      <c r="B96" s="74"/>
      <c r="C96" s="74"/>
      <c r="D96" s="130"/>
      <c r="E96" s="130"/>
      <c r="F96" s="215"/>
      <c r="G96" s="197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74"/>
      <c r="V96" s="74"/>
      <c r="W96" s="74"/>
      <c r="X96" s="74"/>
      <c r="Y96" s="74"/>
      <c r="Z96" s="74"/>
    </row>
    <row r="97" spans="1:26" ht="25.5" customHeight="1">
      <c r="A97" s="74"/>
      <c r="B97" s="74"/>
      <c r="C97" s="74"/>
      <c r="D97" s="130"/>
      <c r="E97" s="130"/>
      <c r="F97" s="215"/>
      <c r="G97" s="197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74"/>
      <c r="V97" s="74"/>
      <c r="W97" s="74"/>
      <c r="X97" s="74"/>
      <c r="Y97" s="74"/>
      <c r="Z97" s="74"/>
    </row>
    <row r="98" spans="1:26" ht="25.5" customHeight="1">
      <c r="A98" s="74"/>
      <c r="B98" s="74"/>
      <c r="C98" s="74"/>
      <c r="D98" s="130"/>
      <c r="E98" s="130"/>
      <c r="F98" s="215"/>
      <c r="G98" s="197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74"/>
      <c r="V98" s="74"/>
      <c r="W98" s="74"/>
      <c r="X98" s="74"/>
      <c r="Y98" s="74"/>
      <c r="Z98" s="74"/>
    </row>
    <row r="99" spans="1:26" ht="25.5" customHeight="1">
      <c r="A99" s="74"/>
      <c r="B99" s="74"/>
      <c r="C99" s="74"/>
      <c r="D99" s="130"/>
      <c r="E99" s="130"/>
      <c r="F99" s="215"/>
      <c r="G99" s="197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74"/>
      <c r="V99" s="74"/>
      <c r="W99" s="74"/>
      <c r="X99" s="74"/>
      <c r="Y99" s="74"/>
      <c r="Z99" s="74"/>
    </row>
    <row r="100" spans="1:26" ht="25.5" customHeight="1">
      <c r="A100" s="74"/>
      <c r="B100" s="74"/>
      <c r="C100" s="74"/>
      <c r="D100" s="130"/>
      <c r="E100" s="130"/>
      <c r="F100" s="215"/>
      <c r="G100" s="197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74"/>
      <c r="V100" s="74"/>
      <c r="W100" s="74"/>
      <c r="X100" s="74"/>
      <c r="Y100" s="74"/>
      <c r="Z100" s="74"/>
    </row>
    <row r="101" spans="1:26" ht="25.5" customHeight="1">
      <c r="A101" s="74"/>
      <c r="B101" s="74"/>
      <c r="C101" s="74"/>
      <c r="D101" s="130"/>
      <c r="E101" s="130"/>
      <c r="F101" s="215"/>
      <c r="G101" s="197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74"/>
      <c r="V101" s="74"/>
      <c r="W101" s="74"/>
      <c r="X101" s="74"/>
      <c r="Y101" s="74"/>
      <c r="Z101" s="74"/>
    </row>
    <row r="102" spans="1:26" ht="25.5" customHeight="1">
      <c r="A102" s="74"/>
      <c r="B102" s="74"/>
      <c r="C102" s="74"/>
      <c r="D102" s="130"/>
      <c r="E102" s="130"/>
      <c r="F102" s="215"/>
      <c r="G102" s="197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74"/>
      <c r="V102" s="74"/>
      <c r="W102" s="74"/>
      <c r="X102" s="74"/>
      <c r="Y102" s="74"/>
      <c r="Z102" s="74"/>
    </row>
    <row r="103" spans="1:26" ht="25.5" customHeight="1">
      <c r="A103" s="74"/>
      <c r="B103" s="74"/>
      <c r="C103" s="74"/>
      <c r="D103" s="130"/>
      <c r="E103" s="130"/>
      <c r="F103" s="215"/>
      <c r="G103" s="197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74"/>
      <c r="V103" s="74"/>
      <c r="W103" s="74"/>
      <c r="X103" s="74"/>
      <c r="Y103" s="74"/>
      <c r="Z103" s="74"/>
    </row>
    <row r="104" spans="1:26" ht="25.5" customHeight="1">
      <c r="A104" s="74"/>
      <c r="B104" s="74"/>
      <c r="C104" s="74"/>
      <c r="D104" s="130"/>
      <c r="E104" s="130"/>
      <c r="F104" s="215"/>
      <c r="G104" s="197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74"/>
      <c r="V104" s="74"/>
      <c r="W104" s="74"/>
      <c r="X104" s="74"/>
      <c r="Y104" s="74"/>
      <c r="Z104" s="74"/>
    </row>
    <row r="105" spans="1:26" ht="25.5" customHeight="1">
      <c r="A105" s="74"/>
      <c r="B105" s="74"/>
      <c r="C105" s="74"/>
      <c r="D105" s="130"/>
      <c r="E105" s="130"/>
      <c r="F105" s="215"/>
      <c r="G105" s="197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74"/>
      <c r="V105" s="74"/>
      <c r="W105" s="74"/>
      <c r="X105" s="74"/>
      <c r="Y105" s="74"/>
      <c r="Z105" s="74"/>
    </row>
    <row r="106" spans="1:26" ht="25.5" customHeight="1">
      <c r="A106" s="74"/>
      <c r="B106" s="74"/>
      <c r="C106" s="74"/>
      <c r="D106" s="130"/>
      <c r="E106" s="130"/>
      <c r="F106" s="215"/>
      <c r="G106" s="197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74"/>
      <c r="V106" s="74"/>
      <c r="W106" s="74"/>
      <c r="X106" s="74"/>
      <c r="Y106" s="74"/>
      <c r="Z106" s="74"/>
    </row>
    <row r="107" spans="1:26" ht="25.5" customHeight="1">
      <c r="A107" s="74"/>
      <c r="B107" s="74"/>
      <c r="C107" s="74"/>
      <c r="D107" s="130"/>
      <c r="E107" s="130"/>
      <c r="F107" s="215"/>
      <c r="G107" s="197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74"/>
      <c r="V107" s="74"/>
      <c r="W107" s="74"/>
      <c r="X107" s="74"/>
      <c r="Y107" s="74"/>
      <c r="Z107" s="74"/>
    </row>
    <row r="108" spans="1:26" ht="25.5" customHeight="1">
      <c r="A108" s="74"/>
      <c r="B108" s="74"/>
      <c r="C108" s="74"/>
      <c r="D108" s="130"/>
      <c r="E108" s="130"/>
      <c r="F108" s="215"/>
      <c r="G108" s="197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74"/>
      <c r="V108" s="74"/>
      <c r="W108" s="74"/>
      <c r="X108" s="74"/>
      <c r="Y108" s="74"/>
      <c r="Z108" s="74"/>
    </row>
    <row r="109" spans="1:26" ht="25.5" customHeight="1">
      <c r="A109" s="74"/>
      <c r="B109" s="74"/>
      <c r="C109" s="74"/>
      <c r="D109" s="130"/>
      <c r="E109" s="130"/>
      <c r="F109" s="215"/>
      <c r="G109" s="197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74"/>
      <c r="V109" s="74"/>
      <c r="W109" s="74"/>
      <c r="X109" s="74"/>
      <c r="Y109" s="74"/>
      <c r="Z109" s="74"/>
    </row>
    <row r="110" spans="1:26" ht="25.5" customHeight="1">
      <c r="A110" s="74"/>
      <c r="B110" s="74"/>
      <c r="C110" s="74"/>
      <c r="D110" s="130"/>
      <c r="E110" s="130"/>
      <c r="F110" s="215"/>
      <c r="G110" s="197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74"/>
      <c r="V110" s="74"/>
      <c r="W110" s="74"/>
      <c r="X110" s="74"/>
      <c r="Y110" s="74"/>
      <c r="Z110" s="74"/>
    </row>
    <row r="111" spans="1:26" ht="25.5" customHeight="1">
      <c r="A111" s="74"/>
      <c r="B111" s="74"/>
      <c r="C111" s="74"/>
      <c r="D111" s="130"/>
      <c r="E111" s="130"/>
      <c r="F111" s="215"/>
      <c r="G111" s="197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74"/>
      <c r="V111" s="74"/>
      <c r="W111" s="74"/>
      <c r="X111" s="74"/>
      <c r="Y111" s="74"/>
      <c r="Z111" s="74"/>
    </row>
    <row r="112" spans="1:26" ht="25.5" customHeight="1">
      <c r="A112" s="74"/>
      <c r="B112" s="74"/>
      <c r="C112" s="74"/>
      <c r="D112" s="130"/>
      <c r="E112" s="130"/>
      <c r="F112" s="215"/>
      <c r="G112" s="197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74"/>
      <c r="V112" s="74"/>
      <c r="W112" s="74"/>
      <c r="X112" s="74"/>
      <c r="Y112" s="74"/>
      <c r="Z112" s="74"/>
    </row>
    <row r="113" spans="1:26" ht="25.5" customHeight="1">
      <c r="A113" s="74"/>
      <c r="B113" s="74"/>
      <c r="C113" s="74"/>
      <c r="D113" s="130"/>
      <c r="E113" s="130"/>
      <c r="F113" s="215"/>
      <c r="G113" s="197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74"/>
      <c r="V113" s="74"/>
      <c r="W113" s="74"/>
      <c r="X113" s="74"/>
      <c r="Y113" s="74"/>
      <c r="Z113" s="74"/>
    </row>
    <row r="114" spans="1:26" ht="25.5" customHeight="1">
      <c r="A114" s="74"/>
      <c r="B114" s="74"/>
      <c r="C114" s="74"/>
      <c r="D114" s="130"/>
      <c r="E114" s="130"/>
      <c r="F114" s="215"/>
      <c r="G114" s="197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74"/>
      <c r="V114" s="74"/>
      <c r="W114" s="74"/>
      <c r="X114" s="74"/>
      <c r="Y114" s="74"/>
      <c r="Z114" s="74"/>
    </row>
    <row r="115" spans="1:26" ht="25.5" customHeight="1">
      <c r="A115" s="74"/>
      <c r="B115" s="74"/>
      <c r="C115" s="74"/>
      <c r="D115" s="130"/>
      <c r="E115" s="130"/>
      <c r="F115" s="215"/>
      <c r="G115" s="197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74"/>
      <c r="V115" s="74"/>
      <c r="W115" s="74"/>
      <c r="X115" s="74"/>
      <c r="Y115" s="74"/>
      <c r="Z115" s="74"/>
    </row>
    <row r="116" spans="1:26" ht="25.5" customHeight="1">
      <c r="A116" s="74"/>
      <c r="B116" s="74"/>
      <c r="C116" s="74"/>
      <c r="D116" s="130"/>
      <c r="E116" s="130"/>
      <c r="F116" s="215"/>
      <c r="G116" s="197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74"/>
      <c r="V116" s="74"/>
      <c r="W116" s="74"/>
      <c r="X116" s="74"/>
      <c r="Y116" s="74"/>
      <c r="Z116" s="74"/>
    </row>
    <row r="117" spans="1:26" ht="25.5" customHeight="1">
      <c r="A117" s="74"/>
      <c r="B117" s="74"/>
      <c r="C117" s="74"/>
      <c r="D117" s="130"/>
      <c r="E117" s="130"/>
      <c r="F117" s="215"/>
      <c r="G117" s="197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74"/>
      <c r="V117" s="74"/>
      <c r="W117" s="74"/>
      <c r="X117" s="74"/>
      <c r="Y117" s="74"/>
      <c r="Z117" s="74"/>
    </row>
    <row r="118" spans="1:26" ht="25.5" customHeight="1">
      <c r="A118" s="74"/>
      <c r="B118" s="74"/>
      <c r="C118" s="74"/>
      <c r="D118" s="130"/>
      <c r="E118" s="130"/>
      <c r="F118" s="215"/>
      <c r="G118" s="197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74"/>
      <c r="V118" s="74"/>
      <c r="W118" s="74"/>
      <c r="X118" s="74"/>
      <c r="Y118" s="74"/>
      <c r="Z118" s="74"/>
    </row>
    <row r="119" spans="1:26" ht="25.5" customHeight="1">
      <c r="A119" s="74"/>
      <c r="B119" s="74"/>
      <c r="C119" s="74"/>
      <c r="D119" s="130"/>
      <c r="E119" s="130"/>
      <c r="F119" s="215"/>
      <c r="G119" s="197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74"/>
      <c r="V119" s="74"/>
      <c r="W119" s="74"/>
      <c r="X119" s="74"/>
      <c r="Y119" s="74"/>
      <c r="Z119" s="74"/>
    </row>
    <row r="120" spans="1:26" ht="25.5" customHeight="1">
      <c r="A120" s="74"/>
      <c r="B120" s="74"/>
      <c r="C120" s="74"/>
      <c r="D120" s="130"/>
      <c r="E120" s="130"/>
      <c r="F120" s="215"/>
      <c r="G120" s="197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74"/>
      <c r="V120" s="74"/>
      <c r="W120" s="74"/>
      <c r="X120" s="74"/>
      <c r="Y120" s="74"/>
      <c r="Z120" s="74"/>
    </row>
    <row r="121" spans="1:26" ht="25.5" customHeight="1">
      <c r="A121" s="74"/>
      <c r="B121" s="74"/>
      <c r="C121" s="74"/>
      <c r="D121" s="130"/>
      <c r="E121" s="130"/>
      <c r="F121" s="215"/>
      <c r="G121" s="197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74"/>
      <c r="V121" s="74"/>
      <c r="W121" s="74"/>
      <c r="X121" s="74"/>
      <c r="Y121" s="74"/>
      <c r="Z121" s="74"/>
    </row>
    <row r="122" spans="1:26" ht="25.5" customHeight="1">
      <c r="A122" s="74"/>
      <c r="B122" s="74"/>
      <c r="C122" s="74"/>
      <c r="D122" s="130"/>
      <c r="E122" s="130"/>
      <c r="F122" s="215"/>
      <c r="G122" s="197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74"/>
      <c r="V122" s="74"/>
      <c r="W122" s="74"/>
      <c r="X122" s="74"/>
      <c r="Y122" s="74"/>
      <c r="Z122" s="74"/>
    </row>
    <row r="123" spans="1:26" ht="25.5" customHeight="1">
      <c r="A123" s="74"/>
      <c r="B123" s="74"/>
      <c r="C123" s="74"/>
      <c r="D123" s="130"/>
      <c r="E123" s="130"/>
      <c r="F123" s="215"/>
      <c r="G123" s="197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74"/>
      <c r="V123" s="74"/>
      <c r="W123" s="74"/>
      <c r="X123" s="74"/>
      <c r="Y123" s="74"/>
      <c r="Z123" s="74"/>
    </row>
    <row r="124" spans="1:26" ht="25.5" customHeight="1">
      <c r="A124" s="74"/>
      <c r="B124" s="74"/>
      <c r="C124" s="74"/>
      <c r="D124" s="130"/>
      <c r="E124" s="130"/>
      <c r="F124" s="215"/>
      <c r="G124" s="197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74"/>
      <c r="V124" s="74"/>
      <c r="W124" s="74"/>
      <c r="X124" s="74"/>
      <c r="Y124" s="74"/>
      <c r="Z124" s="74"/>
    </row>
    <row r="125" spans="1:26" ht="25.5" customHeight="1">
      <c r="A125" s="74"/>
      <c r="B125" s="74"/>
      <c r="C125" s="74"/>
      <c r="D125" s="130"/>
      <c r="E125" s="130"/>
      <c r="F125" s="215"/>
      <c r="G125" s="197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74"/>
      <c r="V125" s="74"/>
      <c r="W125" s="74"/>
      <c r="X125" s="74"/>
      <c r="Y125" s="74"/>
      <c r="Z125" s="74"/>
    </row>
    <row r="126" spans="1:26" ht="25.5" customHeight="1">
      <c r="A126" s="74"/>
      <c r="B126" s="74"/>
      <c r="C126" s="74"/>
      <c r="D126" s="130"/>
      <c r="E126" s="130"/>
      <c r="F126" s="215"/>
      <c r="G126" s="197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74"/>
      <c r="V126" s="74"/>
      <c r="W126" s="74"/>
      <c r="X126" s="74"/>
      <c r="Y126" s="74"/>
      <c r="Z126" s="74"/>
    </row>
    <row r="127" spans="1:26" ht="25.5" customHeight="1">
      <c r="A127" s="74"/>
      <c r="B127" s="74"/>
      <c r="C127" s="74"/>
      <c r="D127" s="130"/>
      <c r="E127" s="130"/>
      <c r="F127" s="215"/>
      <c r="G127" s="197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74"/>
      <c r="V127" s="74"/>
      <c r="W127" s="74"/>
      <c r="X127" s="74"/>
      <c r="Y127" s="74"/>
      <c r="Z127" s="74"/>
    </row>
    <row r="128" spans="1:26" ht="25.5" customHeight="1">
      <c r="A128" s="74"/>
      <c r="B128" s="74"/>
      <c r="C128" s="74"/>
      <c r="D128" s="130"/>
      <c r="E128" s="130"/>
      <c r="F128" s="215"/>
      <c r="G128" s="197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74"/>
      <c r="V128" s="74"/>
      <c r="W128" s="74"/>
      <c r="X128" s="74"/>
      <c r="Y128" s="74"/>
      <c r="Z128" s="74"/>
    </row>
    <row r="129" spans="1:26" ht="25.5" customHeight="1">
      <c r="A129" s="74"/>
      <c r="B129" s="74"/>
      <c r="C129" s="74"/>
      <c r="D129" s="130"/>
      <c r="E129" s="130"/>
      <c r="F129" s="215"/>
      <c r="G129" s="197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74"/>
      <c r="V129" s="74"/>
      <c r="W129" s="74"/>
      <c r="X129" s="74"/>
      <c r="Y129" s="74"/>
      <c r="Z129" s="74"/>
    </row>
    <row r="130" spans="1:26" ht="25.5" customHeight="1">
      <c r="A130" s="74"/>
      <c r="B130" s="74"/>
      <c r="C130" s="74"/>
      <c r="D130" s="130"/>
      <c r="E130" s="130"/>
      <c r="F130" s="215"/>
      <c r="G130" s="197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74"/>
      <c r="V130" s="74"/>
      <c r="W130" s="74"/>
      <c r="X130" s="74"/>
      <c r="Y130" s="74"/>
      <c r="Z130" s="74"/>
    </row>
    <row r="131" spans="1:26" ht="25.5" customHeight="1">
      <c r="A131" s="74"/>
      <c r="B131" s="74"/>
      <c r="C131" s="74"/>
      <c r="D131" s="130"/>
      <c r="E131" s="130"/>
      <c r="F131" s="215"/>
      <c r="G131" s="197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74"/>
      <c r="V131" s="74"/>
      <c r="W131" s="74"/>
      <c r="X131" s="74"/>
      <c r="Y131" s="74"/>
      <c r="Z131" s="74"/>
    </row>
    <row r="132" spans="1:26" ht="25.5" customHeight="1">
      <c r="A132" s="74"/>
      <c r="B132" s="74"/>
      <c r="C132" s="74"/>
      <c r="D132" s="130"/>
      <c r="E132" s="130"/>
      <c r="F132" s="215"/>
      <c r="G132" s="197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74"/>
      <c r="V132" s="74"/>
      <c r="W132" s="74"/>
      <c r="X132" s="74"/>
      <c r="Y132" s="74"/>
      <c r="Z132" s="74"/>
    </row>
    <row r="133" spans="1:26" ht="25.5" customHeight="1">
      <c r="A133" s="74"/>
      <c r="B133" s="74"/>
      <c r="C133" s="74"/>
      <c r="D133" s="130"/>
      <c r="E133" s="130"/>
      <c r="F133" s="215"/>
      <c r="G133" s="197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74"/>
      <c r="V133" s="74"/>
      <c r="W133" s="74"/>
      <c r="X133" s="74"/>
      <c r="Y133" s="74"/>
      <c r="Z133" s="74"/>
    </row>
    <row r="134" spans="1:26" ht="25.5" customHeight="1">
      <c r="A134" s="74"/>
      <c r="B134" s="74"/>
      <c r="C134" s="74"/>
      <c r="D134" s="130"/>
      <c r="E134" s="130"/>
      <c r="F134" s="215"/>
      <c r="G134" s="197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74"/>
      <c r="V134" s="74"/>
      <c r="W134" s="74"/>
      <c r="X134" s="74"/>
      <c r="Y134" s="74"/>
      <c r="Z134" s="74"/>
    </row>
    <row r="135" spans="1:26" ht="25.5" customHeight="1">
      <c r="A135" s="74"/>
      <c r="B135" s="74"/>
      <c r="C135" s="74"/>
      <c r="D135" s="130"/>
      <c r="E135" s="130"/>
      <c r="F135" s="215"/>
      <c r="G135" s="197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74"/>
      <c r="V135" s="74"/>
      <c r="W135" s="74"/>
      <c r="X135" s="74"/>
      <c r="Y135" s="74"/>
      <c r="Z135" s="74"/>
    </row>
    <row r="136" spans="1:26" ht="25.5" customHeight="1">
      <c r="A136" s="74"/>
      <c r="B136" s="74"/>
      <c r="C136" s="74"/>
      <c r="D136" s="130"/>
      <c r="E136" s="130"/>
      <c r="F136" s="215"/>
      <c r="G136" s="197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74"/>
      <c r="V136" s="74"/>
      <c r="W136" s="74"/>
      <c r="X136" s="74"/>
      <c r="Y136" s="74"/>
      <c r="Z136" s="74"/>
    </row>
    <row r="137" spans="1:26" ht="25.5" customHeight="1">
      <c r="A137" s="74"/>
      <c r="B137" s="74"/>
      <c r="C137" s="74"/>
      <c r="D137" s="130"/>
      <c r="E137" s="130"/>
      <c r="F137" s="215"/>
      <c r="G137" s="197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74"/>
      <c r="V137" s="74"/>
      <c r="W137" s="74"/>
      <c r="X137" s="74"/>
      <c r="Y137" s="74"/>
      <c r="Z137" s="74"/>
    </row>
    <row r="138" spans="1:26" ht="25.5" customHeight="1">
      <c r="A138" s="74"/>
      <c r="B138" s="74"/>
      <c r="C138" s="74"/>
      <c r="D138" s="130"/>
      <c r="E138" s="130"/>
      <c r="F138" s="215"/>
      <c r="G138" s="197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74"/>
      <c r="V138" s="74"/>
      <c r="W138" s="74"/>
      <c r="X138" s="74"/>
      <c r="Y138" s="74"/>
      <c r="Z138" s="74"/>
    </row>
    <row r="139" spans="1:26" ht="25.5" customHeight="1">
      <c r="A139" s="74"/>
      <c r="B139" s="74"/>
      <c r="C139" s="74"/>
      <c r="D139" s="130"/>
      <c r="E139" s="130"/>
      <c r="F139" s="215"/>
      <c r="G139" s="197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74"/>
      <c r="V139" s="74"/>
      <c r="W139" s="74"/>
      <c r="X139" s="74"/>
      <c r="Y139" s="74"/>
      <c r="Z139" s="74"/>
    </row>
    <row r="140" spans="1:26" ht="25.5" customHeight="1">
      <c r="A140" s="74"/>
      <c r="B140" s="74"/>
      <c r="C140" s="74"/>
      <c r="D140" s="130"/>
      <c r="E140" s="130"/>
      <c r="F140" s="215"/>
      <c r="G140" s="197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74"/>
      <c r="V140" s="74"/>
      <c r="W140" s="74"/>
      <c r="X140" s="74"/>
      <c r="Y140" s="74"/>
      <c r="Z140" s="74"/>
    </row>
    <row r="141" spans="1:26" ht="25.5" customHeight="1">
      <c r="A141" s="74"/>
      <c r="B141" s="74"/>
      <c r="C141" s="74"/>
      <c r="D141" s="130"/>
      <c r="E141" s="130"/>
      <c r="F141" s="215"/>
      <c r="G141" s="197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74"/>
      <c r="V141" s="74"/>
      <c r="W141" s="74"/>
      <c r="X141" s="74"/>
      <c r="Y141" s="74"/>
      <c r="Z141" s="74"/>
    </row>
    <row r="142" spans="1:26" ht="25.5" customHeight="1">
      <c r="A142" s="74"/>
      <c r="B142" s="74"/>
      <c r="C142" s="74"/>
      <c r="D142" s="130"/>
      <c r="E142" s="130"/>
      <c r="F142" s="215"/>
      <c r="G142" s="197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74"/>
      <c r="V142" s="74"/>
      <c r="W142" s="74"/>
      <c r="X142" s="74"/>
      <c r="Y142" s="74"/>
      <c r="Z142" s="74"/>
    </row>
    <row r="143" spans="1:26" ht="25.5" customHeight="1">
      <c r="A143" s="74"/>
      <c r="B143" s="74"/>
      <c r="C143" s="74"/>
      <c r="D143" s="130"/>
      <c r="E143" s="130"/>
      <c r="F143" s="215"/>
      <c r="G143" s="197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74"/>
      <c r="V143" s="74"/>
      <c r="W143" s="74"/>
      <c r="X143" s="74"/>
      <c r="Y143" s="74"/>
      <c r="Z143" s="74"/>
    </row>
    <row r="144" spans="1:26" ht="25.5" customHeight="1">
      <c r="A144" s="74"/>
      <c r="B144" s="74"/>
      <c r="C144" s="74"/>
      <c r="D144" s="130"/>
      <c r="E144" s="130"/>
      <c r="F144" s="215"/>
      <c r="G144" s="197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74"/>
      <c r="V144" s="74"/>
      <c r="W144" s="74"/>
      <c r="X144" s="74"/>
      <c r="Y144" s="74"/>
      <c r="Z144" s="74"/>
    </row>
    <row r="145" spans="1:26" ht="25.5" customHeight="1">
      <c r="A145" s="74"/>
      <c r="B145" s="74"/>
      <c r="C145" s="74"/>
      <c r="D145" s="130"/>
      <c r="E145" s="130"/>
      <c r="F145" s="215"/>
      <c r="G145" s="197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74"/>
      <c r="V145" s="74"/>
      <c r="W145" s="74"/>
      <c r="X145" s="74"/>
      <c r="Y145" s="74"/>
      <c r="Z145" s="74"/>
    </row>
    <row r="146" spans="1:26" ht="25.5" customHeight="1">
      <c r="A146" s="74"/>
      <c r="B146" s="74"/>
      <c r="C146" s="74"/>
      <c r="D146" s="130"/>
      <c r="E146" s="130"/>
      <c r="F146" s="215"/>
      <c r="G146" s="197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74"/>
      <c r="V146" s="74"/>
      <c r="W146" s="74"/>
      <c r="X146" s="74"/>
      <c r="Y146" s="74"/>
      <c r="Z146" s="74"/>
    </row>
    <row r="147" spans="1:26" ht="25.5" customHeight="1">
      <c r="A147" s="74"/>
      <c r="B147" s="74"/>
      <c r="C147" s="74"/>
      <c r="D147" s="130"/>
      <c r="E147" s="130"/>
      <c r="F147" s="215"/>
      <c r="G147" s="197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74"/>
      <c r="V147" s="74"/>
      <c r="W147" s="74"/>
      <c r="X147" s="74"/>
      <c r="Y147" s="74"/>
      <c r="Z147" s="74"/>
    </row>
    <row r="148" spans="1:26" ht="25.5" customHeight="1">
      <c r="A148" s="74"/>
      <c r="B148" s="74"/>
      <c r="C148" s="74"/>
      <c r="D148" s="130"/>
      <c r="E148" s="130"/>
      <c r="F148" s="215"/>
      <c r="G148" s="197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74"/>
      <c r="V148" s="74"/>
      <c r="W148" s="74"/>
      <c r="X148" s="74"/>
      <c r="Y148" s="74"/>
      <c r="Z148" s="74"/>
    </row>
    <row r="149" spans="1:26" ht="25.5" customHeight="1">
      <c r="A149" s="74"/>
      <c r="B149" s="74"/>
      <c r="C149" s="74"/>
      <c r="D149" s="130"/>
      <c r="E149" s="130"/>
      <c r="F149" s="215"/>
      <c r="G149" s="197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74"/>
      <c r="V149" s="74"/>
      <c r="W149" s="74"/>
      <c r="X149" s="74"/>
      <c r="Y149" s="74"/>
      <c r="Z149" s="74"/>
    </row>
    <row r="150" spans="1:26" ht="25.5" customHeight="1">
      <c r="A150" s="74"/>
      <c r="B150" s="74"/>
      <c r="C150" s="74"/>
      <c r="D150" s="130"/>
      <c r="E150" s="130"/>
      <c r="F150" s="215"/>
      <c r="G150" s="197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74"/>
      <c r="V150" s="74"/>
      <c r="W150" s="74"/>
      <c r="X150" s="74"/>
      <c r="Y150" s="74"/>
      <c r="Z150" s="74"/>
    </row>
    <row r="151" spans="1:26" ht="25.5" customHeight="1">
      <c r="A151" s="74"/>
      <c r="B151" s="74"/>
      <c r="C151" s="74"/>
      <c r="D151" s="130"/>
      <c r="E151" s="130"/>
      <c r="F151" s="215"/>
      <c r="G151" s="197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74"/>
      <c r="V151" s="74"/>
      <c r="W151" s="74"/>
      <c r="X151" s="74"/>
      <c r="Y151" s="74"/>
      <c r="Z151" s="74"/>
    </row>
    <row r="152" spans="1:26" ht="25.5" customHeight="1">
      <c r="A152" s="74"/>
      <c r="B152" s="74"/>
      <c r="C152" s="74"/>
      <c r="D152" s="130"/>
      <c r="E152" s="130"/>
      <c r="F152" s="215"/>
      <c r="G152" s="197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74"/>
      <c r="V152" s="74"/>
      <c r="W152" s="74"/>
      <c r="X152" s="74"/>
      <c r="Y152" s="74"/>
      <c r="Z152" s="74"/>
    </row>
    <row r="153" spans="1:26" ht="25.5" customHeight="1">
      <c r="A153" s="74"/>
      <c r="B153" s="74"/>
      <c r="C153" s="74"/>
      <c r="D153" s="130"/>
      <c r="E153" s="130"/>
      <c r="F153" s="215"/>
      <c r="G153" s="197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74"/>
      <c r="V153" s="74"/>
      <c r="W153" s="74"/>
      <c r="X153" s="74"/>
      <c r="Y153" s="74"/>
      <c r="Z153" s="74"/>
    </row>
    <row r="154" spans="1:26" ht="25.5" customHeight="1">
      <c r="A154" s="74"/>
      <c r="B154" s="74"/>
      <c r="C154" s="74"/>
      <c r="D154" s="130"/>
      <c r="E154" s="130"/>
      <c r="F154" s="215"/>
      <c r="G154" s="197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74"/>
      <c r="V154" s="74"/>
      <c r="W154" s="74"/>
      <c r="X154" s="74"/>
      <c r="Y154" s="74"/>
      <c r="Z154" s="74"/>
    </row>
    <row r="155" spans="1:26" ht="25.5" customHeight="1">
      <c r="A155" s="74"/>
      <c r="B155" s="74"/>
      <c r="C155" s="74"/>
      <c r="D155" s="130"/>
      <c r="E155" s="130"/>
      <c r="F155" s="215"/>
      <c r="G155" s="197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74"/>
      <c r="V155" s="74"/>
      <c r="W155" s="74"/>
      <c r="X155" s="74"/>
      <c r="Y155" s="74"/>
      <c r="Z155" s="74"/>
    </row>
    <row r="156" spans="1:26" ht="25.5" customHeight="1">
      <c r="A156" s="74"/>
      <c r="B156" s="74"/>
      <c r="C156" s="74"/>
      <c r="D156" s="130"/>
      <c r="E156" s="130"/>
      <c r="F156" s="215"/>
      <c r="G156" s="197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74"/>
      <c r="V156" s="74"/>
      <c r="W156" s="74"/>
      <c r="X156" s="74"/>
      <c r="Y156" s="74"/>
      <c r="Z156" s="74"/>
    </row>
    <row r="157" spans="1:26" ht="25.5" customHeight="1">
      <c r="A157" s="74"/>
      <c r="B157" s="74"/>
      <c r="C157" s="74"/>
      <c r="D157" s="130"/>
      <c r="E157" s="130"/>
      <c r="F157" s="215"/>
      <c r="G157" s="197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74"/>
      <c r="V157" s="74"/>
      <c r="W157" s="74"/>
      <c r="X157" s="74"/>
      <c r="Y157" s="74"/>
      <c r="Z157" s="74"/>
    </row>
    <row r="158" spans="1:26" ht="25.5" customHeight="1">
      <c r="A158" s="74"/>
      <c r="B158" s="74"/>
      <c r="C158" s="74"/>
      <c r="D158" s="130"/>
      <c r="E158" s="130"/>
      <c r="F158" s="215"/>
      <c r="G158" s="197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74"/>
      <c r="V158" s="74"/>
      <c r="W158" s="74"/>
      <c r="X158" s="74"/>
      <c r="Y158" s="74"/>
      <c r="Z158" s="74"/>
    </row>
    <row r="159" spans="1:26" ht="25.5" customHeight="1">
      <c r="A159" s="74"/>
      <c r="B159" s="74"/>
      <c r="C159" s="74"/>
      <c r="D159" s="130"/>
      <c r="E159" s="130"/>
      <c r="F159" s="215"/>
      <c r="G159" s="197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74"/>
      <c r="V159" s="74"/>
      <c r="W159" s="74"/>
      <c r="X159" s="74"/>
      <c r="Y159" s="74"/>
      <c r="Z159" s="74"/>
    </row>
    <row r="160" spans="1:26" ht="25.5" customHeight="1">
      <c r="A160" s="74"/>
      <c r="B160" s="74"/>
      <c r="C160" s="74"/>
      <c r="D160" s="130"/>
      <c r="E160" s="130"/>
      <c r="F160" s="215"/>
      <c r="G160" s="197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74"/>
      <c r="V160" s="74"/>
      <c r="W160" s="74"/>
      <c r="X160" s="74"/>
      <c r="Y160" s="74"/>
      <c r="Z160" s="74"/>
    </row>
    <row r="161" spans="1:26" ht="25.5" customHeight="1">
      <c r="A161" s="74"/>
      <c r="B161" s="74"/>
      <c r="C161" s="74"/>
      <c r="D161" s="130"/>
      <c r="E161" s="130"/>
      <c r="F161" s="215"/>
      <c r="G161" s="197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74"/>
      <c r="V161" s="74"/>
      <c r="W161" s="74"/>
      <c r="X161" s="74"/>
      <c r="Y161" s="74"/>
      <c r="Z161" s="74"/>
    </row>
    <row r="162" spans="1:26" ht="25.5" customHeight="1">
      <c r="A162" s="74"/>
      <c r="B162" s="74"/>
      <c r="C162" s="74"/>
      <c r="D162" s="130"/>
      <c r="E162" s="130"/>
      <c r="F162" s="215"/>
      <c r="G162" s="197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74"/>
      <c r="V162" s="74"/>
      <c r="W162" s="74"/>
      <c r="X162" s="74"/>
      <c r="Y162" s="74"/>
      <c r="Z162" s="74"/>
    </row>
    <row r="163" spans="1:26" ht="25.5" customHeight="1">
      <c r="A163" s="74"/>
      <c r="B163" s="74"/>
      <c r="C163" s="74"/>
      <c r="D163" s="130"/>
      <c r="E163" s="130"/>
      <c r="F163" s="215"/>
      <c r="G163" s="197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74"/>
      <c r="V163" s="74"/>
      <c r="W163" s="74"/>
      <c r="X163" s="74"/>
      <c r="Y163" s="74"/>
      <c r="Z163" s="74"/>
    </row>
    <row r="164" spans="1:26" ht="25.5" customHeight="1">
      <c r="A164" s="74"/>
      <c r="B164" s="74"/>
      <c r="C164" s="74"/>
      <c r="D164" s="130"/>
      <c r="E164" s="130"/>
      <c r="F164" s="215"/>
      <c r="G164" s="197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74"/>
      <c r="V164" s="74"/>
      <c r="W164" s="74"/>
      <c r="X164" s="74"/>
      <c r="Y164" s="74"/>
      <c r="Z164" s="74"/>
    </row>
    <row r="165" spans="1:26" ht="25.5" customHeight="1">
      <c r="A165" s="74"/>
      <c r="B165" s="74"/>
      <c r="C165" s="74"/>
      <c r="D165" s="130"/>
      <c r="E165" s="130"/>
      <c r="F165" s="215"/>
      <c r="G165" s="197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74"/>
      <c r="V165" s="74"/>
      <c r="W165" s="74"/>
      <c r="X165" s="74"/>
      <c r="Y165" s="74"/>
      <c r="Z165" s="74"/>
    </row>
    <row r="166" spans="1:26" ht="25.5" customHeight="1">
      <c r="A166" s="74"/>
      <c r="B166" s="74"/>
      <c r="C166" s="74"/>
      <c r="D166" s="130"/>
      <c r="E166" s="130"/>
      <c r="F166" s="215"/>
      <c r="G166" s="197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74"/>
      <c r="V166" s="74"/>
      <c r="W166" s="74"/>
      <c r="X166" s="74"/>
      <c r="Y166" s="74"/>
      <c r="Z166" s="74"/>
    </row>
    <row r="167" spans="1:26" ht="25.5" customHeight="1">
      <c r="A167" s="74"/>
      <c r="B167" s="74"/>
      <c r="C167" s="74"/>
      <c r="D167" s="130"/>
      <c r="E167" s="130"/>
      <c r="F167" s="215"/>
      <c r="G167" s="197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74"/>
      <c r="V167" s="74"/>
      <c r="W167" s="74"/>
      <c r="X167" s="74"/>
      <c r="Y167" s="74"/>
      <c r="Z167" s="74"/>
    </row>
    <row r="168" spans="1:26" ht="25.5" customHeight="1">
      <c r="A168" s="74"/>
      <c r="B168" s="74"/>
      <c r="C168" s="74"/>
      <c r="D168" s="130"/>
      <c r="E168" s="130"/>
      <c r="F168" s="215"/>
      <c r="G168" s="197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74"/>
      <c r="V168" s="74"/>
      <c r="W168" s="74"/>
      <c r="X168" s="74"/>
      <c r="Y168" s="74"/>
      <c r="Z168" s="74"/>
    </row>
    <row r="169" spans="1:26" ht="25.5" customHeight="1">
      <c r="A169" s="74"/>
      <c r="B169" s="74"/>
      <c r="C169" s="74"/>
      <c r="D169" s="130"/>
      <c r="E169" s="130"/>
      <c r="F169" s="215"/>
      <c r="G169" s="197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74"/>
      <c r="V169" s="74"/>
      <c r="W169" s="74"/>
      <c r="X169" s="74"/>
      <c r="Y169" s="74"/>
      <c r="Z169" s="74"/>
    </row>
    <row r="170" spans="1:26" ht="25.5" customHeight="1">
      <c r="A170" s="74"/>
      <c r="B170" s="74"/>
      <c r="C170" s="74"/>
      <c r="D170" s="130"/>
      <c r="E170" s="130"/>
      <c r="F170" s="215"/>
      <c r="G170" s="197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74"/>
      <c r="V170" s="74"/>
      <c r="W170" s="74"/>
      <c r="X170" s="74"/>
      <c r="Y170" s="74"/>
      <c r="Z170" s="74"/>
    </row>
    <row r="171" spans="1:26" ht="25.5" customHeight="1">
      <c r="A171" s="74"/>
      <c r="B171" s="74"/>
      <c r="C171" s="74"/>
      <c r="D171" s="130"/>
      <c r="E171" s="130"/>
      <c r="F171" s="215"/>
      <c r="G171" s="197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74"/>
      <c r="V171" s="74"/>
      <c r="W171" s="74"/>
      <c r="X171" s="74"/>
      <c r="Y171" s="74"/>
      <c r="Z171" s="74"/>
    </row>
    <row r="172" spans="1:26" ht="25.5" customHeight="1">
      <c r="A172" s="74"/>
      <c r="B172" s="74"/>
      <c r="C172" s="74"/>
      <c r="D172" s="130"/>
      <c r="E172" s="130"/>
      <c r="F172" s="215"/>
      <c r="G172" s="197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74"/>
      <c r="V172" s="74"/>
      <c r="W172" s="74"/>
      <c r="X172" s="74"/>
      <c r="Y172" s="74"/>
      <c r="Z172" s="74"/>
    </row>
    <row r="173" spans="1:26" ht="25.5" customHeight="1">
      <c r="A173" s="74"/>
      <c r="B173" s="74"/>
      <c r="C173" s="74"/>
      <c r="D173" s="130"/>
      <c r="E173" s="130"/>
      <c r="F173" s="215"/>
      <c r="G173" s="197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74"/>
      <c r="V173" s="74"/>
      <c r="W173" s="74"/>
      <c r="X173" s="74"/>
      <c r="Y173" s="74"/>
      <c r="Z173" s="74"/>
    </row>
    <row r="174" spans="1:26" ht="25.5" customHeight="1">
      <c r="A174" s="74"/>
      <c r="B174" s="74"/>
      <c r="C174" s="74"/>
      <c r="D174" s="130"/>
      <c r="E174" s="130"/>
      <c r="F174" s="215"/>
      <c r="G174" s="197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74"/>
      <c r="V174" s="74"/>
      <c r="W174" s="74"/>
      <c r="X174" s="74"/>
      <c r="Y174" s="74"/>
      <c r="Z174" s="74"/>
    </row>
    <row r="175" spans="1:26" ht="25.5" customHeight="1">
      <c r="A175" s="74"/>
      <c r="B175" s="74"/>
      <c r="C175" s="74"/>
      <c r="D175" s="130"/>
      <c r="E175" s="130"/>
      <c r="F175" s="215"/>
      <c r="G175" s="197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74"/>
      <c r="V175" s="74"/>
      <c r="W175" s="74"/>
      <c r="X175" s="74"/>
      <c r="Y175" s="74"/>
      <c r="Z175" s="74"/>
    </row>
    <row r="176" spans="1:26" ht="25.5" customHeight="1">
      <c r="A176" s="74"/>
      <c r="B176" s="74"/>
      <c r="C176" s="74"/>
      <c r="D176" s="130"/>
      <c r="E176" s="130"/>
      <c r="F176" s="215"/>
      <c r="G176" s="197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74"/>
      <c r="V176" s="74"/>
      <c r="W176" s="74"/>
      <c r="X176" s="74"/>
      <c r="Y176" s="74"/>
      <c r="Z176" s="74"/>
    </row>
    <row r="177" spans="1:26" ht="25.5" customHeight="1">
      <c r="A177" s="74"/>
      <c r="B177" s="74"/>
      <c r="C177" s="74"/>
      <c r="D177" s="130"/>
      <c r="E177" s="130"/>
      <c r="F177" s="215"/>
      <c r="G177" s="197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74"/>
      <c r="V177" s="74"/>
      <c r="W177" s="74"/>
      <c r="X177" s="74"/>
      <c r="Y177" s="74"/>
      <c r="Z177" s="74"/>
    </row>
    <row r="178" spans="1:26" ht="25.5" customHeight="1">
      <c r="A178" s="74"/>
      <c r="B178" s="74"/>
      <c r="C178" s="74"/>
      <c r="D178" s="130"/>
      <c r="E178" s="130"/>
      <c r="F178" s="215"/>
      <c r="G178" s="197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74"/>
      <c r="V178" s="74"/>
      <c r="W178" s="74"/>
      <c r="X178" s="74"/>
      <c r="Y178" s="74"/>
      <c r="Z178" s="74"/>
    </row>
    <row r="179" spans="1:26" ht="25.5" customHeight="1">
      <c r="A179" s="74"/>
      <c r="B179" s="74"/>
      <c r="C179" s="74"/>
      <c r="D179" s="130"/>
      <c r="E179" s="130"/>
      <c r="F179" s="215"/>
      <c r="G179" s="197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74"/>
      <c r="V179" s="74"/>
      <c r="W179" s="74"/>
      <c r="X179" s="74"/>
      <c r="Y179" s="74"/>
      <c r="Z179" s="74"/>
    </row>
    <row r="180" spans="1:26" ht="25.5" customHeight="1">
      <c r="A180" s="74"/>
      <c r="B180" s="74"/>
      <c r="C180" s="74"/>
      <c r="D180" s="130"/>
      <c r="E180" s="130"/>
      <c r="F180" s="215"/>
      <c r="G180" s="197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74"/>
      <c r="V180" s="74"/>
      <c r="W180" s="74"/>
      <c r="X180" s="74"/>
      <c r="Y180" s="74"/>
      <c r="Z180" s="74"/>
    </row>
    <row r="181" spans="1:26" ht="25.5" customHeight="1">
      <c r="A181" s="74"/>
      <c r="B181" s="74"/>
      <c r="C181" s="74"/>
      <c r="D181" s="130"/>
      <c r="E181" s="130"/>
      <c r="F181" s="215"/>
      <c r="G181" s="197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74"/>
      <c r="V181" s="74"/>
      <c r="W181" s="74"/>
      <c r="X181" s="74"/>
      <c r="Y181" s="74"/>
      <c r="Z181" s="74"/>
    </row>
    <row r="182" spans="1:26" ht="25.5" customHeight="1">
      <c r="A182" s="74"/>
      <c r="B182" s="74"/>
      <c r="C182" s="74"/>
      <c r="D182" s="130"/>
      <c r="E182" s="130"/>
      <c r="F182" s="215"/>
      <c r="G182" s="197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74"/>
      <c r="V182" s="74"/>
      <c r="W182" s="74"/>
      <c r="X182" s="74"/>
      <c r="Y182" s="74"/>
      <c r="Z182" s="74"/>
    </row>
    <row r="183" spans="1:26" ht="25.5" customHeight="1">
      <c r="A183" s="74"/>
      <c r="B183" s="74"/>
      <c r="C183" s="74"/>
      <c r="D183" s="130"/>
      <c r="E183" s="130"/>
      <c r="F183" s="215"/>
      <c r="G183" s="197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74"/>
      <c r="V183" s="74"/>
      <c r="W183" s="74"/>
      <c r="X183" s="74"/>
      <c r="Y183" s="74"/>
      <c r="Z183" s="74"/>
    </row>
    <row r="184" spans="1:26" ht="25.5" customHeight="1">
      <c r="A184" s="74"/>
      <c r="B184" s="74"/>
      <c r="C184" s="74"/>
      <c r="D184" s="130"/>
      <c r="E184" s="130"/>
      <c r="F184" s="215"/>
      <c r="G184" s="197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74"/>
      <c r="V184" s="74"/>
      <c r="W184" s="74"/>
      <c r="X184" s="74"/>
      <c r="Y184" s="74"/>
      <c r="Z184" s="74"/>
    </row>
    <row r="185" spans="1:26" ht="25.5" customHeight="1">
      <c r="A185" s="74"/>
      <c r="B185" s="74"/>
      <c r="C185" s="74"/>
      <c r="D185" s="130"/>
      <c r="E185" s="130"/>
      <c r="F185" s="215"/>
      <c r="G185" s="197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74"/>
      <c r="V185" s="74"/>
      <c r="W185" s="74"/>
      <c r="X185" s="74"/>
      <c r="Y185" s="74"/>
      <c r="Z185" s="74"/>
    </row>
    <row r="186" spans="1:26" ht="25.5" customHeight="1">
      <c r="A186" s="74"/>
      <c r="B186" s="74"/>
      <c r="C186" s="74"/>
      <c r="D186" s="130"/>
      <c r="E186" s="130"/>
      <c r="F186" s="215"/>
      <c r="G186" s="197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74"/>
      <c r="V186" s="74"/>
      <c r="W186" s="74"/>
      <c r="X186" s="74"/>
      <c r="Y186" s="74"/>
      <c r="Z186" s="74"/>
    </row>
    <row r="187" spans="1:26" ht="25.5" customHeight="1">
      <c r="A187" s="74"/>
      <c r="B187" s="74"/>
      <c r="C187" s="74"/>
      <c r="D187" s="130"/>
      <c r="E187" s="130"/>
      <c r="F187" s="215"/>
      <c r="G187" s="197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74"/>
      <c r="V187" s="74"/>
      <c r="W187" s="74"/>
      <c r="X187" s="74"/>
      <c r="Y187" s="74"/>
      <c r="Z187" s="74"/>
    </row>
    <row r="188" spans="1:26" ht="25.5" customHeight="1">
      <c r="A188" s="74"/>
      <c r="B188" s="74"/>
      <c r="C188" s="74"/>
      <c r="D188" s="130"/>
      <c r="E188" s="130"/>
      <c r="F188" s="215"/>
      <c r="G188" s="197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74"/>
      <c r="V188" s="74"/>
      <c r="W188" s="74"/>
      <c r="X188" s="74"/>
      <c r="Y188" s="74"/>
      <c r="Z188" s="74"/>
    </row>
    <row r="189" spans="1:26" ht="25.5" customHeight="1">
      <c r="A189" s="74"/>
      <c r="B189" s="74"/>
      <c r="C189" s="74"/>
      <c r="D189" s="130"/>
      <c r="E189" s="130"/>
      <c r="F189" s="215"/>
      <c r="G189" s="197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74"/>
      <c r="V189" s="74"/>
      <c r="W189" s="74"/>
      <c r="X189" s="74"/>
      <c r="Y189" s="74"/>
      <c r="Z189" s="74"/>
    </row>
    <row r="190" spans="1:26" ht="25.5" customHeight="1">
      <c r="A190" s="74"/>
      <c r="B190" s="74"/>
      <c r="C190" s="74"/>
      <c r="D190" s="130"/>
      <c r="E190" s="130"/>
      <c r="F190" s="215"/>
      <c r="G190" s="197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74"/>
      <c r="V190" s="74"/>
      <c r="W190" s="74"/>
      <c r="X190" s="74"/>
      <c r="Y190" s="74"/>
      <c r="Z190" s="74"/>
    </row>
    <row r="191" spans="1:26" ht="25.5" customHeight="1">
      <c r="A191" s="74"/>
      <c r="B191" s="74"/>
      <c r="C191" s="74"/>
      <c r="D191" s="130"/>
      <c r="E191" s="130"/>
      <c r="F191" s="215"/>
      <c r="G191" s="197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74"/>
      <c r="V191" s="74"/>
      <c r="W191" s="74"/>
      <c r="X191" s="74"/>
      <c r="Y191" s="74"/>
      <c r="Z191" s="74"/>
    </row>
    <row r="192" spans="1:26" ht="25.5" customHeight="1">
      <c r="A192" s="74"/>
      <c r="B192" s="74"/>
      <c r="C192" s="74"/>
      <c r="D192" s="130"/>
      <c r="E192" s="130"/>
      <c r="F192" s="215"/>
      <c r="G192" s="197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74"/>
      <c r="V192" s="74"/>
      <c r="W192" s="74"/>
      <c r="X192" s="74"/>
      <c r="Y192" s="74"/>
      <c r="Z192" s="74"/>
    </row>
    <row r="193" spans="1:26" ht="25.5" customHeight="1">
      <c r="A193" s="74"/>
      <c r="B193" s="74"/>
      <c r="C193" s="74"/>
      <c r="D193" s="130"/>
      <c r="E193" s="130"/>
      <c r="F193" s="215"/>
      <c r="G193" s="197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74"/>
      <c r="V193" s="74"/>
      <c r="W193" s="74"/>
      <c r="X193" s="74"/>
      <c r="Y193" s="74"/>
      <c r="Z193" s="74"/>
    </row>
    <row r="194" spans="1:26" ht="25.5" customHeight="1">
      <c r="A194" s="74"/>
      <c r="B194" s="74"/>
      <c r="C194" s="74"/>
      <c r="D194" s="130"/>
      <c r="E194" s="130"/>
      <c r="F194" s="215"/>
      <c r="G194" s="197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74"/>
      <c r="V194" s="74"/>
      <c r="W194" s="74"/>
      <c r="X194" s="74"/>
      <c r="Y194" s="74"/>
      <c r="Z194" s="74"/>
    </row>
    <row r="195" spans="1:26" ht="25.5" customHeight="1">
      <c r="A195" s="74"/>
      <c r="B195" s="74"/>
      <c r="C195" s="74"/>
      <c r="D195" s="130"/>
      <c r="E195" s="130"/>
      <c r="F195" s="215"/>
      <c r="G195" s="197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74"/>
      <c r="V195" s="74"/>
      <c r="W195" s="74"/>
      <c r="X195" s="74"/>
      <c r="Y195" s="74"/>
      <c r="Z195" s="74"/>
    </row>
    <row r="196" spans="1:26" ht="25.5" customHeight="1">
      <c r="A196" s="74"/>
      <c r="B196" s="74"/>
      <c r="C196" s="74"/>
      <c r="D196" s="130"/>
      <c r="E196" s="130"/>
      <c r="F196" s="215"/>
      <c r="G196" s="197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74"/>
      <c r="V196" s="74"/>
      <c r="W196" s="74"/>
      <c r="X196" s="74"/>
      <c r="Y196" s="74"/>
      <c r="Z196" s="74"/>
    </row>
    <row r="197" spans="1:26" ht="25.5" customHeight="1">
      <c r="A197" s="74"/>
      <c r="B197" s="74"/>
      <c r="C197" s="74"/>
      <c r="D197" s="130"/>
      <c r="E197" s="130"/>
      <c r="F197" s="215"/>
      <c r="G197" s="197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74"/>
      <c r="V197" s="74"/>
      <c r="W197" s="74"/>
      <c r="X197" s="74"/>
      <c r="Y197" s="74"/>
      <c r="Z197" s="74"/>
    </row>
    <row r="198" spans="1:26" ht="25.5" customHeight="1">
      <c r="A198" s="74"/>
      <c r="B198" s="74"/>
      <c r="C198" s="74"/>
      <c r="D198" s="130"/>
      <c r="E198" s="130"/>
      <c r="F198" s="215"/>
      <c r="G198" s="197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74"/>
      <c r="V198" s="74"/>
      <c r="W198" s="74"/>
      <c r="X198" s="74"/>
      <c r="Y198" s="74"/>
      <c r="Z198" s="74"/>
    </row>
    <row r="199" spans="1:26" ht="25.5" customHeight="1">
      <c r="A199" s="74"/>
      <c r="B199" s="74"/>
      <c r="C199" s="74"/>
      <c r="D199" s="130"/>
      <c r="E199" s="130"/>
      <c r="F199" s="215"/>
      <c r="G199" s="197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74"/>
      <c r="V199" s="74"/>
      <c r="W199" s="74"/>
      <c r="X199" s="74"/>
      <c r="Y199" s="74"/>
      <c r="Z199" s="74"/>
    </row>
    <row r="200" spans="1:26" ht="25.5" customHeight="1">
      <c r="A200" s="74"/>
      <c r="B200" s="74"/>
      <c r="C200" s="74"/>
      <c r="D200" s="130"/>
      <c r="E200" s="130"/>
      <c r="F200" s="215"/>
      <c r="G200" s="197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74"/>
      <c r="V200" s="74"/>
      <c r="W200" s="74"/>
      <c r="X200" s="74"/>
      <c r="Y200" s="74"/>
      <c r="Z200" s="74"/>
    </row>
    <row r="201" spans="1:26" ht="25.5" customHeight="1">
      <c r="A201" s="74"/>
      <c r="B201" s="74"/>
      <c r="C201" s="74"/>
      <c r="D201" s="130"/>
      <c r="E201" s="130"/>
      <c r="F201" s="215"/>
      <c r="G201" s="197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74"/>
      <c r="V201" s="74"/>
      <c r="W201" s="74"/>
      <c r="X201" s="74"/>
      <c r="Y201" s="74"/>
      <c r="Z201" s="74"/>
    </row>
    <row r="202" spans="1:26" ht="25.5" customHeight="1">
      <c r="A202" s="74"/>
      <c r="B202" s="74"/>
      <c r="C202" s="74"/>
      <c r="D202" s="130"/>
      <c r="E202" s="130"/>
      <c r="F202" s="215"/>
      <c r="G202" s="197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74"/>
      <c r="V202" s="74"/>
      <c r="W202" s="74"/>
      <c r="X202" s="74"/>
      <c r="Y202" s="74"/>
      <c r="Z202" s="74"/>
    </row>
    <row r="203" spans="1:26" ht="25.5" customHeight="1">
      <c r="A203" s="74"/>
      <c r="B203" s="74"/>
      <c r="C203" s="74"/>
      <c r="D203" s="130"/>
      <c r="E203" s="130"/>
      <c r="F203" s="215"/>
      <c r="G203" s="197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74"/>
      <c r="V203" s="74"/>
      <c r="W203" s="74"/>
      <c r="X203" s="74"/>
      <c r="Y203" s="74"/>
      <c r="Z203" s="74"/>
    </row>
    <row r="204" spans="1:26" ht="25.5" customHeight="1">
      <c r="A204" s="74"/>
      <c r="B204" s="74"/>
      <c r="C204" s="74"/>
      <c r="D204" s="130"/>
      <c r="E204" s="130"/>
      <c r="F204" s="215"/>
      <c r="G204" s="197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74"/>
      <c r="V204" s="74"/>
      <c r="W204" s="74"/>
      <c r="X204" s="74"/>
      <c r="Y204" s="74"/>
      <c r="Z204" s="74"/>
    </row>
    <row r="205" spans="1:26" ht="25.5" customHeight="1">
      <c r="A205" s="74"/>
      <c r="B205" s="74"/>
      <c r="C205" s="74"/>
      <c r="D205" s="130"/>
      <c r="E205" s="130"/>
      <c r="F205" s="215"/>
      <c r="G205" s="197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74"/>
      <c r="V205" s="74"/>
      <c r="W205" s="74"/>
      <c r="X205" s="74"/>
      <c r="Y205" s="74"/>
      <c r="Z205" s="74"/>
    </row>
    <row r="206" spans="1:26" ht="25.5" customHeight="1">
      <c r="A206" s="74"/>
      <c r="B206" s="74"/>
      <c r="C206" s="74"/>
      <c r="D206" s="130"/>
      <c r="E206" s="130"/>
      <c r="F206" s="215"/>
      <c r="G206" s="197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74"/>
      <c r="V206" s="74"/>
      <c r="W206" s="74"/>
      <c r="X206" s="74"/>
      <c r="Y206" s="74"/>
      <c r="Z206" s="74"/>
    </row>
    <row r="207" spans="1:26" ht="25.5" customHeight="1">
      <c r="A207" s="74"/>
      <c r="B207" s="74"/>
      <c r="C207" s="74"/>
      <c r="D207" s="130"/>
      <c r="E207" s="130"/>
      <c r="F207" s="215"/>
      <c r="G207" s="197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74"/>
      <c r="V207" s="74"/>
      <c r="W207" s="74"/>
      <c r="X207" s="74"/>
      <c r="Y207" s="74"/>
      <c r="Z207" s="74"/>
    </row>
    <row r="208" spans="1:26" ht="25.5" customHeight="1">
      <c r="A208" s="74"/>
      <c r="B208" s="74"/>
      <c r="C208" s="74"/>
      <c r="D208" s="130"/>
      <c r="E208" s="130"/>
      <c r="F208" s="215"/>
      <c r="G208" s="197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74"/>
      <c r="V208" s="74"/>
      <c r="W208" s="74"/>
      <c r="X208" s="74"/>
      <c r="Y208" s="74"/>
      <c r="Z208" s="74"/>
    </row>
    <row r="209" spans="1:26" ht="25.5" customHeight="1">
      <c r="A209" s="74"/>
      <c r="B209" s="74"/>
      <c r="C209" s="74"/>
      <c r="D209" s="130"/>
      <c r="E209" s="130"/>
      <c r="F209" s="215"/>
      <c r="G209" s="197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74"/>
      <c r="V209" s="74"/>
      <c r="W209" s="74"/>
      <c r="X209" s="74"/>
      <c r="Y209" s="74"/>
      <c r="Z209" s="74"/>
    </row>
    <row r="210" spans="1:26" ht="25.5" customHeight="1">
      <c r="A210" s="74"/>
      <c r="B210" s="74"/>
      <c r="C210" s="74"/>
      <c r="D210" s="130"/>
      <c r="E210" s="130"/>
      <c r="F210" s="215"/>
      <c r="G210" s="197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74"/>
      <c r="V210" s="74"/>
      <c r="W210" s="74"/>
      <c r="X210" s="74"/>
      <c r="Y210" s="74"/>
      <c r="Z210" s="74"/>
    </row>
    <row r="211" spans="1:26" ht="25.5" customHeight="1">
      <c r="A211" s="74"/>
      <c r="B211" s="74"/>
      <c r="C211" s="74"/>
      <c r="D211" s="130"/>
      <c r="E211" s="130"/>
      <c r="F211" s="215"/>
      <c r="G211" s="197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74"/>
      <c r="V211" s="74"/>
      <c r="W211" s="74"/>
      <c r="X211" s="74"/>
      <c r="Y211" s="74"/>
      <c r="Z211" s="74"/>
    </row>
    <row r="212" spans="1:26" ht="25.5" customHeight="1">
      <c r="A212" s="74"/>
      <c r="B212" s="74"/>
      <c r="C212" s="74"/>
      <c r="D212" s="130"/>
      <c r="E212" s="130"/>
      <c r="F212" s="215"/>
      <c r="G212" s="197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74"/>
      <c r="V212" s="74"/>
      <c r="W212" s="74"/>
      <c r="X212" s="74"/>
      <c r="Y212" s="74"/>
      <c r="Z212" s="74"/>
    </row>
    <row r="213" spans="1:26" ht="25.5" customHeight="1">
      <c r="A213" s="74"/>
      <c r="B213" s="74"/>
      <c r="C213" s="74"/>
      <c r="D213" s="130"/>
      <c r="E213" s="130"/>
      <c r="F213" s="215"/>
      <c r="G213" s="197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74"/>
      <c r="V213" s="74"/>
      <c r="W213" s="74"/>
      <c r="X213" s="74"/>
      <c r="Y213" s="74"/>
      <c r="Z213" s="74"/>
    </row>
    <row r="214" spans="1:26" ht="25.5" customHeight="1">
      <c r="A214" s="74"/>
      <c r="B214" s="74"/>
      <c r="C214" s="74"/>
      <c r="D214" s="130"/>
      <c r="E214" s="130"/>
      <c r="F214" s="215"/>
      <c r="G214" s="197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74"/>
      <c r="V214" s="74"/>
      <c r="W214" s="74"/>
      <c r="X214" s="74"/>
      <c r="Y214" s="74"/>
      <c r="Z214" s="74"/>
    </row>
    <row r="215" spans="1:26" ht="25.5" customHeight="1">
      <c r="A215" s="74"/>
      <c r="B215" s="74"/>
      <c r="C215" s="74"/>
      <c r="D215" s="130"/>
      <c r="E215" s="130"/>
      <c r="F215" s="215"/>
      <c r="G215" s="197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74"/>
      <c r="V215" s="74"/>
      <c r="W215" s="74"/>
      <c r="X215" s="74"/>
      <c r="Y215" s="74"/>
      <c r="Z215" s="74"/>
    </row>
    <row r="216" spans="1:26" ht="25.5" customHeight="1">
      <c r="A216" s="74"/>
      <c r="B216" s="74"/>
      <c r="C216" s="74"/>
      <c r="D216" s="130"/>
      <c r="E216" s="130"/>
      <c r="F216" s="215"/>
      <c r="G216" s="197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74"/>
      <c r="V216" s="74"/>
      <c r="W216" s="74"/>
      <c r="X216" s="74"/>
      <c r="Y216" s="74"/>
      <c r="Z216" s="74"/>
    </row>
    <row r="217" spans="1:26" ht="25.5" customHeight="1">
      <c r="A217" s="74"/>
      <c r="B217" s="74"/>
      <c r="C217" s="74"/>
      <c r="D217" s="130"/>
      <c r="E217" s="130"/>
      <c r="F217" s="215"/>
      <c r="G217" s="197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74"/>
      <c r="V217" s="74"/>
      <c r="W217" s="74"/>
      <c r="X217" s="74"/>
      <c r="Y217" s="74"/>
      <c r="Z217" s="74"/>
    </row>
    <row r="218" spans="1:26" ht="25.5" customHeight="1">
      <c r="A218" s="74"/>
      <c r="B218" s="74"/>
      <c r="C218" s="74"/>
      <c r="D218" s="130"/>
      <c r="E218" s="130"/>
      <c r="F218" s="215"/>
      <c r="G218" s="197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74"/>
      <c r="V218" s="74"/>
      <c r="W218" s="74"/>
      <c r="X218" s="74"/>
      <c r="Y218" s="74"/>
      <c r="Z218" s="74"/>
    </row>
    <row r="219" spans="1:26" ht="25.5" customHeight="1">
      <c r="A219" s="74"/>
      <c r="B219" s="74"/>
      <c r="C219" s="74"/>
      <c r="D219" s="130"/>
      <c r="E219" s="130"/>
      <c r="F219" s="215"/>
      <c r="G219" s="197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74"/>
      <c r="V219" s="74"/>
      <c r="W219" s="74"/>
      <c r="X219" s="74"/>
      <c r="Y219" s="74"/>
      <c r="Z219" s="74"/>
    </row>
    <row r="220" spans="1:26" ht="25.5" customHeight="1">
      <c r="A220" s="74"/>
      <c r="B220" s="74"/>
      <c r="C220" s="74"/>
      <c r="D220" s="130"/>
      <c r="E220" s="130"/>
      <c r="F220" s="215"/>
      <c r="G220" s="197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74"/>
      <c r="V220" s="74"/>
      <c r="W220" s="74"/>
      <c r="X220" s="74"/>
      <c r="Y220" s="74"/>
      <c r="Z220" s="74"/>
    </row>
    <row r="221" spans="1:26" ht="25.5" customHeight="1">
      <c r="A221" s="74"/>
      <c r="B221" s="74"/>
      <c r="C221" s="74"/>
      <c r="D221" s="130"/>
      <c r="E221" s="130"/>
      <c r="F221" s="215"/>
      <c r="G221" s="197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74"/>
      <c r="V221" s="74"/>
      <c r="W221" s="74"/>
      <c r="X221" s="74"/>
      <c r="Y221" s="74"/>
      <c r="Z221" s="74"/>
    </row>
    <row r="222" spans="1:26" ht="25.5" customHeight="1">
      <c r="A222" s="74"/>
      <c r="B222" s="74"/>
      <c r="C222" s="74"/>
      <c r="D222" s="130"/>
      <c r="E222" s="130"/>
      <c r="F222" s="215"/>
      <c r="G222" s="197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74"/>
      <c r="V222" s="74"/>
      <c r="W222" s="74"/>
      <c r="X222" s="74"/>
      <c r="Y222" s="74"/>
      <c r="Z222" s="74"/>
    </row>
    <row r="223" spans="1:26" ht="25.5" customHeight="1">
      <c r="A223" s="74"/>
      <c r="B223" s="74"/>
      <c r="C223" s="74"/>
      <c r="D223" s="130"/>
      <c r="E223" s="130"/>
      <c r="F223" s="215"/>
      <c r="G223" s="197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74"/>
      <c r="V223" s="74"/>
      <c r="W223" s="74"/>
      <c r="X223" s="74"/>
      <c r="Y223" s="74"/>
      <c r="Z223" s="74"/>
    </row>
    <row r="224" spans="1:26" ht="25.5" customHeight="1">
      <c r="A224" s="74"/>
      <c r="B224" s="74"/>
      <c r="C224" s="74"/>
      <c r="D224" s="130"/>
      <c r="E224" s="130"/>
      <c r="F224" s="215"/>
      <c r="G224" s="197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74"/>
      <c r="V224" s="74"/>
      <c r="W224" s="74"/>
      <c r="X224" s="74"/>
      <c r="Y224" s="74"/>
      <c r="Z224" s="74"/>
    </row>
    <row r="225" spans="1:26" ht="25.5" customHeight="1">
      <c r="A225" s="74"/>
      <c r="B225" s="74"/>
      <c r="C225" s="74"/>
      <c r="D225" s="130"/>
      <c r="E225" s="130"/>
      <c r="F225" s="215"/>
      <c r="G225" s="197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74"/>
      <c r="V225" s="74"/>
      <c r="W225" s="74"/>
      <c r="X225" s="74"/>
      <c r="Y225" s="74"/>
      <c r="Z225" s="74"/>
    </row>
    <row r="226" spans="1:26" ht="25.5" customHeight="1">
      <c r="A226" s="74"/>
      <c r="B226" s="74"/>
      <c r="C226" s="74"/>
      <c r="D226" s="130"/>
      <c r="E226" s="130"/>
      <c r="F226" s="215"/>
      <c r="G226" s="197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74"/>
      <c r="V226" s="74"/>
      <c r="W226" s="74"/>
      <c r="X226" s="74"/>
      <c r="Y226" s="74"/>
      <c r="Z226" s="74"/>
    </row>
    <row r="227" spans="1:26" ht="25.5" customHeight="1">
      <c r="A227" s="74"/>
      <c r="B227" s="74"/>
      <c r="C227" s="74"/>
      <c r="D227" s="130"/>
      <c r="E227" s="130"/>
      <c r="F227" s="215"/>
      <c r="G227" s="197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74"/>
      <c r="V227" s="74"/>
      <c r="W227" s="74"/>
      <c r="X227" s="74"/>
      <c r="Y227" s="74"/>
      <c r="Z227" s="74"/>
    </row>
    <row r="228" spans="1:26" ht="25.5" customHeight="1">
      <c r="A228" s="74"/>
      <c r="B228" s="74"/>
      <c r="C228" s="74"/>
      <c r="D228" s="130"/>
      <c r="E228" s="130"/>
      <c r="F228" s="215"/>
      <c r="G228" s="197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74"/>
      <c r="V228" s="74"/>
      <c r="W228" s="74"/>
      <c r="X228" s="74"/>
      <c r="Y228" s="74"/>
      <c r="Z228" s="74"/>
    </row>
    <row r="229" spans="1:26" ht="25.5" customHeight="1">
      <c r="A229" s="74"/>
      <c r="B229" s="74"/>
      <c r="C229" s="74"/>
      <c r="D229" s="130"/>
      <c r="E229" s="130"/>
      <c r="F229" s="215"/>
      <c r="G229" s="197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74"/>
      <c r="V229" s="74"/>
      <c r="W229" s="74"/>
      <c r="X229" s="74"/>
      <c r="Y229" s="74"/>
      <c r="Z229" s="74"/>
    </row>
    <row r="230" spans="1:26" ht="25.5" customHeight="1">
      <c r="A230" s="74"/>
      <c r="B230" s="74"/>
      <c r="C230" s="74"/>
      <c r="D230" s="130"/>
      <c r="E230" s="130"/>
      <c r="F230" s="215"/>
      <c r="G230" s="197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74"/>
      <c r="V230" s="74"/>
      <c r="W230" s="74"/>
      <c r="X230" s="74"/>
      <c r="Y230" s="74"/>
      <c r="Z230" s="74"/>
    </row>
    <row r="231" spans="1:26" ht="25.5" customHeight="1">
      <c r="A231" s="74"/>
      <c r="B231" s="74"/>
      <c r="C231" s="74"/>
      <c r="D231" s="130"/>
      <c r="E231" s="130"/>
      <c r="F231" s="215"/>
      <c r="G231" s="197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74"/>
      <c r="V231" s="74"/>
      <c r="W231" s="74"/>
      <c r="X231" s="74"/>
      <c r="Y231" s="74"/>
      <c r="Z231" s="74"/>
    </row>
    <row r="232" spans="1:26" ht="25.5" customHeight="1">
      <c r="A232" s="74"/>
      <c r="B232" s="74"/>
      <c r="C232" s="74"/>
      <c r="D232" s="130"/>
      <c r="E232" s="130"/>
      <c r="F232" s="215"/>
      <c r="G232" s="197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74"/>
      <c r="V232" s="74"/>
      <c r="W232" s="74"/>
      <c r="X232" s="74"/>
      <c r="Y232" s="74"/>
      <c r="Z232" s="74"/>
    </row>
    <row r="233" spans="1:26" ht="25.5" customHeight="1">
      <c r="A233" s="74"/>
      <c r="B233" s="74"/>
      <c r="C233" s="74"/>
      <c r="D233" s="130"/>
      <c r="E233" s="130"/>
      <c r="F233" s="215"/>
      <c r="G233" s="197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74"/>
      <c r="V233" s="74"/>
      <c r="W233" s="74"/>
      <c r="X233" s="74"/>
      <c r="Y233" s="74"/>
      <c r="Z233" s="74"/>
    </row>
    <row r="234" spans="1:26" ht="25.5" customHeight="1">
      <c r="A234" s="74"/>
      <c r="B234" s="74"/>
      <c r="C234" s="74"/>
      <c r="D234" s="130"/>
      <c r="E234" s="130"/>
      <c r="F234" s="215"/>
      <c r="G234" s="197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74"/>
      <c r="V234" s="74"/>
      <c r="W234" s="74"/>
      <c r="X234" s="74"/>
      <c r="Y234" s="74"/>
      <c r="Z234" s="74"/>
    </row>
    <row r="235" spans="1:26" ht="15.75" customHeight="1">
      <c r="D235" s="140"/>
      <c r="E235" s="140"/>
      <c r="F235" s="216"/>
      <c r="G235" s="198"/>
      <c r="H235" s="140"/>
      <c r="I235" s="140"/>
      <c r="J235" s="122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</row>
    <row r="236" spans="1:26" ht="15.75" customHeight="1">
      <c r="D236" s="140"/>
      <c r="E236" s="140"/>
      <c r="F236" s="216"/>
      <c r="G236" s="198"/>
      <c r="H236" s="140"/>
      <c r="I236" s="140"/>
      <c r="J236" s="122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</row>
    <row r="237" spans="1:26" ht="15.75" customHeight="1">
      <c r="D237" s="140"/>
      <c r="E237" s="140"/>
      <c r="F237" s="216"/>
      <c r="G237" s="198"/>
      <c r="H237" s="140"/>
      <c r="I237" s="140"/>
      <c r="J237" s="122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</row>
    <row r="238" spans="1:26" ht="15.75" customHeight="1">
      <c r="D238" s="140"/>
      <c r="E238" s="140"/>
      <c r="F238" s="216"/>
      <c r="G238" s="198"/>
      <c r="H238" s="140"/>
      <c r="I238" s="140"/>
      <c r="J238" s="122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</row>
    <row r="239" spans="1:26" ht="15.75" customHeight="1">
      <c r="D239" s="140"/>
      <c r="E239" s="140"/>
      <c r="F239" s="216"/>
      <c r="G239" s="198"/>
      <c r="H239" s="140"/>
      <c r="I239" s="140"/>
      <c r="J239" s="122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</row>
    <row r="240" spans="1:26" ht="15.75" customHeight="1">
      <c r="D240" s="140"/>
      <c r="E240" s="140"/>
      <c r="F240" s="216"/>
      <c r="G240" s="198"/>
      <c r="H240" s="140"/>
      <c r="I240" s="140"/>
      <c r="J240" s="122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</row>
    <row r="241" spans="4:20" ht="15.75" customHeight="1">
      <c r="D241" s="140"/>
      <c r="E241" s="140"/>
      <c r="F241" s="216"/>
      <c r="G241" s="198"/>
      <c r="H241" s="140"/>
      <c r="I241" s="140"/>
      <c r="J241" s="122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</row>
    <row r="242" spans="4:20" ht="15.75" customHeight="1">
      <c r="D242" s="140"/>
      <c r="E242" s="140"/>
      <c r="F242" s="216"/>
      <c r="G242" s="198"/>
      <c r="H242" s="140"/>
      <c r="I242" s="140"/>
      <c r="J242" s="122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</row>
    <row r="243" spans="4:20" ht="15.75" customHeight="1">
      <c r="D243" s="140"/>
      <c r="E243" s="140"/>
      <c r="F243" s="216"/>
      <c r="G243" s="198"/>
      <c r="H243" s="140"/>
      <c r="I243" s="140"/>
      <c r="J243" s="122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</row>
    <row r="244" spans="4:20" ht="15.75" customHeight="1">
      <c r="D244" s="140"/>
      <c r="E244" s="140"/>
      <c r="F244" s="216"/>
      <c r="G244" s="198"/>
      <c r="H244" s="140"/>
      <c r="I244" s="140"/>
      <c r="J244" s="122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</row>
    <row r="245" spans="4:20" ht="15.75" customHeight="1">
      <c r="D245" s="140"/>
      <c r="E245" s="140"/>
      <c r="F245" s="216"/>
      <c r="G245" s="198"/>
      <c r="H245" s="140"/>
      <c r="I245" s="140"/>
      <c r="J245" s="122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</row>
    <row r="246" spans="4:20" ht="15.75" customHeight="1">
      <c r="D246" s="140"/>
      <c r="E246" s="140"/>
      <c r="F246" s="216"/>
      <c r="G246" s="198"/>
      <c r="H246" s="140"/>
      <c r="I246" s="140"/>
      <c r="J246" s="122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</row>
    <row r="247" spans="4:20" ht="15.75" customHeight="1">
      <c r="D247" s="140"/>
      <c r="E247" s="140"/>
      <c r="F247" s="216"/>
      <c r="G247" s="198"/>
      <c r="H247" s="140"/>
      <c r="I247" s="140"/>
      <c r="J247" s="122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</row>
    <row r="248" spans="4:20" ht="15.75" customHeight="1">
      <c r="D248" s="140"/>
      <c r="E248" s="140"/>
      <c r="F248" s="216"/>
      <c r="G248" s="198"/>
      <c r="H248" s="140"/>
      <c r="I248" s="140"/>
      <c r="J248" s="122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</row>
    <row r="249" spans="4:20" ht="15.75" customHeight="1">
      <c r="D249" s="140"/>
      <c r="E249" s="140"/>
      <c r="F249" s="216"/>
      <c r="G249" s="198"/>
      <c r="H249" s="140"/>
      <c r="I249" s="140"/>
      <c r="J249" s="122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</row>
    <row r="250" spans="4:20" ht="15.75" customHeight="1">
      <c r="D250" s="140"/>
      <c r="E250" s="140"/>
      <c r="F250" s="216"/>
      <c r="G250" s="198"/>
      <c r="H250" s="140"/>
      <c r="I250" s="140"/>
      <c r="J250" s="122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</row>
    <row r="251" spans="4:20" ht="15.75" customHeight="1">
      <c r="D251" s="140"/>
      <c r="E251" s="140"/>
      <c r="F251" s="216"/>
      <c r="G251" s="198"/>
      <c r="H251" s="140"/>
      <c r="I251" s="140"/>
      <c r="J251" s="122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</row>
    <row r="252" spans="4:20" ht="15.75" customHeight="1">
      <c r="D252" s="140"/>
      <c r="E252" s="140"/>
      <c r="F252" s="216"/>
      <c r="G252" s="198"/>
      <c r="H252" s="140"/>
      <c r="I252" s="140"/>
      <c r="J252" s="122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</row>
    <row r="253" spans="4:20" ht="15.75" customHeight="1">
      <c r="D253" s="140"/>
      <c r="E253" s="140"/>
      <c r="F253" s="216"/>
      <c r="G253" s="198"/>
      <c r="H253" s="140"/>
      <c r="I253" s="140"/>
      <c r="J253" s="122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</row>
    <row r="254" spans="4:20" ht="15.75" customHeight="1">
      <c r="D254" s="140"/>
      <c r="E254" s="140"/>
      <c r="F254" s="216"/>
      <c r="G254" s="198"/>
      <c r="H254" s="140"/>
      <c r="I254" s="140"/>
      <c r="J254" s="122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</row>
    <row r="255" spans="4:20" ht="15.75" customHeight="1">
      <c r="D255" s="140"/>
      <c r="E255" s="140"/>
      <c r="F255" s="216"/>
      <c r="G255" s="198"/>
      <c r="H255" s="140"/>
      <c r="I255" s="140"/>
      <c r="J255" s="122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</row>
    <row r="256" spans="4:20" ht="15.75" customHeight="1">
      <c r="D256" s="140"/>
      <c r="E256" s="140"/>
      <c r="F256" s="216"/>
      <c r="G256" s="198"/>
      <c r="H256" s="140"/>
      <c r="I256" s="140"/>
      <c r="J256" s="122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</row>
    <row r="257" spans="4:20" ht="15.75" customHeight="1">
      <c r="D257" s="140"/>
      <c r="E257" s="140"/>
      <c r="F257" s="216"/>
      <c r="G257" s="198"/>
      <c r="H257" s="140"/>
      <c r="I257" s="140"/>
      <c r="J257" s="122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</row>
    <row r="258" spans="4:20" ht="15.75" customHeight="1">
      <c r="D258" s="140"/>
      <c r="E258" s="140"/>
      <c r="F258" s="216"/>
      <c r="G258" s="198"/>
      <c r="H258" s="140"/>
      <c r="I258" s="140"/>
      <c r="J258" s="122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</row>
    <row r="259" spans="4:20" ht="15.75" customHeight="1">
      <c r="D259" s="140"/>
      <c r="E259" s="140"/>
      <c r="F259" s="216"/>
      <c r="G259" s="198"/>
      <c r="H259" s="140"/>
      <c r="I259" s="140"/>
      <c r="J259" s="122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</row>
    <row r="260" spans="4:20" ht="15.75" customHeight="1">
      <c r="D260" s="140"/>
      <c r="E260" s="140"/>
      <c r="F260" s="216"/>
      <c r="G260" s="198"/>
      <c r="H260" s="140"/>
      <c r="I260" s="140"/>
      <c r="J260" s="122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</row>
    <row r="261" spans="4:20" ht="15.75" customHeight="1">
      <c r="D261" s="140"/>
      <c r="E261" s="140"/>
      <c r="F261" s="216"/>
      <c r="G261" s="198"/>
      <c r="H261" s="140"/>
      <c r="I261" s="140"/>
      <c r="J261" s="122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</row>
    <row r="262" spans="4:20" ht="15.75" customHeight="1">
      <c r="D262" s="140"/>
      <c r="E262" s="140"/>
      <c r="F262" s="216"/>
      <c r="G262" s="198"/>
      <c r="H262" s="140"/>
      <c r="I262" s="140"/>
      <c r="J262" s="122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</row>
    <row r="263" spans="4:20" ht="15.75" customHeight="1">
      <c r="D263" s="140"/>
      <c r="E263" s="140"/>
      <c r="F263" s="216"/>
      <c r="G263" s="198"/>
      <c r="H263" s="140"/>
      <c r="I263" s="140"/>
      <c r="J263" s="122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</row>
    <row r="264" spans="4:20" ht="15.75" customHeight="1">
      <c r="D264" s="140"/>
      <c r="E264" s="140"/>
      <c r="F264" s="216"/>
      <c r="G264" s="198"/>
      <c r="H264" s="140"/>
      <c r="I264" s="140"/>
      <c r="J264" s="122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</row>
    <row r="265" spans="4:20" ht="15.75" customHeight="1">
      <c r="D265" s="140"/>
      <c r="E265" s="140"/>
      <c r="F265" s="216"/>
      <c r="G265" s="198"/>
      <c r="H265" s="140"/>
      <c r="I265" s="140"/>
      <c r="J265" s="122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</row>
    <row r="266" spans="4:20" ht="15.75" customHeight="1">
      <c r="D266" s="140"/>
      <c r="E266" s="140"/>
      <c r="F266" s="216"/>
      <c r="G266" s="198"/>
      <c r="H266" s="140"/>
      <c r="I266" s="140"/>
      <c r="J266" s="122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</row>
    <row r="267" spans="4:20" ht="15.75" customHeight="1">
      <c r="D267" s="140"/>
      <c r="E267" s="140"/>
      <c r="F267" s="216"/>
      <c r="G267" s="198"/>
      <c r="H267" s="140"/>
      <c r="I267" s="140"/>
      <c r="J267" s="122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</row>
    <row r="268" spans="4:20" ht="15.75" customHeight="1">
      <c r="D268" s="140"/>
      <c r="E268" s="140"/>
      <c r="F268" s="216"/>
      <c r="G268" s="198"/>
      <c r="H268" s="140"/>
      <c r="I268" s="140"/>
      <c r="J268" s="122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</row>
    <row r="269" spans="4:20" ht="15.75" customHeight="1">
      <c r="D269" s="140"/>
      <c r="E269" s="140"/>
      <c r="F269" s="216"/>
      <c r="G269" s="198"/>
      <c r="H269" s="140"/>
      <c r="I269" s="140"/>
      <c r="J269" s="122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</row>
    <row r="270" spans="4:20" ht="15.75" customHeight="1">
      <c r="D270" s="140"/>
      <c r="E270" s="140"/>
      <c r="F270" s="216"/>
      <c r="G270" s="198"/>
      <c r="H270" s="140"/>
      <c r="I270" s="140"/>
      <c r="J270" s="122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</row>
    <row r="271" spans="4:20" ht="15.75" customHeight="1">
      <c r="D271" s="140"/>
      <c r="E271" s="140"/>
      <c r="F271" s="216"/>
      <c r="G271" s="198"/>
      <c r="H271" s="140"/>
      <c r="I271" s="140"/>
      <c r="J271" s="122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</row>
    <row r="272" spans="4:20" ht="15.75" customHeight="1">
      <c r="D272" s="140"/>
      <c r="E272" s="140"/>
      <c r="F272" s="216"/>
      <c r="G272" s="198"/>
      <c r="H272" s="140"/>
      <c r="I272" s="140"/>
      <c r="J272" s="122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</row>
    <row r="273" spans="4:20" ht="15.75" customHeight="1">
      <c r="D273" s="140"/>
      <c r="E273" s="140"/>
      <c r="F273" s="216"/>
      <c r="G273" s="198"/>
      <c r="H273" s="140"/>
      <c r="I273" s="140"/>
      <c r="J273" s="122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</row>
    <row r="274" spans="4:20" ht="15.75" customHeight="1">
      <c r="D274" s="140"/>
      <c r="E274" s="140"/>
      <c r="F274" s="216"/>
      <c r="G274" s="198"/>
      <c r="H274" s="140"/>
      <c r="I274" s="140"/>
      <c r="J274" s="122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</row>
    <row r="275" spans="4:20" ht="15.75" customHeight="1">
      <c r="D275" s="140"/>
      <c r="E275" s="140"/>
      <c r="F275" s="216"/>
      <c r="G275" s="198"/>
      <c r="H275" s="140"/>
      <c r="I275" s="140"/>
      <c r="J275" s="122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</row>
    <row r="276" spans="4:20" ht="15.75" customHeight="1">
      <c r="D276" s="140"/>
      <c r="E276" s="140"/>
      <c r="F276" s="216"/>
      <c r="G276" s="198"/>
      <c r="H276" s="140"/>
      <c r="I276" s="140"/>
      <c r="J276" s="122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</row>
    <row r="277" spans="4:20" ht="15.75" customHeight="1">
      <c r="D277" s="140"/>
      <c r="E277" s="140"/>
      <c r="F277" s="216"/>
      <c r="G277" s="198"/>
      <c r="H277" s="140"/>
      <c r="I277" s="140"/>
      <c r="J277" s="122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</row>
    <row r="278" spans="4:20" ht="15.75" customHeight="1">
      <c r="D278" s="140"/>
      <c r="E278" s="140"/>
      <c r="F278" s="216"/>
      <c r="G278" s="198"/>
      <c r="H278" s="140"/>
      <c r="I278" s="140"/>
      <c r="J278" s="122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</row>
    <row r="279" spans="4:20" ht="15.75" customHeight="1">
      <c r="D279" s="140"/>
      <c r="E279" s="140"/>
      <c r="F279" s="216"/>
      <c r="G279" s="198"/>
      <c r="H279" s="140"/>
      <c r="I279" s="140"/>
      <c r="J279" s="122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</row>
    <row r="280" spans="4:20" ht="15.75" customHeight="1">
      <c r="D280" s="140"/>
      <c r="E280" s="140"/>
      <c r="F280" s="216"/>
      <c r="G280" s="198"/>
      <c r="H280" s="140"/>
      <c r="I280" s="140"/>
      <c r="J280" s="122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</row>
    <row r="281" spans="4:20" ht="15.75" customHeight="1">
      <c r="D281" s="140"/>
      <c r="E281" s="140"/>
      <c r="F281" s="216"/>
      <c r="G281" s="198"/>
      <c r="H281" s="140"/>
      <c r="I281" s="140"/>
      <c r="J281" s="122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</row>
    <row r="282" spans="4:20" ht="15.75" customHeight="1">
      <c r="D282" s="140"/>
      <c r="E282" s="140"/>
      <c r="F282" s="216"/>
      <c r="G282" s="198"/>
      <c r="H282" s="140"/>
      <c r="I282" s="140"/>
      <c r="J282" s="122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</row>
    <row r="283" spans="4:20" ht="15.75" customHeight="1">
      <c r="D283" s="140"/>
      <c r="E283" s="140"/>
      <c r="F283" s="216"/>
      <c r="G283" s="198"/>
      <c r="H283" s="140"/>
      <c r="I283" s="140"/>
      <c r="J283" s="122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</row>
    <row r="284" spans="4:20" ht="15.75" customHeight="1">
      <c r="D284" s="140"/>
      <c r="E284" s="140"/>
      <c r="F284" s="216"/>
      <c r="G284" s="198"/>
      <c r="H284" s="140"/>
      <c r="I284" s="140"/>
      <c r="J284" s="122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</row>
    <row r="285" spans="4:20" ht="15.75" customHeight="1">
      <c r="D285" s="140"/>
      <c r="E285" s="140"/>
      <c r="F285" s="216"/>
      <c r="G285" s="198"/>
      <c r="H285" s="140"/>
      <c r="I285" s="140"/>
      <c r="J285" s="122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</row>
    <row r="286" spans="4:20" ht="15.75" customHeight="1">
      <c r="D286" s="140"/>
      <c r="E286" s="140"/>
      <c r="F286" s="216"/>
      <c r="G286" s="198"/>
      <c r="H286" s="140"/>
      <c r="I286" s="140"/>
      <c r="J286" s="122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</row>
    <row r="287" spans="4:20" ht="15.75" customHeight="1">
      <c r="D287" s="140"/>
      <c r="E287" s="140"/>
      <c r="F287" s="216"/>
      <c r="G287" s="198"/>
      <c r="H287" s="140"/>
      <c r="I287" s="140"/>
      <c r="J287" s="122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</row>
    <row r="288" spans="4:20" ht="15.75" customHeight="1">
      <c r="D288" s="140"/>
      <c r="E288" s="140"/>
      <c r="F288" s="216"/>
      <c r="G288" s="198"/>
      <c r="H288" s="140"/>
      <c r="I288" s="140"/>
      <c r="J288" s="122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</row>
    <row r="289" spans="4:20" ht="15.75" customHeight="1">
      <c r="D289" s="140"/>
      <c r="E289" s="140"/>
      <c r="F289" s="216"/>
      <c r="G289" s="198"/>
      <c r="H289" s="140"/>
      <c r="I289" s="140"/>
      <c r="J289" s="122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</row>
    <row r="290" spans="4:20" ht="15.75" customHeight="1">
      <c r="D290" s="140"/>
      <c r="E290" s="140"/>
      <c r="F290" s="216"/>
      <c r="G290" s="198"/>
      <c r="H290" s="140"/>
      <c r="I290" s="140"/>
      <c r="J290" s="122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</row>
    <row r="291" spans="4:20" ht="15.75" customHeight="1">
      <c r="D291" s="140"/>
      <c r="E291" s="140"/>
      <c r="F291" s="216"/>
      <c r="G291" s="198"/>
      <c r="H291" s="140"/>
      <c r="I291" s="140"/>
      <c r="J291" s="122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</row>
    <row r="292" spans="4:20" ht="15.75" customHeight="1">
      <c r="D292" s="140"/>
      <c r="E292" s="140"/>
      <c r="F292" s="216"/>
      <c r="G292" s="198"/>
      <c r="H292" s="140"/>
      <c r="I292" s="140"/>
      <c r="J292" s="122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</row>
    <row r="293" spans="4:20" ht="15.75" customHeight="1">
      <c r="D293" s="140"/>
      <c r="E293" s="140"/>
      <c r="F293" s="216"/>
      <c r="G293" s="198"/>
      <c r="H293" s="140"/>
      <c r="I293" s="140"/>
      <c r="J293" s="122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</row>
    <row r="294" spans="4:20" ht="15.75" customHeight="1">
      <c r="D294" s="140"/>
      <c r="E294" s="140"/>
      <c r="F294" s="216"/>
      <c r="G294" s="198"/>
      <c r="H294" s="140"/>
      <c r="I294" s="140"/>
      <c r="J294" s="122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</row>
    <row r="295" spans="4:20" ht="15.75" customHeight="1">
      <c r="D295" s="140"/>
      <c r="E295" s="140"/>
      <c r="F295" s="216"/>
      <c r="G295" s="198"/>
      <c r="H295" s="140"/>
      <c r="I295" s="140"/>
      <c r="J295" s="122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</row>
    <row r="296" spans="4:20" ht="15.75" customHeight="1">
      <c r="D296" s="140"/>
      <c r="E296" s="140"/>
      <c r="F296" s="216"/>
      <c r="G296" s="198"/>
      <c r="H296" s="140"/>
      <c r="I296" s="140"/>
      <c r="J296" s="122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</row>
    <row r="297" spans="4:20" ht="15.75" customHeight="1">
      <c r="D297" s="140"/>
      <c r="E297" s="140"/>
      <c r="F297" s="216"/>
      <c r="G297" s="198"/>
      <c r="H297" s="140"/>
      <c r="I297" s="140"/>
      <c r="J297" s="122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</row>
    <row r="298" spans="4:20" ht="15.75" customHeight="1">
      <c r="D298" s="140"/>
      <c r="E298" s="140"/>
      <c r="F298" s="216"/>
      <c r="G298" s="198"/>
      <c r="H298" s="140"/>
      <c r="I298" s="140"/>
      <c r="J298" s="122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</row>
    <row r="299" spans="4:20" ht="15.75" customHeight="1">
      <c r="D299" s="140"/>
      <c r="E299" s="140"/>
      <c r="F299" s="216"/>
      <c r="G299" s="198"/>
      <c r="H299" s="140"/>
      <c r="I299" s="140"/>
      <c r="J299" s="122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</row>
    <row r="300" spans="4:20" ht="15.75" customHeight="1">
      <c r="D300" s="140"/>
      <c r="E300" s="140"/>
      <c r="F300" s="216"/>
      <c r="G300" s="198"/>
      <c r="H300" s="140"/>
      <c r="I300" s="140"/>
      <c r="J300" s="122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</row>
    <row r="301" spans="4:20" ht="15.75" customHeight="1">
      <c r="D301" s="140"/>
      <c r="E301" s="140"/>
      <c r="F301" s="216"/>
      <c r="G301" s="198"/>
      <c r="H301" s="140"/>
      <c r="I301" s="140"/>
      <c r="J301" s="122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</row>
    <row r="302" spans="4:20" ht="15.75" customHeight="1">
      <c r="D302" s="140"/>
      <c r="E302" s="140"/>
      <c r="F302" s="216"/>
      <c r="G302" s="198"/>
      <c r="H302" s="140"/>
      <c r="I302" s="140"/>
      <c r="J302" s="122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</row>
    <row r="303" spans="4:20" ht="15.75" customHeight="1">
      <c r="D303" s="140"/>
      <c r="E303" s="140"/>
      <c r="F303" s="216"/>
      <c r="G303" s="198"/>
      <c r="H303" s="140"/>
      <c r="I303" s="140"/>
      <c r="J303" s="122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</row>
    <row r="304" spans="4:20" ht="15.75" customHeight="1">
      <c r="D304" s="140"/>
      <c r="E304" s="140"/>
      <c r="F304" s="216"/>
      <c r="G304" s="198"/>
      <c r="H304" s="140"/>
      <c r="I304" s="140"/>
      <c r="J304" s="122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</row>
    <row r="305" spans="4:20" ht="15.75" customHeight="1">
      <c r="D305" s="140"/>
      <c r="E305" s="140"/>
      <c r="F305" s="216"/>
      <c r="G305" s="198"/>
      <c r="H305" s="140"/>
      <c r="I305" s="140"/>
      <c r="J305" s="122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</row>
    <row r="306" spans="4:20" ht="15.75" customHeight="1">
      <c r="D306" s="140"/>
      <c r="E306" s="140"/>
      <c r="F306" s="216"/>
      <c r="G306" s="198"/>
      <c r="H306" s="140"/>
      <c r="I306" s="140"/>
      <c r="J306" s="122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</row>
    <row r="307" spans="4:20" ht="15.75" customHeight="1">
      <c r="D307" s="140"/>
      <c r="E307" s="140"/>
      <c r="F307" s="216"/>
      <c r="G307" s="198"/>
      <c r="H307" s="140"/>
      <c r="I307" s="140"/>
      <c r="J307" s="122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</row>
    <row r="308" spans="4:20" ht="15.75" customHeight="1">
      <c r="D308" s="140"/>
      <c r="E308" s="140"/>
      <c r="F308" s="216"/>
      <c r="G308" s="198"/>
      <c r="H308" s="140"/>
      <c r="I308" s="140"/>
      <c r="J308" s="122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</row>
    <row r="309" spans="4:20" ht="15.75" customHeight="1">
      <c r="D309" s="140"/>
      <c r="E309" s="140"/>
      <c r="F309" s="216"/>
      <c r="G309" s="198"/>
      <c r="H309" s="140"/>
      <c r="I309" s="140"/>
      <c r="J309" s="122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</row>
    <row r="310" spans="4:20" ht="15.75" customHeight="1">
      <c r="D310" s="140"/>
      <c r="E310" s="140"/>
      <c r="F310" s="216"/>
      <c r="G310" s="198"/>
      <c r="H310" s="140"/>
      <c r="I310" s="140"/>
      <c r="J310" s="122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</row>
    <row r="311" spans="4:20" ht="15.75" customHeight="1">
      <c r="D311" s="140"/>
      <c r="E311" s="140"/>
      <c r="F311" s="216"/>
      <c r="G311" s="198"/>
      <c r="H311" s="140"/>
      <c r="I311" s="140"/>
      <c r="J311" s="122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</row>
    <row r="312" spans="4:20" ht="15.75" customHeight="1">
      <c r="D312" s="140"/>
      <c r="E312" s="140"/>
      <c r="F312" s="216"/>
      <c r="G312" s="198"/>
      <c r="H312" s="140"/>
      <c r="I312" s="140"/>
      <c r="J312" s="122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</row>
    <row r="313" spans="4:20" ht="15.75" customHeight="1">
      <c r="D313" s="140"/>
      <c r="E313" s="140"/>
      <c r="F313" s="216"/>
      <c r="G313" s="198"/>
      <c r="H313" s="140"/>
      <c r="I313" s="140"/>
      <c r="J313" s="122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</row>
    <row r="314" spans="4:20" ht="15.75" customHeight="1">
      <c r="D314" s="140"/>
      <c r="E314" s="140"/>
      <c r="F314" s="216"/>
      <c r="G314" s="198"/>
      <c r="H314" s="140"/>
      <c r="I314" s="140"/>
      <c r="J314" s="122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</row>
    <row r="315" spans="4:20" ht="15.75" customHeight="1">
      <c r="D315" s="140"/>
      <c r="E315" s="140"/>
      <c r="F315" s="216"/>
      <c r="G315" s="198"/>
      <c r="H315" s="140"/>
      <c r="I315" s="140"/>
      <c r="J315" s="122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</row>
    <row r="316" spans="4:20" ht="15.75" customHeight="1">
      <c r="D316" s="140"/>
      <c r="E316" s="140"/>
      <c r="F316" s="216"/>
      <c r="G316" s="198"/>
      <c r="H316" s="140"/>
      <c r="I316" s="140"/>
      <c r="J316" s="122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</row>
    <row r="317" spans="4:20" ht="15.75" customHeight="1">
      <c r="D317" s="140"/>
      <c r="E317" s="140"/>
      <c r="F317" s="216"/>
      <c r="G317" s="198"/>
      <c r="H317" s="140"/>
      <c r="I317" s="140"/>
      <c r="J317" s="122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</row>
    <row r="318" spans="4:20" ht="15.75" customHeight="1">
      <c r="D318" s="140"/>
      <c r="E318" s="140"/>
      <c r="F318" s="216"/>
      <c r="G318" s="198"/>
      <c r="H318" s="140"/>
      <c r="I318" s="140"/>
      <c r="J318" s="122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</row>
    <row r="319" spans="4:20" ht="15.75" customHeight="1">
      <c r="D319" s="140"/>
      <c r="E319" s="140"/>
      <c r="F319" s="216"/>
      <c r="G319" s="198"/>
      <c r="H319" s="140"/>
      <c r="I319" s="140"/>
      <c r="J319" s="122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</row>
    <row r="320" spans="4:20" ht="15.75" customHeight="1">
      <c r="D320" s="140"/>
      <c r="E320" s="140"/>
      <c r="F320" s="216"/>
      <c r="G320" s="198"/>
      <c r="H320" s="140"/>
      <c r="I320" s="140"/>
      <c r="J320" s="122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</row>
    <row r="321" spans="4:20" ht="15.75" customHeight="1">
      <c r="D321" s="140"/>
      <c r="E321" s="140"/>
      <c r="F321" s="216"/>
      <c r="G321" s="198"/>
      <c r="H321" s="140"/>
      <c r="I321" s="140"/>
      <c r="J321" s="122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</row>
    <row r="322" spans="4:20" ht="15.75" customHeight="1">
      <c r="D322" s="140"/>
      <c r="E322" s="140"/>
      <c r="F322" s="216"/>
      <c r="G322" s="198"/>
      <c r="H322" s="140"/>
      <c r="I322" s="140"/>
      <c r="J322" s="122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</row>
    <row r="323" spans="4:20" ht="15.75" customHeight="1">
      <c r="D323" s="140"/>
      <c r="E323" s="140"/>
      <c r="F323" s="216"/>
      <c r="G323" s="198"/>
      <c r="H323" s="140"/>
      <c r="I323" s="140"/>
      <c r="J323" s="122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</row>
    <row r="324" spans="4:20" ht="15.75" customHeight="1">
      <c r="D324" s="140"/>
      <c r="E324" s="140"/>
      <c r="F324" s="216"/>
      <c r="G324" s="198"/>
      <c r="H324" s="140"/>
      <c r="I324" s="140"/>
      <c r="J324" s="122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</row>
    <row r="325" spans="4:20" ht="15.75" customHeight="1">
      <c r="D325" s="140"/>
      <c r="E325" s="140"/>
      <c r="F325" s="216"/>
      <c r="G325" s="198"/>
      <c r="H325" s="140"/>
      <c r="I325" s="140"/>
      <c r="J325" s="122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</row>
    <row r="326" spans="4:20" ht="15.75" customHeight="1">
      <c r="D326" s="140"/>
      <c r="E326" s="140"/>
      <c r="F326" s="216"/>
      <c r="G326" s="198"/>
      <c r="H326" s="140"/>
      <c r="I326" s="140"/>
      <c r="J326" s="122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</row>
    <row r="327" spans="4:20" ht="15.75" customHeight="1">
      <c r="D327" s="140"/>
      <c r="E327" s="140"/>
      <c r="F327" s="216"/>
      <c r="G327" s="198"/>
      <c r="H327" s="140"/>
      <c r="I327" s="140"/>
      <c r="J327" s="122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</row>
    <row r="328" spans="4:20" ht="15.75" customHeight="1">
      <c r="D328" s="140"/>
      <c r="E328" s="140"/>
      <c r="F328" s="216"/>
      <c r="G328" s="198"/>
      <c r="H328" s="140"/>
      <c r="I328" s="140"/>
      <c r="J328" s="122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</row>
    <row r="329" spans="4:20" ht="15.75" customHeight="1">
      <c r="D329" s="140"/>
      <c r="E329" s="140"/>
      <c r="F329" s="216"/>
      <c r="G329" s="198"/>
      <c r="H329" s="140"/>
      <c r="I329" s="140"/>
      <c r="J329" s="122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</row>
    <row r="330" spans="4:20" ht="15.75" customHeight="1">
      <c r="D330" s="140"/>
      <c r="E330" s="140"/>
      <c r="F330" s="216"/>
      <c r="G330" s="198"/>
      <c r="H330" s="140"/>
      <c r="I330" s="140"/>
      <c r="J330" s="122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</row>
    <row r="331" spans="4:20" ht="15.75" customHeight="1">
      <c r="D331" s="140"/>
      <c r="E331" s="140"/>
      <c r="F331" s="216"/>
      <c r="G331" s="198"/>
      <c r="H331" s="140"/>
      <c r="I331" s="140"/>
      <c r="J331" s="122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</row>
    <row r="332" spans="4:20" ht="15.75" customHeight="1">
      <c r="D332" s="140"/>
      <c r="E332" s="140"/>
      <c r="F332" s="216"/>
      <c r="G332" s="198"/>
      <c r="H332" s="140"/>
      <c r="I332" s="140"/>
      <c r="J332" s="122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</row>
    <row r="333" spans="4:20" ht="15.75" customHeight="1">
      <c r="D333" s="140"/>
      <c r="E333" s="140"/>
      <c r="F333" s="216"/>
      <c r="G333" s="198"/>
      <c r="H333" s="140"/>
      <c r="I333" s="140"/>
      <c r="J333" s="122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</row>
    <row r="334" spans="4:20" ht="15.75" customHeight="1">
      <c r="D334" s="140"/>
      <c r="E334" s="140"/>
      <c r="F334" s="216"/>
      <c r="G334" s="198"/>
      <c r="H334" s="140"/>
      <c r="I334" s="140"/>
      <c r="J334" s="122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</row>
    <row r="335" spans="4:20" ht="15.75" customHeight="1">
      <c r="D335" s="140"/>
      <c r="E335" s="140"/>
      <c r="F335" s="216"/>
      <c r="G335" s="198"/>
      <c r="H335" s="140"/>
      <c r="I335" s="140"/>
      <c r="J335" s="122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</row>
    <row r="336" spans="4:20" ht="15.75" customHeight="1">
      <c r="D336" s="140"/>
      <c r="E336" s="140"/>
      <c r="F336" s="216"/>
      <c r="G336" s="198"/>
      <c r="H336" s="140"/>
      <c r="I336" s="140"/>
      <c r="J336" s="122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</row>
    <row r="337" spans="4:20" ht="15.75" customHeight="1">
      <c r="D337" s="140"/>
      <c r="E337" s="140"/>
      <c r="F337" s="216"/>
      <c r="G337" s="198"/>
      <c r="H337" s="140"/>
      <c r="I337" s="140"/>
      <c r="J337" s="122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</row>
    <row r="338" spans="4:20" ht="15.75" customHeight="1">
      <c r="D338" s="140"/>
      <c r="E338" s="140"/>
      <c r="F338" s="216"/>
      <c r="G338" s="198"/>
      <c r="H338" s="140"/>
      <c r="I338" s="140"/>
      <c r="J338" s="122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</row>
    <row r="339" spans="4:20" ht="15.75" customHeight="1">
      <c r="D339" s="140"/>
      <c r="E339" s="140"/>
      <c r="F339" s="216"/>
      <c r="G339" s="198"/>
      <c r="H339" s="140"/>
      <c r="I339" s="140"/>
      <c r="J339" s="122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</row>
    <row r="340" spans="4:20" ht="15.75" customHeight="1">
      <c r="D340" s="140"/>
      <c r="E340" s="140"/>
      <c r="F340" s="216"/>
      <c r="G340" s="198"/>
      <c r="H340" s="140"/>
      <c r="I340" s="140"/>
      <c r="J340" s="122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</row>
    <row r="341" spans="4:20" ht="15.75" customHeight="1">
      <c r="D341" s="140"/>
      <c r="E341" s="140"/>
      <c r="F341" s="216"/>
      <c r="G341" s="198"/>
      <c r="H341" s="140"/>
      <c r="I341" s="140"/>
      <c r="J341" s="122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</row>
    <row r="342" spans="4:20" ht="15.75" customHeight="1">
      <c r="D342" s="140"/>
      <c r="E342" s="140"/>
      <c r="F342" s="216"/>
      <c r="G342" s="198"/>
      <c r="H342" s="140"/>
      <c r="I342" s="140"/>
      <c r="J342" s="122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</row>
    <row r="343" spans="4:20" ht="15.75" customHeight="1">
      <c r="D343" s="140"/>
      <c r="E343" s="140"/>
      <c r="F343" s="216"/>
      <c r="G343" s="198"/>
      <c r="H343" s="140"/>
      <c r="I343" s="140"/>
      <c r="J343" s="122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</row>
    <row r="344" spans="4:20" ht="15.75" customHeight="1">
      <c r="D344" s="140"/>
      <c r="E344" s="140"/>
      <c r="F344" s="216"/>
      <c r="G344" s="198"/>
      <c r="H344" s="140"/>
      <c r="I344" s="140"/>
      <c r="J344" s="122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</row>
    <row r="345" spans="4:20" ht="15.75" customHeight="1">
      <c r="D345" s="140"/>
      <c r="E345" s="140"/>
      <c r="F345" s="216"/>
      <c r="G345" s="198"/>
      <c r="H345" s="140"/>
      <c r="I345" s="140"/>
      <c r="J345" s="122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</row>
    <row r="346" spans="4:20" ht="15.75" customHeight="1">
      <c r="D346" s="140"/>
      <c r="E346" s="140"/>
      <c r="F346" s="216"/>
      <c r="G346" s="198"/>
      <c r="H346" s="140"/>
      <c r="I346" s="140"/>
      <c r="J346" s="122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</row>
    <row r="347" spans="4:20" ht="15.75" customHeight="1">
      <c r="D347" s="140"/>
      <c r="E347" s="140"/>
      <c r="F347" s="216"/>
      <c r="G347" s="198"/>
      <c r="H347" s="140"/>
      <c r="I347" s="140"/>
      <c r="J347" s="122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</row>
    <row r="348" spans="4:20" ht="15.75" customHeight="1">
      <c r="D348" s="140"/>
      <c r="E348" s="140"/>
      <c r="F348" s="216"/>
      <c r="G348" s="198"/>
      <c r="H348" s="140"/>
      <c r="I348" s="140"/>
      <c r="J348" s="122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</row>
    <row r="349" spans="4:20" ht="15.75" customHeight="1">
      <c r="D349" s="140"/>
      <c r="E349" s="140"/>
      <c r="F349" s="216"/>
      <c r="G349" s="198"/>
      <c r="H349" s="140"/>
      <c r="I349" s="140"/>
      <c r="J349" s="122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</row>
    <row r="350" spans="4:20" ht="15.75" customHeight="1">
      <c r="D350" s="140"/>
      <c r="E350" s="140"/>
      <c r="F350" s="216"/>
      <c r="G350" s="198"/>
      <c r="H350" s="140"/>
      <c r="I350" s="140"/>
      <c r="J350" s="122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</row>
    <row r="351" spans="4:20" ht="15.75" customHeight="1">
      <c r="D351" s="140"/>
      <c r="E351" s="140"/>
      <c r="F351" s="216"/>
      <c r="G351" s="198"/>
      <c r="H351" s="140"/>
      <c r="I351" s="140"/>
      <c r="J351" s="122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</row>
    <row r="352" spans="4:20" ht="15.75" customHeight="1">
      <c r="D352" s="140"/>
      <c r="E352" s="140"/>
      <c r="F352" s="216"/>
      <c r="G352" s="198"/>
      <c r="H352" s="140"/>
      <c r="I352" s="140"/>
      <c r="J352" s="122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</row>
    <row r="353" spans="4:20" ht="15.75" customHeight="1">
      <c r="D353" s="140"/>
      <c r="E353" s="140"/>
      <c r="F353" s="216"/>
      <c r="G353" s="198"/>
      <c r="H353" s="140"/>
      <c r="I353" s="140"/>
      <c r="J353" s="122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</row>
    <row r="354" spans="4:20" ht="15.75" customHeight="1">
      <c r="D354" s="140"/>
      <c r="E354" s="140"/>
      <c r="F354" s="216"/>
      <c r="G354" s="198"/>
      <c r="H354" s="140"/>
      <c r="I354" s="140"/>
      <c r="J354" s="122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</row>
    <row r="355" spans="4:20" ht="15.75" customHeight="1">
      <c r="D355" s="140"/>
      <c r="E355" s="140"/>
      <c r="F355" s="216"/>
      <c r="G355" s="198"/>
      <c r="H355" s="140"/>
      <c r="I355" s="140"/>
      <c r="J355" s="122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</row>
    <row r="356" spans="4:20" ht="15.75" customHeight="1">
      <c r="D356" s="140"/>
      <c r="E356" s="140"/>
      <c r="F356" s="216"/>
      <c r="G356" s="198"/>
      <c r="H356" s="140"/>
      <c r="I356" s="140"/>
      <c r="J356" s="122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</row>
    <row r="357" spans="4:20" ht="15.75" customHeight="1">
      <c r="D357" s="140"/>
      <c r="E357" s="140"/>
      <c r="F357" s="216"/>
      <c r="G357" s="198"/>
      <c r="H357" s="140"/>
      <c r="I357" s="140"/>
      <c r="J357" s="122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</row>
    <row r="358" spans="4:20" ht="15.75" customHeight="1">
      <c r="D358" s="140"/>
      <c r="E358" s="140"/>
      <c r="F358" s="216"/>
      <c r="G358" s="198"/>
      <c r="H358" s="140"/>
      <c r="I358" s="140"/>
      <c r="J358" s="122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</row>
    <row r="359" spans="4:20" ht="15.75" customHeight="1">
      <c r="D359" s="140"/>
      <c r="E359" s="140"/>
      <c r="F359" s="216"/>
      <c r="G359" s="198"/>
      <c r="H359" s="140"/>
      <c r="I359" s="140"/>
      <c r="J359" s="122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</row>
    <row r="360" spans="4:20" ht="15.75" customHeight="1">
      <c r="D360" s="140"/>
      <c r="E360" s="140"/>
      <c r="F360" s="216"/>
      <c r="G360" s="198"/>
      <c r="H360" s="140"/>
      <c r="I360" s="140"/>
      <c r="J360" s="122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</row>
    <row r="361" spans="4:20" ht="15.75" customHeight="1">
      <c r="D361" s="140"/>
      <c r="E361" s="140"/>
      <c r="F361" s="216"/>
      <c r="G361" s="198"/>
      <c r="H361" s="140"/>
      <c r="I361" s="140"/>
      <c r="J361" s="122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</row>
    <row r="362" spans="4:20" ht="15.75" customHeight="1">
      <c r="D362" s="140"/>
      <c r="E362" s="140"/>
      <c r="F362" s="216"/>
      <c r="G362" s="198"/>
      <c r="H362" s="140"/>
      <c r="I362" s="140"/>
      <c r="J362" s="122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</row>
    <row r="363" spans="4:20" ht="15.75" customHeight="1">
      <c r="D363" s="140"/>
      <c r="E363" s="140"/>
      <c r="F363" s="216"/>
      <c r="G363" s="198"/>
      <c r="H363" s="140"/>
      <c r="I363" s="140"/>
      <c r="J363" s="122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</row>
    <row r="364" spans="4:20" ht="15.75" customHeight="1">
      <c r="D364" s="140"/>
      <c r="E364" s="140"/>
      <c r="F364" s="216"/>
      <c r="G364" s="198"/>
      <c r="H364" s="140"/>
      <c r="I364" s="140"/>
      <c r="J364" s="122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</row>
    <row r="365" spans="4:20" ht="15.75" customHeight="1">
      <c r="D365" s="140"/>
      <c r="E365" s="140"/>
      <c r="F365" s="216"/>
      <c r="G365" s="198"/>
      <c r="H365" s="140"/>
      <c r="I365" s="140"/>
      <c r="J365" s="122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</row>
    <row r="366" spans="4:20" ht="15.75" customHeight="1">
      <c r="D366" s="140"/>
      <c r="E366" s="140"/>
      <c r="F366" s="216"/>
      <c r="G366" s="198"/>
      <c r="H366" s="140"/>
      <c r="I366" s="140"/>
      <c r="J366" s="122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</row>
    <row r="367" spans="4:20" ht="15.75" customHeight="1">
      <c r="D367" s="140"/>
      <c r="E367" s="140"/>
      <c r="F367" s="216"/>
      <c r="G367" s="198"/>
      <c r="H367" s="140"/>
      <c r="I367" s="140"/>
      <c r="J367" s="122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</row>
    <row r="368" spans="4:20" ht="15.75" customHeight="1">
      <c r="D368" s="140"/>
      <c r="E368" s="140"/>
      <c r="F368" s="216"/>
      <c r="G368" s="198"/>
      <c r="H368" s="140"/>
      <c r="I368" s="140"/>
      <c r="J368" s="122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</row>
    <row r="369" spans="4:20" ht="15.75" customHeight="1">
      <c r="D369" s="140"/>
      <c r="E369" s="140"/>
      <c r="F369" s="216"/>
      <c r="G369" s="198"/>
      <c r="H369" s="140"/>
      <c r="I369" s="140"/>
      <c r="J369" s="122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</row>
    <row r="370" spans="4:20" ht="15.75" customHeight="1">
      <c r="D370" s="140"/>
      <c r="E370" s="140"/>
      <c r="F370" s="216"/>
      <c r="G370" s="198"/>
      <c r="H370" s="140"/>
      <c r="I370" s="140"/>
      <c r="J370" s="122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</row>
    <row r="371" spans="4:20" ht="15.75" customHeight="1">
      <c r="D371" s="140"/>
      <c r="E371" s="140"/>
      <c r="F371" s="216"/>
      <c r="G371" s="198"/>
      <c r="H371" s="140"/>
      <c r="I371" s="140"/>
      <c r="J371" s="122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</row>
    <row r="372" spans="4:20" ht="15.75" customHeight="1">
      <c r="D372" s="140"/>
      <c r="E372" s="140"/>
      <c r="F372" s="216"/>
      <c r="G372" s="198"/>
      <c r="H372" s="140"/>
      <c r="I372" s="140"/>
      <c r="J372" s="122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</row>
    <row r="373" spans="4:20" ht="15.75" customHeight="1">
      <c r="D373" s="140"/>
      <c r="E373" s="140"/>
      <c r="F373" s="216"/>
      <c r="G373" s="198"/>
      <c r="H373" s="140"/>
      <c r="I373" s="140"/>
      <c r="J373" s="122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</row>
    <row r="374" spans="4:20" ht="15.75" customHeight="1">
      <c r="D374" s="140"/>
      <c r="E374" s="140"/>
      <c r="F374" s="216"/>
      <c r="G374" s="198"/>
      <c r="H374" s="140"/>
      <c r="I374" s="140"/>
      <c r="J374" s="122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</row>
    <row r="375" spans="4:20" ht="15.75" customHeight="1">
      <c r="D375" s="140"/>
      <c r="E375" s="140"/>
      <c r="F375" s="216"/>
      <c r="G375" s="198"/>
      <c r="H375" s="140"/>
      <c r="I375" s="140"/>
      <c r="J375" s="122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</row>
    <row r="376" spans="4:20" ht="15.75" customHeight="1">
      <c r="D376" s="140"/>
      <c r="E376" s="140"/>
      <c r="F376" s="216"/>
      <c r="G376" s="198"/>
      <c r="H376" s="140"/>
      <c r="I376" s="140"/>
      <c r="J376" s="122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</row>
    <row r="377" spans="4:20" ht="15.75" customHeight="1">
      <c r="D377" s="140"/>
      <c r="E377" s="140"/>
      <c r="F377" s="216"/>
      <c r="G377" s="198"/>
      <c r="H377" s="140"/>
      <c r="I377" s="140"/>
      <c r="J377" s="122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</row>
    <row r="378" spans="4:20" ht="15.75" customHeight="1">
      <c r="D378" s="140"/>
      <c r="E378" s="140"/>
      <c r="F378" s="216"/>
      <c r="G378" s="198"/>
      <c r="H378" s="140"/>
      <c r="I378" s="140"/>
      <c r="J378" s="122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</row>
    <row r="379" spans="4:20" ht="15.75" customHeight="1">
      <c r="D379" s="140"/>
      <c r="E379" s="140"/>
      <c r="F379" s="216"/>
      <c r="G379" s="198"/>
      <c r="H379" s="140"/>
      <c r="I379" s="140"/>
      <c r="J379" s="122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</row>
    <row r="380" spans="4:20" ht="15.75" customHeight="1">
      <c r="D380" s="140"/>
      <c r="E380" s="140"/>
      <c r="F380" s="216"/>
      <c r="G380" s="198"/>
      <c r="H380" s="140"/>
      <c r="I380" s="140"/>
      <c r="J380" s="122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</row>
    <row r="381" spans="4:20" ht="15.75" customHeight="1">
      <c r="D381" s="140"/>
      <c r="E381" s="140"/>
      <c r="F381" s="216"/>
      <c r="G381" s="198"/>
      <c r="H381" s="140"/>
      <c r="I381" s="140"/>
      <c r="J381" s="122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</row>
    <row r="382" spans="4:20" ht="15.75" customHeight="1">
      <c r="D382" s="140"/>
      <c r="E382" s="140"/>
      <c r="F382" s="216"/>
      <c r="G382" s="198"/>
      <c r="H382" s="140"/>
      <c r="I382" s="140"/>
      <c r="J382" s="122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</row>
    <row r="383" spans="4:20" ht="15.75" customHeight="1">
      <c r="D383" s="140"/>
      <c r="E383" s="140"/>
      <c r="F383" s="216"/>
      <c r="G383" s="198"/>
      <c r="H383" s="140"/>
      <c r="I383" s="140"/>
      <c r="J383" s="122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</row>
    <row r="384" spans="4:20" ht="15.75" customHeight="1">
      <c r="D384" s="140"/>
      <c r="E384" s="140"/>
      <c r="F384" s="216"/>
      <c r="G384" s="198"/>
      <c r="H384" s="140"/>
      <c r="I384" s="140"/>
      <c r="J384" s="122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</row>
    <row r="385" spans="4:20" ht="15.75" customHeight="1">
      <c r="D385" s="140"/>
      <c r="E385" s="140"/>
      <c r="F385" s="216"/>
      <c r="G385" s="198"/>
      <c r="H385" s="140"/>
      <c r="I385" s="140"/>
      <c r="J385" s="122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</row>
    <row r="386" spans="4:20" ht="15.75" customHeight="1">
      <c r="D386" s="140"/>
      <c r="E386" s="140"/>
      <c r="F386" s="216"/>
      <c r="G386" s="198"/>
      <c r="H386" s="140"/>
      <c r="I386" s="140"/>
      <c r="J386" s="122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</row>
    <row r="387" spans="4:20" ht="15.75" customHeight="1">
      <c r="D387" s="140"/>
      <c r="E387" s="140"/>
      <c r="F387" s="216"/>
      <c r="G387" s="198"/>
      <c r="H387" s="140"/>
      <c r="I387" s="140"/>
      <c r="J387" s="122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</row>
    <row r="388" spans="4:20" ht="15.75" customHeight="1">
      <c r="D388" s="140"/>
      <c r="E388" s="140"/>
      <c r="F388" s="216"/>
      <c r="G388" s="198"/>
      <c r="H388" s="140"/>
      <c r="I388" s="140"/>
      <c r="J388" s="122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</row>
    <row r="389" spans="4:20" ht="15.75" customHeight="1">
      <c r="D389" s="140"/>
      <c r="E389" s="140"/>
      <c r="F389" s="216"/>
      <c r="G389" s="198"/>
      <c r="H389" s="140"/>
      <c r="I389" s="140"/>
      <c r="J389" s="122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</row>
    <row r="390" spans="4:20" ht="15.75" customHeight="1">
      <c r="D390" s="140"/>
      <c r="E390" s="140"/>
      <c r="F390" s="216"/>
      <c r="G390" s="198"/>
      <c r="H390" s="140"/>
      <c r="I390" s="140"/>
      <c r="J390" s="122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</row>
    <row r="391" spans="4:20" ht="15.75" customHeight="1">
      <c r="D391" s="140"/>
      <c r="E391" s="140"/>
      <c r="F391" s="216"/>
      <c r="G391" s="198"/>
      <c r="H391" s="140"/>
      <c r="I391" s="140"/>
      <c r="J391" s="122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</row>
    <row r="392" spans="4:20" ht="15.75" customHeight="1">
      <c r="D392" s="140"/>
      <c r="E392" s="140"/>
      <c r="F392" s="216"/>
      <c r="G392" s="198"/>
      <c r="H392" s="140"/>
      <c r="I392" s="140"/>
      <c r="J392" s="122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</row>
    <row r="393" spans="4:20" ht="15.75" customHeight="1">
      <c r="D393" s="140"/>
      <c r="E393" s="140"/>
      <c r="F393" s="216"/>
      <c r="G393" s="198"/>
      <c r="H393" s="140"/>
      <c r="I393" s="140"/>
      <c r="J393" s="122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</row>
    <row r="394" spans="4:20" ht="15.75" customHeight="1">
      <c r="D394" s="140"/>
      <c r="E394" s="140"/>
      <c r="F394" s="216"/>
      <c r="G394" s="198"/>
      <c r="H394" s="140"/>
      <c r="I394" s="140"/>
      <c r="J394" s="122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</row>
    <row r="395" spans="4:20" ht="15.75" customHeight="1">
      <c r="D395" s="140"/>
      <c r="E395" s="140"/>
      <c r="F395" s="216"/>
      <c r="G395" s="198"/>
      <c r="H395" s="140"/>
      <c r="I395" s="140"/>
      <c r="J395" s="122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</row>
    <row r="396" spans="4:20" ht="15.75" customHeight="1">
      <c r="D396" s="140"/>
      <c r="E396" s="140"/>
      <c r="F396" s="216"/>
      <c r="G396" s="198"/>
      <c r="H396" s="140"/>
      <c r="I396" s="140"/>
      <c r="J396" s="122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</row>
    <row r="397" spans="4:20" ht="15.75" customHeight="1">
      <c r="D397" s="140"/>
      <c r="E397" s="140"/>
      <c r="F397" s="216"/>
      <c r="G397" s="198"/>
      <c r="H397" s="140"/>
      <c r="I397" s="140"/>
      <c r="J397" s="122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</row>
    <row r="398" spans="4:20" ht="15.75" customHeight="1">
      <c r="D398" s="140"/>
      <c r="E398" s="140"/>
      <c r="F398" s="216"/>
      <c r="G398" s="198"/>
      <c r="H398" s="140"/>
      <c r="I398" s="140"/>
      <c r="J398" s="122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</row>
    <row r="399" spans="4:20" ht="15.75" customHeight="1">
      <c r="D399" s="140"/>
      <c r="E399" s="140"/>
      <c r="F399" s="216"/>
      <c r="G399" s="198"/>
      <c r="H399" s="140"/>
      <c r="I399" s="140"/>
      <c r="J399" s="122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</row>
    <row r="400" spans="4:20" ht="15.75" customHeight="1">
      <c r="D400" s="140"/>
      <c r="E400" s="140"/>
      <c r="F400" s="216"/>
      <c r="G400" s="198"/>
      <c r="H400" s="140"/>
      <c r="I400" s="140"/>
      <c r="J400" s="122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</row>
    <row r="401" spans="4:20" ht="15.75" customHeight="1">
      <c r="D401" s="140"/>
      <c r="E401" s="140"/>
      <c r="F401" s="216"/>
      <c r="G401" s="198"/>
      <c r="H401" s="140"/>
      <c r="I401" s="140"/>
      <c r="J401" s="122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</row>
    <row r="402" spans="4:20" ht="15.75" customHeight="1">
      <c r="D402" s="140"/>
      <c r="E402" s="140"/>
      <c r="F402" s="216"/>
      <c r="G402" s="198"/>
      <c r="H402" s="140"/>
      <c r="I402" s="140"/>
      <c r="J402" s="122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</row>
    <row r="403" spans="4:20" ht="15.75" customHeight="1">
      <c r="D403" s="140"/>
      <c r="E403" s="140"/>
      <c r="F403" s="216"/>
      <c r="G403" s="198"/>
      <c r="H403" s="140"/>
      <c r="I403" s="140"/>
      <c r="J403" s="122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</row>
    <row r="404" spans="4:20" ht="15.75" customHeight="1">
      <c r="D404" s="140"/>
      <c r="E404" s="140"/>
      <c r="F404" s="216"/>
      <c r="G404" s="198"/>
      <c r="H404" s="140"/>
      <c r="I404" s="140"/>
      <c r="J404" s="122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</row>
    <row r="405" spans="4:20" ht="15.75" customHeight="1">
      <c r="D405" s="140"/>
      <c r="E405" s="140"/>
      <c r="F405" s="216"/>
      <c r="G405" s="198"/>
      <c r="H405" s="140"/>
      <c r="I405" s="140"/>
      <c r="J405" s="122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</row>
    <row r="406" spans="4:20" ht="15.75" customHeight="1">
      <c r="D406" s="140"/>
      <c r="E406" s="140"/>
      <c r="F406" s="216"/>
      <c r="G406" s="198"/>
      <c r="H406" s="140"/>
      <c r="I406" s="140"/>
      <c r="J406" s="122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</row>
    <row r="407" spans="4:20" ht="15.75" customHeight="1">
      <c r="D407" s="140"/>
      <c r="E407" s="140"/>
      <c r="F407" s="216"/>
      <c r="G407" s="198"/>
      <c r="H407" s="140"/>
      <c r="I407" s="140"/>
      <c r="J407" s="122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</row>
    <row r="408" spans="4:20" ht="15.75" customHeight="1">
      <c r="D408" s="140"/>
      <c r="E408" s="140"/>
      <c r="F408" s="216"/>
      <c r="G408" s="198"/>
      <c r="H408" s="140"/>
      <c r="I408" s="140"/>
      <c r="J408" s="122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</row>
    <row r="409" spans="4:20" ht="15.75" customHeight="1">
      <c r="D409" s="140"/>
      <c r="E409" s="140"/>
      <c r="F409" s="216"/>
      <c r="G409" s="198"/>
      <c r="H409" s="140"/>
      <c r="I409" s="140"/>
      <c r="J409" s="122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</row>
    <row r="410" spans="4:20" ht="15.75" customHeight="1">
      <c r="D410" s="140"/>
      <c r="E410" s="140"/>
      <c r="F410" s="216"/>
      <c r="G410" s="198"/>
      <c r="H410" s="140"/>
      <c r="I410" s="140"/>
      <c r="J410" s="122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</row>
    <row r="411" spans="4:20" ht="15.75" customHeight="1">
      <c r="D411" s="140"/>
      <c r="E411" s="140"/>
      <c r="F411" s="216"/>
      <c r="G411" s="198"/>
      <c r="H411" s="140"/>
      <c r="I411" s="140"/>
      <c r="J411" s="122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</row>
    <row r="412" spans="4:20" ht="15.75" customHeight="1">
      <c r="D412" s="140"/>
      <c r="E412" s="140"/>
      <c r="F412" s="216"/>
      <c r="G412" s="198"/>
      <c r="H412" s="140"/>
      <c r="I412" s="140"/>
      <c r="J412" s="122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</row>
    <row r="413" spans="4:20" ht="15.75" customHeight="1">
      <c r="D413" s="140"/>
      <c r="E413" s="140"/>
      <c r="F413" s="216"/>
      <c r="G413" s="198"/>
      <c r="H413" s="140"/>
      <c r="I413" s="140"/>
      <c r="J413" s="122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</row>
    <row r="414" spans="4:20" ht="15.75" customHeight="1">
      <c r="D414" s="140"/>
      <c r="E414" s="140"/>
      <c r="F414" s="216"/>
      <c r="G414" s="198"/>
      <c r="H414" s="140"/>
      <c r="I414" s="140"/>
      <c r="J414" s="122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</row>
    <row r="415" spans="4:20" ht="15.75" customHeight="1">
      <c r="D415" s="140"/>
      <c r="E415" s="140"/>
      <c r="F415" s="216"/>
      <c r="G415" s="198"/>
      <c r="H415" s="140"/>
      <c r="I415" s="140"/>
      <c r="J415" s="122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</row>
    <row r="416" spans="4:20" ht="15.75" customHeight="1">
      <c r="D416" s="140"/>
      <c r="E416" s="140"/>
      <c r="F416" s="216"/>
      <c r="G416" s="198"/>
      <c r="H416" s="140"/>
      <c r="I416" s="140"/>
      <c r="J416" s="122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</row>
    <row r="417" spans="4:20" ht="15.75" customHeight="1">
      <c r="D417" s="140"/>
      <c r="E417" s="140"/>
      <c r="F417" s="216"/>
      <c r="G417" s="198"/>
      <c r="H417" s="140"/>
      <c r="I417" s="140"/>
      <c r="J417" s="122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</row>
    <row r="418" spans="4:20" ht="15.75" customHeight="1">
      <c r="D418" s="140"/>
      <c r="E418" s="140"/>
      <c r="F418" s="216"/>
      <c r="G418" s="198"/>
      <c r="H418" s="140"/>
      <c r="I418" s="140"/>
      <c r="J418" s="122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</row>
    <row r="419" spans="4:20" ht="15.75" customHeight="1">
      <c r="D419" s="140"/>
      <c r="E419" s="140"/>
      <c r="F419" s="216"/>
      <c r="G419" s="198"/>
      <c r="H419" s="140"/>
      <c r="I419" s="140"/>
      <c r="J419" s="122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</row>
    <row r="420" spans="4:20" ht="15.75" customHeight="1">
      <c r="D420" s="140"/>
      <c r="E420" s="140"/>
      <c r="F420" s="216"/>
      <c r="G420" s="198"/>
      <c r="H420" s="140"/>
      <c r="I420" s="140"/>
      <c r="J420" s="122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</row>
    <row r="421" spans="4:20" ht="15.75" customHeight="1">
      <c r="D421" s="140"/>
      <c r="E421" s="140"/>
      <c r="F421" s="216"/>
      <c r="G421" s="198"/>
      <c r="H421" s="140"/>
      <c r="I421" s="140"/>
      <c r="J421" s="122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</row>
    <row r="422" spans="4:20" ht="15.75" customHeight="1">
      <c r="D422" s="140"/>
      <c r="E422" s="140"/>
      <c r="F422" s="216"/>
      <c r="G422" s="198"/>
      <c r="H422" s="140"/>
      <c r="I422" s="140"/>
      <c r="J422" s="122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</row>
    <row r="423" spans="4:20" ht="15.75" customHeight="1">
      <c r="D423" s="140"/>
      <c r="E423" s="140"/>
      <c r="F423" s="216"/>
      <c r="G423" s="198"/>
      <c r="H423" s="140"/>
      <c r="I423" s="140"/>
      <c r="J423" s="122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</row>
    <row r="424" spans="4:20" ht="15.75" customHeight="1">
      <c r="D424" s="140"/>
      <c r="E424" s="140"/>
      <c r="F424" s="216"/>
      <c r="G424" s="198"/>
      <c r="H424" s="140"/>
      <c r="I424" s="140"/>
      <c r="J424" s="122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</row>
    <row r="425" spans="4:20" ht="15.75" customHeight="1">
      <c r="D425" s="140"/>
      <c r="E425" s="140"/>
      <c r="F425" s="216"/>
      <c r="G425" s="198"/>
      <c r="H425" s="140"/>
      <c r="I425" s="140"/>
      <c r="J425" s="122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</row>
    <row r="426" spans="4:20" ht="15.75" customHeight="1">
      <c r="D426" s="140"/>
      <c r="E426" s="140"/>
      <c r="F426" s="216"/>
      <c r="G426" s="198"/>
      <c r="H426" s="140"/>
      <c r="I426" s="140"/>
      <c r="J426" s="122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</row>
    <row r="427" spans="4:20" ht="15.75" customHeight="1">
      <c r="D427" s="140"/>
      <c r="E427" s="140"/>
      <c r="F427" s="216"/>
      <c r="G427" s="198"/>
      <c r="H427" s="140"/>
      <c r="I427" s="140"/>
      <c r="J427" s="122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</row>
    <row r="428" spans="4:20" ht="15.75" customHeight="1">
      <c r="D428" s="140"/>
      <c r="E428" s="140"/>
      <c r="F428" s="216"/>
      <c r="G428" s="198"/>
      <c r="H428" s="140"/>
      <c r="I428" s="140"/>
      <c r="J428" s="122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</row>
    <row r="429" spans="4:20" ht="15.75" customHeight="1">
      <c r="D429" s="140"/>
      <c r="E429" s="140"/>
      <c r="F429" s="216"/>
      <c r="G429" s="198"/>
      <c r="H429" s="140"/>
      <c r="I429" s="140"/>
      <c r="J429" s="122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</row>
    <row r="430" spans="4:20" ht="15.75" customHeight="1">
      <c r="D430" s="140"/>
      <c r="E430" s="140"/>
      <c r="F430" s="216"/>
      <c r="G430" s="198"/>
      <c r="H430" s="140"/>
      <c r="I430" s="140"/>
      <c r="J430" s="122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</row>
    <row r="431" spans="4:20" ht="15.75" customHeight="1">
      <c r="D431" s="140"/>
      <c r="E431" s="140"/>
      <c r="F431" s="216"/>
      <c r="G431" s="198"/>
      <c r="H431" s="140"/>
      <c r="I431" s="140"/>
      <c r="J431" s="122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</row>
    <row r="432" spans="4:20" ht="15.75" customHeight="1">
      <c r="D432" s="140"/>
      <c r="E432" s="140"/>
      <c r="F432" s="216"/>
      <c r="G432" s="198"/>
      <c r="H432" s="140"/>
      <c r="I432" s="140"/>
      <c r="J432" s="122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</row>
    <row r="433" spans="4:20" ht="15.75" customHeight="1">
      <c r="D433" s="140"/>
      <c r="E433" s="140"/>
      <c r="F433" s="216"/>
      <c r="G433" s="198"/>
      <c r="H433" s="140"/>
      <c r="I433" s="140"/>
      <c r="J433" s="122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</row>
    <row r="434" spans="4:20" ht="15.75" customHeight="1">
      <c r="D434" s="140"/>
      <c r="E434" s="140"/>
      <c r="F434" s="216"/>
      <c r="G434" s="198"/>
      <c r="H434" s="140"/>
      <c r="I434" s="140"/>
      <c r="J434" s="122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</row>
    <row r="435" spans="4:20" ht="15.75" customHeight="1">
      <c r="D435" s="140"/>
      <c r="E435" s="140"/>
      <c r="F435" s="216"/>
      <c r="G435" s="198"/>
      <c r="H435" s="140"/>
      <c r="I435" s="140"/>
      <c r="J435" s="122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</row>
    <row r="436" spans="4:20" ht="15.75" customHeight="1">
      <c r="D436" s="140"/>
      <c r="E436" s="140"/>
      <c r="F436" s="216"/>
      <c r="G436" s="198"/>
      <c r="H436" s="140"/>
      <c r="I436" s="140"/>
      <c r="J436" s="122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</row>
    <row r="437" spans="4:20" ht="15.75" customHeight="1">
      <c r="D437" s="140"/>
      <c r="E437" s="140"/>
      <c r="F437" s="216"/>
      <c r="G437" s="198"/>
      <c r="H437" s="140"/>
      <c r="I437" s="140"/>
      <c r="J437" s="122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</row>
    <row r="438" spans="4:20" ht="15.75" customHeight="1">
      <c r="D438" s="140"/>
      <c r="E438" s="140"/>
      <c r="F438" s="216"/>
      <c r="G438" s="198"/>
      <c r="H438" s="140"/>
      <c r="I438" s="140"/>
      <c r="J438" s="122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</row>
    <row r="439" spans="4:20" ht="15.75" customHeight="1">
      <c r="D439" s="140"/>
      <c r="E439" s="140"/>
      <c r="F439" s="216"/>
      <c r="G439" s="198"/>
      <c r="H439" s="140"/>
      <c r="I439" s="140"/>
      <c r="J439" s="122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</row>
    <row r="440" spans="4:20" ht="15.75" customHeight="1">
      <c r="D440" s="140"/>
      <c r="E440" s="140"/>
      <c r="F440" s="216"/>
      <c r="G440" s="198"/>
      <c r="H440" s="140"/>
      <c r="I440" s="140"/>
      <c r="J440" s="122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</row>
    <row r="441" spans="4:20" ht="15.75" customHeight="1">
      <c r="D441" s="140"/>
      <c r="E441" s="140"/>
      <c r="F441" s="216"/>
      <c r="G441" s="198"/>
      <c r="H441" s="140"/>
      <c r="I441" s="140"/>
      <c r="J441" s="122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</row>
    <row r="442" spans="4:20" ht="15.75" customHeight="1">
      <c r="D442" s="140"/>
      <c r="E442" s="140"/>
      <c r="F442" s="216"/>
      <c r="G442" s="198"/>
      <c r="H442" s="140"/>
      <c r="I442" s="140"/>
      <c r="J442" s="122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</row>
    <row r="443" spans="4:20" ht="15.75" customHeight="1">
      <c r="D443" s="140"/>
      <c r="E443" s="140"/>
      <c r="F443" s="216"/>
      <c r="G443" s="198"/>
      <c r="H443" s="140"/>
      <c r="I443" s="140"/>
      <c r="J443" s="122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</row>
    <row r="444" spans="4:20" ht="15.75" customHeight="1">
      <c r="D444" s="140"/>
      <c r="E444" s="140"/>
      <c r="F444" s="216"/>
      <c r="G444" s="198"/>
      <c r="H444" s="140"/>
      <c r="I444" s="140"/>
      <c r="J444" s="122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</row>
    <row r="445" spans="4:20" ht="15.75" customHeight="1">
      <c r="D445" s="140"/>
      <c r="E445" s="140"/>
      <c r="F445" s="216"/>
      <c r="G445" s="198"/>
      <c r="H445" s="140"/>
      <c r="I445" s="140"/>
      <c r="J445" s="122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</row>
    <row r="446" spans="4:20" ht="15.75" customHeight="1">
      <c r="D446" s="140"/>
      <c r="E446" s="140"/>
      <c r="F446" s="216"/>
      <c r="G446" s="198"/>
      <c r="H446" s="140"/>
      <c r="I446" s="140"/>
      <c r="J446" s="122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</row>
    <row r="447" spans="4:20" ht="15.75" customHeight="1">
      <c r="D447" s="140"/>
      <c r="E447" s="140"/>
      <c r="F447" s="216"/>
      <c r="G447" s="198"/>
      <c r="H447" s="140"/>
      <c r="I447" s="140"/>
      <c r="J447" s="122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</row>
    <row r="448" spans="4:20" ht="15.75" customHeight="1">
      <c r="D448" s="140"/>
      <c r="E448" s="140"/>
      <c r="F448" s="216"/>
      <c r="G448" s="198"/>
      <c r="H448" s="140"/>
      <c r="I448" s="140"/>
      <c r="J448" s="122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</row>
    <row r="449" spans="4:20" ht="15.75" customHeight="1">
      <c r="D449" s="140"/>
      <c r="E449" s="140"/>
      <c r="F449" s="216"/>
      <c r="G449" s="198"/>
      <c r="H449" s="140"/>
      <c r="I449" s="140"/>
      <c r="J449" s="122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</row>
    <row r="450" spans="4:20" ht="15.75" customHeight="1">
      <c r="D450" s="140"/>
      <c r="E450" s="140"/>
      <c r="F450" s="216"/>
      <c r="G450" s="198"/>
      <c r="H450" s="140"/>
      <c r="I450" s="140"/>
      <c r="J450" s="122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</row>
    <row r="451" spans="4:20" ht="15.75" customHeight="1">
      <c r="D451" s="140"/>
      <c r="E451" s="140"/>
      <c r="F451" s="216"/>
      <c r="G451" s="198"/>
      <c r="H451" s="140"/>
      <c r="I451" s="140"/>
      <c r="J451" s="122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</row>
    <row r="452" spans="4:20" ht="15.75" customHeight="1">
      <c r="D452" s="140"/>
      <c r="E452" s="140"/>
      <c r="F452" s="216"/>
      <c r="G452" s="198"/>
      <c r="H452" s="140"/>
      <c r="I452" s="140"/>
      <c r="J452" s="122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</row>
    <row r="453" spans="4:20" ht="15.75" customHeight="1">
      <c r="D453" s="140"/>
      <c r="E453" s="140"/>
      <c r="F453" s="216"/>
      <c r="G453" s="198"/>
      <c r="H453" s="140"/>
      <c r="I453" s="140"/>
      <c r="J453" s="122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</row>
    <row r="454" spans="4:20" ht="15.75" customHeight="1">
      <c r="D454" s="140"/>
      <c r="E454" s="140"/>
      <c r="F454" s="216"/>
      <c r="G454" s="198"/>
      <c r="H454" s="140"/>
      <c r="I454" s="140"/>
      <c r="J454" s="122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</row>
    <row r="455" spans="4:20" ht="15.75" customHeight="1">
      <c r="D455" s="140"/>
      <c r="E455" s="140"/>
      <c r="F455" s="216"/>
      <c r="G455" s="198"/>
      <c r="H455" s="140"/>
      <c r="I455" s="140"/>
      <c r="J455" s="122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</row>
    <row r="456" spans="4:20" ht="15.75" customHeight="1">
      <c r="D456" s="140"/>
      <c r="E456" s="140"/>
      <c r="F456" s="216"/>
      <c r="G456" s="198"/>
      <c r="H456" s="140"/>
      <c r="I456" s="140"/>
      <c r="J456" s="122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</row>
    <row r="457" spans="4:20" ht="15.75" customHeight="1">
      <c r="D457" s="140"/>
      <c r="E457" s="140"/>
      <c r="F457" s="216"/>
      <c r="G457" s="198"/>
      <c r="H457" s="140"/>
      <c r="I457" s="140"/>
      <c r="J457" s="122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</row>
    <row r="458" spans="4:20" ht="15.75" customHeight="1">
      <c r="D458" s="140"/>
      <c r="E458" s="140"/>
      <c r="F458" s="216"/>
      <c r="G458" s="198"/>
      <c r="H458" s="140"/>
      <c r="I458" s="140"/>
      <c r="J458" s="122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</row>
    <row r="459" spans="4:20" ht="15.75" customHeight="1">
      <c r="D459" s="140"/>
      <c r="E459" s="140"/>
      <c r="F459" s="216"/>
      <c r="G459" s="198"/>
      <c r="H459" s="140"/>
      <c r="I459" s="140"/>
      <c r="J459" s="122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</row>
    <row r="460" spans="4:20" ht="15.75" customHeight="1">
      <c r="D460" s="140"/>
      <c r="E460" s="140"/>
      <c r="F460" s="216"/>
      <c r="G460" s="198"/>
      <c r="H460" s="140"/>
      <c r="I460" s="140"/>
      <c r="J460" s="122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</row>
    <row r="461" spans="4:20" ht="15.75" customHeight="1">
      <c r="D461" s="140"/>
      <c r="E461" s="140"/>
      <c r="F461" s="216"/>
      <c r="G461" s="198"/>
      <c r="H461" s="140"/>
      <c r="I461" s="140"/>
      <c r="J461" s="122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</row>
    <row r="462" spans="4:20" ht="15.75" customHeight="1">
      <c r="D462" s="140"/>
      <c r="E462" s="140"/>
      <c r="F462" s="216"/>
      <c r="G462" s="198"/>
      <c r="H462" s="140"/>
      <c r="I462" s="140"/>
      <c r="J462" s="122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</row>
    <row r="463" spans="4:20" ht="15.75" customHeight="1">
      <c r="D463" s="140"/>
      <c r="E463" s="140"/>
      <c r="F463" s="216"/>
      <c r="G463" s="198"/>
      <c r="H463" s="140"/>
      <c r="I463" s="140"/>
      <c r="J463" s="122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</row>
    <row r="464" spans="4:20" ht="15.75" customHeight="1">
      <c r="D464" s="140"/>
      <c r="E464" s="140"/>
      <c r="F464" s="216"/>
      <c r="G464" s="198"/>
      <c r="H464" s="140"/>
      <c r="I464" s="140"/>
      <c r="J464" s="122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</row>
    <row r="465" spans="4:20" ht="15.75" customHeight="1">
      <c r="D465" s="140"/>
      <c r="E465" s="140"/>
      <c r="F465" s="216"/>
      <c r="G465" s="198"/>
      <c r="H465" s="140"/>
      <c r="I465" s="140"/>
      <c r="J465" s="122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</row>
    <row r="466" spans="4:20" ht="15.75" customHeight="1">
      <c r="D466" s="140"/>
      <c r="E466" s="140"/>
      <c r="F466" s="216"/>
      <c r="G466" s="198"/>
      <c r="H466" s="140"/>
      <c r="I466" s="140"/>
      <c r="J466" s="122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</row>
    <row r="467" spans="4:20" ht="15.75" customHeight="1">
      <c r="D467" s="140"/>
      <c r="E467" s="140"/>
      <c r="F467" s="216"/>
      <c r="G467" s="198"/>
      <c r="H467" s="140"/>
      <c r="I467" s="140"/>
      <c r="J467" s="122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</row>
    <row r="468" spans="4:20" ht="15.75" customHeight="1">
      <c r="D468" s="140"/>
      <c r="E468" s="140"/>
      <c r="F468" s="216"/>
      <c r="G468" s="198"/>
      <c r="H468" s="140"/>
      <c r="I468" s="140"/>
      <c r="J468" s="122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</row>
    <row r="469" spans="4:20" ht="15.75" customHeight="1">
      <c r="D469" s="140"/>
      <c r="E469" s="140"/>
      <c r="F469" s="216"/>
      <c r="G469" s="198"/>
      <c r="H469" s="140"/>
      <c r="I469" s="140"/>
      <c r="J469" s="122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</row>
    <row r="470" spans="4:20" ht="15.75" customHeight="1">
      <c r="D470" s="140"/>
      <c r="E470" s="140"/>
      <c r="F470" s="216"/>
      <c r="G470" s="198"/>
      <c r="H470" s="140"/>
      <c r="I470" s="140"/>
      <c r="J470" s="122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</row>
    <row r="471" spans="4:20" ht="15.75" customHeight="1">
      <c r="D471" s="140"/>
      <c r="E471" s="140"/>
      <c r="F471" s="216"/>
      <c r="G471" s="198"/>
      <c r="H471" s="140"/>
      <c r="I471" s="140"/>
      <c r="J471" s="122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</row>
    <row r="472" spans="4:20" ht="15.75" customHeight="1">
      <c r="D472" s="140"/>
      <c r="E472" s="140"/>
      <c r="F472" s="216"/>
      <c r="G472" s="198"/>
      <c r="H472" s="140"/>
      <c r="I472" s="140"/>
      <c r="J472" s="122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</row>
    <row r="473" spans="4:20" ht="15.75" customHeight="1">
      <c r="D473" s="140"/>
      <c r="E473" s="140"/>
      <c r="F473" s="216"/>
      <c r="G473" s="198"/>
      <c r="H473" s="140"/>
      <c r="I473" s="140"/>
      <c r="J473" s="122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</row>
    <row r="474" spans="4:20" ht="15.75" customHeight="1">
      <c r="D474" s="140"/>
      <c r="E474" s="140"/>
      <c r="F474" s="216"/>
      <c r="G474" s="198"/>
      <c r="H474" s="140"/>
      <c r="I474" s="140"/>
      <c r="J474" s="122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</row>
    <row r="475" spans="4:20" ht="15.75" customHeight="1">
      <c r="D475" s="140"/>
      <c r="E475" s="140"/>
      <c r="F475" s="216"/>
      <c r="G475" s="198"/>
      <c r="H475" s="140"/>
      <c r="I475" s="140"/>
      <c r="J475" s="122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</row>
    <row r="476" spans="4:20" ht="15.75" customHeight="1">
      <c r="D476" s="140"/>
      <c r="E476" s="140"/>
      <c r="F476" s="216"/>
      <c r="G476" s="198"/>
      <c r="H476" s="140"/>
      <c r="I476" s="140"/>
      <c r="J476" s="122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</row>
    <row r="477" spans="4:20" ht="15.75" customHeight="1">
      <c r="D477" s="140"/>
      <c r="E477" s="140"/>
      <c r="F477" s="216"/>
      <c r="G477" s="198"/>
      <c r="H477" s="140"/>
      <c r="I477" s="140"/>
      <c r="J477" s="122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</row>
    <row r="478" spans="4:20" ht="15.75" customHeight="1">
      <c r="D478" s="140"/>
      <c r="E478" s="140"/>
      <c r="F478" s="216"/>
      <c r="G478" s="198"/>
      <c r="H478" s="140"/>
      <c r="I478" s="140"/>
      <c r="J478" s="122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</row>
    <row r="479" spans="4:20" ht="15.75" customHeight="1">
      <c r="D479" s="140"/>
      <c r="E479" s="140"/>
      <c r="F479" s="216"/>
      <c r="G479" s="198"/>
      <c r="H479" s="140"/>
      <c r="I479" s="140"/>
      <c r="J479" s="122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</row>
    <row r="480" spans="4:20" ht="15.75" customHeight="1">
      <c r="D480" s="140"/>
      <c r="E480" s="140"/>
      <c r="F480" s="216"/>
      <c r="G480" s="198"/>
      <c r="H480" s="140"/>
      <c r="I480" s="140"/>
      <c r="J480" s="122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</row>
    <row r="481" spans="4:20" ht="15.75" customHeight="1">
      <c r="D481" s="140"/>
      <c r="E481" s="140"/>
      <c r="F481" s="216"/>
      <c r="G481" s="198"/>
      <c r="H481" s="140"/>
      <c r="I481" s="140"/>
      <c r="J481" s="122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</row>
    <row r="482" spans="4:20" ht="15.75" customHeight="1">
      <c r="D482" s="140"/>
      <c r="E482" s="140"/>
      <c r="F482" s="216"/>
      <c r="G482" s="198"/>
      <c r="H482" s="140"/>
      <c r="I482" s="140"/>
      <c r="J482" s="122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</row>
    <row r="483" spans="4:20" ht="15.75" customHeight="1">
      <c r="D483" s="140"/>
      <c r="E483" s="140"/>
      <c r="F483" s="216"/>
      <c r="G483" s="198"/>
      <c r="H483" s="140"/>
      <c r="I483" s="140"/>
      <c r="J483" s="122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</row>
    <row r="484" spans="4:20" ht="15.75" customHeight="1">
      <c r="D484" s="140"/>
      <c r="E484" s="140"/>
      <c r="F484" s="216"/>
      <c r="G484" s="198"/>
      <c r="H484" s="140"/>
      <c r="I484" s="140"/>
      <c r="J484" s="122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</row>
    <row r="485" spans="4:20" ht="15.75" customHeight="1">
      <c r="D485" s="140"/>
      <c r="E485" s="140"/>
      <c r="F485" s="216"/>
      <c r="G485" s="198"/>
      <c r="H485" s="140"/>
      <c r="I485" s="140"/>
      <c r="J485" s="122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</row>
    <row r="486" spans="4:20" ht="15.75" customHeight="1">
      <c r="D486" s="140"/>
      <c r="E486" s="140"/>
      <c r="F486" s="216"/>
      <c r="G486" s="198"/>
      <c r="H486" s="140"/>
      <c r="I486" s="140"/>
      <c r="J486" s="122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</row>
    <row r="487" spans="4:20" ht="15.75" customHeight="1">
      <c r="D487" s="140"/>
      <c r="E487" s="140"/>
      <c r="F487" s="216"/>
      <c r="G487" s="198"/>
      <c r="H487" s="140"/>
      <c r="I487" s="140"/>
      <c r="J487" s="122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</row>
    <row r="488" spans="4:20" ht="15.75" customHeight="1">
      <c r="D488" s="140"/>
      <c r="E488" s="140"/>
      <c r="F488" s="216"/>
      <c r="G488" s="198"/>
      <c r="H488" s="140"/>
      <c r="I488" s="140"/>
      <c r="J488" s="122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</row>
    <row r="489" spans="4:20" ht="15.75" customHeight="1">
      <c r="D489" s="140"/>
      <c r="E489" s="140"/>
      <c r="F489" s="216"/>
      <c r="G489" s="198"/>
      <c r="H489" s="140"/>
      <c r="I489" s="140"/>
      <c r="J489" s="122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</row>
    <row r="490" spans="4:20" ht="15.75" customHeight="1">
      <c r="D490" s="140"/>
      <c r="E490" s="140"/>
      <c r="F490" s="216"/>
      <c r="G490" s="198"/>
      <c r="H490" s="140"/>
      <c r="I490" s="140"/>
      <c r="J490" s="122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</row>
    <row r="491" spans="4:20" ht="15.75" customHeight="1">
      <c r="D491" s="140"/>
      <c r="E491" s="140"/>
      <c r="F491" s="216"/>
      <c r="G491" s="198"/>
      <c r="H491" s="140"/>
      <c r="I491" s="140"/>
      <c r="J491" s="122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</row>
    <row r="492" spans="4:20" ht="15.75" customHeight="1">
      <c r="D492" s="140"/>
      <c r="E492" s="140"/>
      <c r="F492" s="216"/>
      <c r="G492" s="198"/>
      <c r="H492" s="140"/>
      <c r="I492" s="140"/>
      <c r="J492" s="122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</row>
    <row r="493" spans="4:20" ht="15.75" customHeight="1">
      <c r="D493" s="140"/>
      <c r="E493" s="140"/>
      <c r="F493" s="216"/>
      <c r="G493" s="198"/>
      <c r="H493" s="140"/>
      <c r="I493" s="140"/>
      <c r="J493" s="122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</row>
    <row r="494" spans="4:20" ht="15.75" customHeight="1">
      <c r="D494" s="140"/>
      <c r="E494" s="140"/>
      <c r="F494" s="216"/>
      <c r="G494" s="198"/>
      <c r="H494" s="140"/>
      <c r="I494" s="140"/>
      <c r="J494" s="122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</row>
    <row r="495" spans="4:20" ht="15.75" customHeight="1">
      <c r="D495" s="140"/>
      <c r="E495" s="140"/>
      <c r="F495" s="216"/>
      <c r="G495" s="198"/>
      <c r="H495" s="140"/>
      <c r="I495" s="140"/>
      <c r="J495" s="122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</row>
    <row r="496" spans="4:20" ht="15.75" customHeight="1">
      <c r="D496" s="140"/>
      <c r="E496" s="140"/>
      <c r="F496" s="216"/>
      <c r="G496" s="198"/>
      <c r="H496" s="140"/>
      <c r="I496" s="140"/>
      <c r="J496" s="122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</row>
    <row r="497" spans="4:20" ht="15.75" customHeight="1">
      <c r="D497" s="140"/>
      <c r="E497" s="140"/>
      <c r="F497" s="216"/>
      <c r="G497" s="198"/>
      <c r="H497" s="140"/>
      <c r="I497" s="140"/>
      <c r="J497" s="122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</row>
    <row r="498" spans="4:20" ht="15.75" customHeight="1">
      <c r="D498" s="140"/>
      <c r="E498" s="140"/>
      <c r="F498" s="216"/>
      <c r="G498" s="198"/>
      <c r="H498" s="140"/>
      <c r="I498" s="140"/>
      <c r="J498" s="122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</row>
    <row r="499" spans="4:20" ht="15.75" customHeight="1">
      <c r="D499" s="140"/>
      <c r="E499" s="140"/>
      <c r="F499" s="216"/>
      <c r="G499" s="198"/>
      <c r="H499" s="140"/>
      <c r="I499" s="140"/>
      <c r="J499" s="122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</row>
    <row r="500" spans="4:20" ht="15.75" customHeight="1">
      <c r="D500" s="140"/>
      <c r="E500" s="140"/>
      <c r="F500" s="216"/>
      <c r="G500" s="198"/>
      <c r="H500" s="140"/>
      <c r="I500" s="140"/>
      <c r="J500" s="122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</row>
    <row r="501" spans="4:20" ht="15.75" customHeight="1">
      <c r="D501" s="140"/>
      <c r="E501" s="140"/>
      <c r="F501" s="216"/>
      <c r="G501" s="198"/>
      <c r="H501" s="140"/>
      <c r="I501" s="140"/>
      <c r="J501" s="122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</row>
    <row r="502" spans="4:20" ht="15.75" customHeight="1">
      <c r="D502" s="140"/>
      <c r="E502" s="140"/>
      <c r="F502" s="216"/>
      <c r="G502" s="198"/>
      <c r="H502" s="140"/>
      <c r="I502" s="140"/>
      <c r="J502" s="122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</row>
    <row r="503" spans="4:20" ht="15.75" customHeight="1">
      <c r="D503" s="140"/>
      <c r="E503" s="140"/>
      <c r="F503" s="216"/>
      <c r="G503" s="198"/>
      <c r="H503" s="140"/>
      <c r="I503" s="140"/>
      <c r="J503" s="122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</row>
    <row r="504" spans="4:20" ht="15.75" customHeight="1">
      <c r="D504" s="140"/>
      <c r="E504" s="140"/>
      <c r="F504" s="216"/>
      <c r="G504" s="198"/>
      <c r="H504" s="140"/>
      <c r="I504" s="140"/>
      <c r="J504" s="122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</row>
    <row r="505" spans="4:20" ht="15.75" customHeight="1">
      <c r="D505" s="140"/>
      <c r="E505" s="140"/>
      <c r="F505" s="216"/>
      <c r="G505" s="198"/>
      <c r="H505" s="140"/>
      <c r="I505" s="140"/>
      <c r="J505" s="122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</row>
    <row r="506" spans="4:20" ht="15.75" customHeight="1">
      <c r="D506" s="140"/>
      <c r="E506" s="140"/>
      <c r="F506" s="216"/>
      <c r="G506" s="198"/>
      <c r="H506" s="140"/>
      <c r="I506" s="140"/>
      <c r="J506" s="122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</row>
    <row r="507" spans="4:20" ht="15.75" customHeight="1">
      <c r="D507" s="140"/>
      <c r="E507" s="140"/>
      <c r="F507" s="216"/>
      <c r="G507" s="198"/>
      <c r="H507" s="140"/>
      <c r="I507" s="140"/>
      <c r="J507" s="122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</row>
    <row r="508" spans="4:20" ht="15.75" customHeight="1">
      <c r="D508" s="140"/>
      <c r="E508" s="140"/>
      <c r="F508" s="216"/>
      <c r="G508" s="198"/>
      <c r="H508" s="140"/>
      <c r="I508" s="140"/>
      <c r="J508" s="122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</row>
    <row r="509" spans="4:20" ht="15.75" customHeight="1">
      <c r="D509" s="140"/>
      <c r="E509" s="140"/>
      <c r="F509" s="216"/>
      <c r="G509" s="198"/>
      <c r="H509" s="140"/>
      <c r="I509" s="140"/>
      <c r="J509" s="122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</row>
    <row r="510" spans="4:20" ht="15.75" customHeight="1">
      <c r="D510" s="140"/>
      <c r="E510" s="140"/>
      <c r="F510" s="216"/>
      <c r="G510" s="198"/>
      <c r="H510" s="140"/>
      <c r="I510" s="140"/>
      <c r="J510" s="122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</row>
    <row r="511" spans="4:20" ht="15.75" customHeight="1">
      <c r="D511" s="140"/>
      <c r="E511" s="140"/>
      <c r="F511" s="216"/>
      <c r="G511" s="198"/>
      <c r="H511" s="140"/>
      <c r="I511" s="140"/>
      <c r="J511" s="122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</row>
    <row r="512" spans="4:20" ht="15.75" customHeight="1">
      <c r="D512" s="140"/>
      <c r="E512" s="140"/>
      <c r="F512" s="216"/>
      <c r="G512" s="198"/>
      <c r="H512" s="140"/>
      <c r="I512" s="140"/>
      <c r="J512" s="122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</row>
    <row r="513" spans="4:20" ht="15.75" customHeight="1">
      <c r="D513" s="140"/>
      <c r="E513" s="140"/>
      <c r="F513" s="216"/>
      <c r="G513" s="198"/>
      <c r="H513" s="140"/>
      <c r="I513" s="140"/>
      <c r="J513" s="122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</row>
    <row r="514" spans="4:20" ht="15.75" customHeight="1">
      <c r="D514" s="140"/>
      <c r="E514" s="140"/>
      <c r="F514" s="216"/>
      <c r="G514" s="198"/>
      <c r="H514" s="140"/>
      <c r="I514" s="140"/>
      <c r="J514" s="122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</row>
    <row r="515" spans="4:20" ht="15.75" customHeight="1">
      <c r="D515" s="140"/>
      <c r="E515" s="140"/>
      <c r="F515" s="216"/>
      <c r="G515" s="198"/>
      <c r="H515" s="140"/>
      <c r="I515" s="140"/>
      <c r="J515" s="122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</row>
    <row r="516" spans="4:20" ht="15.75" customHeight="1">
      <c r="D516" s="140"/>
      <c r="E516" s="140"/>
      <c r="F516" s="216"/>
      <c r="G516" s="198"/>
      <c r="H516" s="140"/>
      <c r="I516" s="140"/>
      <c r="J516" s="122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</row>
    <row r="517" spans="4:20" ht="15.75" customHeight="1">
      <c r="D517" s="140"/>
      <c r="E517" s="140"/>
      <c r="F517" s="216"/>
      <c r="G517" s="198"/>
      <c r="H517" s="140"/>
      <c r="I517" s="140"/>
      <c r="J517" s="122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</row>
    <row r="518" spans="4:20" ht="15.75" customHeight="1">
      <c r="D518" s="140"/>
      <c r="E518" s="140"/>
      <c r="F518" s="216"/>
      <c r="G518" s="198"/>
      <c r="H518" s="140"/>
      <c r="I518" s="140"/>
      <c r="J518" s="122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</row>
    <row r="519" spans="4:20" ht="15.75" customHeight="1">
      <c r="D519" s="140"/>
      <c r="E519" s="140"/>
      <c r="F519" s="216"/>
      <c r="G519" s="198"/>
      <c r="H519" s="140"/>
      <c r="I519" s="140"/>
      <c r="J519" s="122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</row>
    <row r="520" spans="4:20" ht="15.75" customHeight="1">
      <c r="D520" s="140"/>
      <c r="E520" s="140"/>
      <c r="F520" s="216"/>
      <c r="G520" s="198"/>
      <c r="H520" s="140"/>
      <c r="I520" s="140"/>
      <c r="J520" s="122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</row>
    <row r="521" spans="4:20" ht="15.75" customHeight="1">
      <c r="D521" s="140"/>
      <c r="E521" s="140"/>
      <c r="F521" s="216"/>
      <c r="G521" s="198"/>
      <c r="H521" s="140"/>
      <c r="I521" s="140"/>
      <c r="J521" s="122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</row>
    <row r="522" spans="4:20" ht="15.75" customHeight="1">
      <c r="D522" s="140"/>
      <c r="E522" s="140"/>
      <c r="F522" s="216"/>
      <c r="G522" s="198"/>
      <c r="H522" s="140"/>
      <c r="I522" s="140"/>
      <c r="J522" s="122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</row>
    <row r="523" spans="4:20" ht="15.75" customHeight="1">
      <c r="D523" s="140"/>
      <c r="E523" s="140"/>
      <c r="F523" s="216"/>
      <c r="G523" s="198"/>
      <c r="H523" s="140"/>
      <c r="I523" s="140"/>
      <c r="J523" s="122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</row>
    <row r="524" spans="4:20" ht="15.75" customHeight="1">
      <c r="D524" s="140"/>
      <c r="E524" s="140"/>
      <c r="F524" s="216"/>
      <c r="G524" s="198"/>
      <c r="H524" s="140"/>
      <c r="I524" s="140"/>
      <c r="J524" s="122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</row>
    <row r="525" spans="4:20" ht="15.75" customHeight="1">
      <c r="D525" s="140"/>
      <c r="E525" s="140"/>
      <c r="F525" s="216"/>
      <c r="G525" s="198"/>
      <c r="H525" s="140"/>
      <c r="I525" s="140"/>
      <c r="J525" s="122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</row>
    <row r="526" spans="4:20" ht="15.75" customHeight="1">
      <c r="D526" s="140"/>
      <c r="E526" s="140"/>
      <c r="F526" s="216"/>
      <c r="G526" s="198"/>
      <c r="H526" s="140"/>
      <c r="I526" s="140"/>
      <c r="J526" s="122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</row>
    <row r="527" spans="4:20" ht="15.75" customHeight="1">
      <c r="D527" s="140"/>
      <c r="E527" s="140"/>
      <c r="F527" s="216"/>
      <c r="G527" s="198"/>
      <c r="H527" s="140"/>
      <c r="I527" s="140"/>
      <c r="J527" s="122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</row>
    <row r="528" spans="4:20" ht="15.75" customHeight="1">
      <c r="D528" s="140"/>
      <c r="E528" s="140"/>
      <c r="F528" s="216"/>
      <c r="G528" s="198"/>
      <c r="H528" s="140"/>
      <c r="I528" s="140"/>
      <c r="J528" s="122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</row>
    <row r="529" spans="4:20" ht="15.75" customHeight="1">
      <c r="D529" s="140"/>
      <c r="E529" s="140"/>
      <c r="F529" s="216"/>
      <c r="G529" s="198"/>
      <c r="H529" s="140"/>
      <c r="I529" s="140"/>
      <c r="J529" s="122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</row>
    <row r="530" spans="4:20" ht="15.75" customHeight="1">
      <c r="D530" s="140"/>
      <c r="E530" s="140"/>
      <c r="F530" s="216"/>
      <c r="G530" s="198"/>
      <c r="H530" s="140"/>
      <c r="I530" s="140"/>
      <c r="J530" s="122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</row>
    <row r="531" spans="4:20" ht="15.75" customHeight="1">
      <c r="D531" s="140"/>
      <c r="E531" s="140"/>
      <c r="F531" s="216"/>
      <c r="G531" s="198"/>
      <c r="H531" s="140"/>
      <c r="I531" s="140"/>
      <c r="J531" s="122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</row>
    <row r="532" spans="4:20" ht="15.75" customHeight="1">
      <c r="D532" s="140"/>
      <c r="E532" s="140"/>
      <c r="F532" s="216"/>
      <c r="G532" s="198"/>
      <c r="H532" s="140"/>
      <c r="I532" s="140"/>
      <c r="J532" s="122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</row>
    <row r="533" spans="4:20" ht="15.75" customHeight="1">
      <c r="D533" s="140"/>
      <c r="E533" s="140"/>
      <c r="F533" s="216"/>
      <c r="G533" s="198"/>
      <c r="H533" s="140"/>
      <c r="I533" s="140"/>
      <c r="J533" s="122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</row>
    <row r="534" spans="4:20" ht="15.75" customHeight="1">
      <c r="D534" s="140"/>
      <c r="E534" s="140"/>
      <c r="F534" s="216"/>
      <c r="G534" s="198"/>
      <c r="H534" s="140"/>
      <c r="I534" s="140"/>
      <c r="J534" s="122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</row>
    <row r="535" spans="4:20" ht="15.75" customHeight="1">
      <c r="D535" s="140"/>
      <c r="E535" s="140"/>
      <c r="F535" s="216"/>
      <c r="G535" s="198"/>
      <c r="H535" s="140"/>
      <c r="I535" s="140"/>
      <c r="J535" s="122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</row>
    <row r="536" spans="4:20" ht="15.75" customHeight="1">
      <c r="D536" s="140"/>
      <c r="E536" s="140"/>
      <c r="F536" s="216"/>
      <c r="G536" s="198"/>
      <c r="H536" s="140"/>
      <c r="I536" s="140"/>
      <c r="J536" s="122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</row>
    <row r="537" spans="4:20" ht="15.75" customHeight="1">
      <c r="D537" s="140"/>
      <c r="E537" s="140"/>
      <c r="F537" s="216"/>
      <c r="G537" s="198"/>
      <c r="H537" s="140"/>
      <c r="I537" s="140"/>
      <c r="J537" s="122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</row>
    <row r="538" spans="4:20" ht="15.75" customHeight="1">
      <c r="D538" s="140"/>
      <c r="E538" s="140"/>
      <c r="F538" s="216"/>
      <c r="G538" s="198"/>
      <c r="H538" s="140"/>
      <c r="I538" s="140"/>
      <c r="J538" s="122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</row>
    <row r="539" spans="4:20" ht="15.75" customHeight="1">
      <c r="D539" s="140"/>
      <c r="E539" s="140"/>
      <c r="F539" s="216"/>
      <c r="G539" s="198"/>
      <c r="H539" s="140"/>
      <c r="I539" s="140"/>
      <c r="J539" s="122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</row>
    <row r="540" spans="4:20" ht="15.75" customHeight="1">
      <c r="D540" s="140"/>
      <c r="E540" s="140"/>
      <c r="F540" s="216"/>
      <c r="G540" s="198"/>
      <c r="H540" s="140"/>
      <c r="I540" s="140"/>
      <c r="J540" s="122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</row>
    <row r="541" spans="4:20" ht="15.75" customHeight="1">
      <c r="D541" s="140"/>
      <c r="E541" s="140"/>
      <c r="F541" s="216"/>
      <c r="G541" s="198"/>
      <c r="H541" s="140"/>
      <c r="I541" s="140"/>
      <c r="J541" s="122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</row>
    <row r="542" spans="4:20" ht="15.75" customHeight="1">
      <c r="D542" s="140"/>
      <c r="E542" s="140"/>
      <c r="F542" s="216"/>
      <c r="G542" s="198"/>
      <c r="H542" s="140"/>
      <c r="I542" s="140"/>
      <c r="J542" s="122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</row>
    <row r="543" spans="4:20" ht="15.75" customHeight="1">
      <c r="D543" s="140"/>
      <c r="E543" s="140"/>
      <c r="F543" s="216"/>
      <c r="G543" s="198"/>
      <c r="H543" s="140"/>
      <c r="I543" s="140"/>
      <c r="J543" s="122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</row>
    <row r="544" spans="4:20" ht="15.75" customHeight="1">
      <c r="D544" s="140"/>
      <c r="E544" s="140"/>
      <c r="F544" s="216"/>
      <c r="G544" s="198"/>
      <c r="H544" s="140"/>
      <c r="I544" s="140"/>
      <c r="J544" s="122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</row>
    <row r="545" spans="4:20" ht="15.75" customHeight="1">
      <c r="D545" s="140"/>
      <c r="E545" s="140"/>
      <c r="F545" s="216"/>
      <c r="G545" s="198"/>
      <c r="H545" s="140"/>
      <c r="I545" s="140"/>
      <c r="J545" s="122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</row>
    <row r="546" spans="4:20" ht="15.75" customHeight="1">
      <c r="D546" s="140"/>
      <c r="E546" s="140"/>
      <c r="F546" s="216"/>
      <c r="G546" s="198"/>
      <c r="H546" s="140"/>
      <c r="I546" s="140"/>
      <c r="J546" s="122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</row>
    <row r="547" spans="4:20" ht="15.75" customHeight="1">
      <c r="D547" s="140"/>
      <c r="E547" s="140"/>
      <c r="F547" s="216"/>
      <c r="G547" s="198"/>
      <c r="H547" s="140"/>
      <c r="I547" s="140"/>
      <c r="J547" s="122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</row>
    <row r="548" spans="4:20" ht="15.75" customHeight="1">
      <c r="D548" s="140"/>
      <c r="E548" s="140"/>
      <c r="F548" s="216"/>
      <c r="G548" s="198"/>
      <c r="H548" s="140"/>
      <c r="I548" s="140"/>
      <c r="J548" s="122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</row>
    <row r="549" spans="4:20" ht="15.75" customHeight="1">
      <c r="D549" s="140"/>
      <c r="E549" s="140"/>
      <c r="F549" s="216"/>
      <c r="G549" s="198"/>
      <c r="H549" s="140"/>
      <c r="I549" s="140"/>
      <c r="J549" s="122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</row>
    <row r="550" spans="4:20" ht="15.75" customHeight="1">
      <c r="D550" s="140"/>
      <c r="E550" s="140"/>
      <c r="F550" s="216"/>
      <c r="G550" s="198"/>
      <c r="H550" s="140"/>
      <c r="I550" s="140"/>
      <c r="J550" s="122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</row>
    <row r="551" spans="4:20" ht="15.75" customHeight="1">
      <c r="D551" s="140"/>
      <c r="E551" s="140"/>
      <c r="F551" s="216"/>
      <c r="G551" s="198"/>
      <c r="H551" s="140"/>
      <c r="I551" s="140"/>
      <c r="J551" s="122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</row>
    <row r="552" spans="4:20" ht="15.75" customHeight="1">
      <c r="D552" s="140"/>
      <c r="E552" s="140"/>
      <c r="F552" s="216"/>
      <c r="G552" s="198"/>
      <c r="H552" s="140"/>
      <c r="I552" s="140"/>
      <c r="J552" s="122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</row>
    <row r="553" spans="4:20" ht="15.75" customHeight="1">
      <c r="D553" s="140"/>
      <c r="E553" s="140"/>
      <c r="F553" s="216"/>
      <c r="G553" s="198"/>
      <c r="H553" s="140"/>
      <c r="I553" s="140"/>
      <c r="J553" s="122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</row>
    <row r="554" spans="4:20" ht="15.75" customHeight="1">
      <c r="D554" s="140"/>
      <c r="E554" s="140"/>
      <c r="F554" s="216"/>
      <c r="G554" s="198"/>
      <c r="H554" s="140"/>
      <c r="I554" s="140"/>
      <c r="J554" s="122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</row>
    <row r="555" spans="4:20" ht="15.75" customHeight="1">
      <c r="D555" s="140"/>
      <c r="E555" s="140"/>
      <c r="F555" s="216"/>
      <c r="G555" s="198"/>
      <c r="H555" s="140"/>
      <c r="I555" s="140"/>
      <c r="J555" s="122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</row>
    <row r="556" spans="4:20" ht="15.75" customHeight="1">
      <c r="D556" s="140"/>
      <c r="E556" s="140"/>
      <c r="F556" s="216"/>
      <c r="G556" s="198"/>
      <c r="H556" s="140"/>
      <c r="I556" s="140"/>
      <c r="J556" s="122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</row>
    <row r="557" spans="4:20" ht="15.75" customHeight="1">
      <c r="D557" s="140"/>
      <c r="E557" s="140"/>
      <c r="F557" s="216"/>
      <c r="G557" s="198"/>
      <c r="H557" s="140"/>
      <c r="I557" s="140"/>
      <c r="J557" s="122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</row>
    <row r="558" spans="4:20" ht="15.75" customHeight="1">
      <c r="D558" s="140"/>
      <c r="E558" s="140"/>
      <c r="F558" s="216"/>
      <c r="G558" s="198"/>
      <c r="H558" s="140"/>
      <c r="I558" s="140"/>
      <c r="J558" s="122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</row>
    <row r="559" spans="4:20" ht="15.75" customHeight="1">
      <c r="D559" s="140"/>
      <c r="E559" s="140"/>
      <c r="F559" s="216"/>
      <c r="G559" s="198"/>
      <c r="H559" s="140"/>
      <c r="I559" s="140"/>
      <c r="J559" s="122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</row>
    <row r="560" spans="4:20" ht="15.75" customHeight="1">
      <c r="D560" s="140"/>
      <c r="E560" s="140"/>
      <c r="F560" s="216"/>
      <c r="G560" s="198"/>
      <c r="H560" s="140"/>
      <c r="I560" s="140"/>
      <c r="J560" s="122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</row>
    <row r="561" spans="4:20" ht="15.75" customHeight="1">
      <c r="D561" s="140"/>
      <c r="E561" s="140"/>
      <c r="F561" s="216"/>
      <c r="G561" s="198"/>
      <c r="H561" s="140"/>
      <c r="I561" s="140"/>
      <c r="J561" s="122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</row>
    <row r="562" spans="4:20" ht="15.75" customHeight="1">
      <c r="D562" s="140"/>
      <c r="E562" s="140"/>
      <c r="F562" s="216"/>
      <c r="G562" s="198"/>
      <c r="H562" s="140"/>
      <c r="I562" s="140"/>
      <c r="J562" s="122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</row>
    <row r="563" spans="4:20" ht="15.75" customHeight="1">
      <c r="D563" s="140"/>
      <c r="E563" s="140"/>
      <c r="F563" s="216"/>
      <c r="G563" s="198"/>
      <c r="H563" s="140"/>
      <c r="I563" s="140"/>
      <c r="J563" s="122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</row>
    <row r="564" spans="4:20" ht="15.75" customHeight="1">
      <c r="D564" s="140"/>
      <c r="E564" s="140"/>
      <c r="F564" s="216"/>
      <c r="G564" s="198"/>
      <c r="H564" s="140"/>
      <c r="I564" s="140"/>
      <c r="J564" s="122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</row>
    <row r="565" spans="4:20" ht="15.75" customHeight="1">
      <c r="D565" s="140"/>
      <c r="E565" s="140"/>
      <c r="F565" s="216"/>
      <c r="G565" s="198"/>
      <c r="H565" s="140"/>
      <c r="I565" s="140"/>
      <c r="J565" s="122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</row>
    <row r="566" spans="4:20" ht="15.75" customHeight="1">
      <c r="D566" s="140"/>
      <c r="E566" s="140"/>
      <c r="F566" s="216"/>
      <c r="G566" s="198"/>
      <c r="H566" s="140"/>
      <c r="I566" s="140"/>
      <c r="J566" s="122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</row>
    <row r="567" spans="4:20" ht="15.75" customHeight="1">
      <c r="D567" s="140"/>
      <c r="E567" s="140"/>
      <c r="F567" s="216"/>
      <c r="G567" s="198"/>
      <c r="H567" s="140"/>
      <c r="I567" s="140"/>
      <c r="J567" s="122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</row>
    <row r="568" spans="4:20" ht="15.75" customHeight="1">
      <c r="D568" s="140"/>
      <c r="E568" s="140"/>
      <c r="F568" s="216"/>
      <c r="G568" s="198"/>
      <c r="H568" s="140"/>
      <c r="I568" s="140"/>
      <c r="J568" s="122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</row>
    <row r="569" spans="4:20" ht="15.75" customHeight="1">
      <c r="D569" s="140"/>
      <c r="E569" s="140"/>
      <c r="F569" s="216"/>
      <c r="G569" s="198"/>
      <c r="H569" s="140"/>
      <c r="I569" s="140"/>
      <c r="J569" s="122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</row>
    <row r="570" spans="4:20" ht="15.75" customHeight="1">
      <c r="D570" s="140"/>
      <c r="E570" s="140"/>
      <c r="F570" s="216"/>
      <c r="G570" s="198"/>
      <c r="H570" s="140"/>
      <c r="I570" s="140"/>
      <c r="J570" s="122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</row>
    <row r="571" spans="4:20" ht="15.75" customHeight="1">
      <c r="D571" s="140"/>
      <c r="E571" s="140"/>
      <c r="F571" s="216"/>
      <c r="G571" s="198"/>
      <c r="H571" s="140"/>
      <c r="I571" s="140"/>
      <c r="J571" s="122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</row>
    <row r="572" spans="4:20" ht="15.75" customHeight="1">
      <c r="D572" s="140"/>
      <c r="E572" s="140"/>
      <c r="F572" s="216"/>
      <c r="G572" s="198"/>
      <c r="H572" s="140"/>
      <c r="I572" s="140"/>
      <c r="J572" s="122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</row>
    <row r="573" spans="4:20" ht="15.75" customHeight="1">
      <c r="D573" s="140"/>
      <c r="E573" s="140"/>
      <c r="F573" s="216"/>
      <c r="G573" s="198"/>
      <c r="H573" s="140"/>
      <c r="I573" s="140"/>
      <c r="J573" s="122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</row>
    <row r="574" spans="4:20" ht="15.75" customHeight="1">
      <c r="D574" s="140"/>
      <c r="E574" s="140"/>
      <c r="F574" s="216"/>
      <c r="G574" s="198"/>
      <c r="H574" s="140"/>
      <c r="I574" s="140"/>
      <c r="J574" s="122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</row>
    <row r="575" spans="4:20" ht="15.75" customHeight="1">
      <c r="D575" s="140"/>
      <c r="E575" s="140"/>
      <c r="F575" s="216"/>
      <c r="G575" s="198"/>
      <c r="H575" s="140"/>
      <c r="I575" s="140"/>
      <c r="J575" s="122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</row>
    <row r="576" spans="4:20" ht="15.75" customHeight="1">
      <c r="D576" s="140"/>
      <c r="E576" s="140"/>
      <c r="F576" s="216"/>
      <c r="G576" s="198"/>
      <c r="H576" s="140"/>
      <c r="I576" s="140"/>
      <c r="J576" s="122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</row>
    <row r="577" spans="4:20" ht="15.75" customHeight="1">
      <c r="D577" s="140"/>
      <c r="E577" s="140"/>
      <c r="F577" s="216"/>
      <c r="G577" s="198"/>
      <c r="H577" s="140"/>
      <c r="I577" s="140"/>
      <c r="J577" s="122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</row>
    <row r="578" spans="4:20" ht="15.75" customHeight="1">
      <c r="D578" s="140"/>
      <c r="E578" s="140"/>
      <c r="F578" s="216"/>
      <c r="G578" s="198"/>
      <c r="H578" s="140"/>
      <c r="I578" s="140"/>
      <c r="J578" s="122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</row>
    <row r="579" spans="4:20" ht="15.75" customHeight="1">
      <c r="D579" s="140"/>
      <c r="E579" s="140"/>
      <c r="F579" s="216"/>
      <c r="G579" s="198"/>
      <c r="H579" s="140"/>
      <c r="I579" s="140"/>
      <c r="J579" s="122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</row>
    <row r="580" spans="4:20" ht="15.75" customHeight="1">
      <c r="D580" s="140"/>
      <c r="E580" s="140"/>
      <c r="F580" s="216"/>
      <c r="G580" s="198"/>
      <c r="H580" s="140"/>
      <c r="I580" s="140"/>
      <c r="J580" s="122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</row>
    <row r="581" spans="4:20" ht="15.75" customHeight="1">
      <c r="D581" s="140"/>
      <c r="E581" s="140"/>
      <c r="F581" s="216"/>
      <c r="G581" s="198"/>
      <c r="H581" s="140"/>
      <c r="I581" s="140"/>
      <c r="J581" s="122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</row>
    <row r="582" spans="4:20" ht="15.75" customHeight="1">
      <c r="D582" s="140"/>
      <c r="E582" s="140"/>
      <c r="F582" s="216"/>
      <c r="G582" s="198"/>
      <c r="H582" s="140"/>
      <c r="I582" s="140"/>
      <c r="J582" s="122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</row>
    <row r="583" spans="4:20" ht="15.75" customHeight="1">
      <c r="D583" s="140"/>
      <c r="E583" s="140"/>
      <c r="F583" s="216"/>
      <c r="G583" s="198"/>
      <c r="H583" s="140"/>
      <c r="I583" s="140"/>
      <c r="J583" s="122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</row>
    <row r="584" spans="4:20" ht="15.75" customHeight="1">
      <c r="D584" s="140"/>
      <c r="E584" s="140"/>
      <c r="F584" s="216"/>
      <c r="G584" s="198"/>
      <c r="H584" s="140"/>
      <c r="I584" s="140"/>
      <c r="J584" s="122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</row>
    <row r="585" spans="4:20" ht="15.75" customHeight="1">
      <c r="D585" s="140"/>
      <c r="E585" s="140"/>
      <c r="F585" s="216"/>
      <c r="G585" s="198"/>
      <c r="H585" s="140"/>
      <c r="I585" s="140"/>
      <c r="J585" s="122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</row>
    <row r="586" spans="4:20" ht="15.75" customHeight="1">
      <c r="D586" s="140"/>
      <c r="E586" s="140"/>
      <c r="F586" s="216"/>
      <c r="G586" s="198"/>
      <c r="H586" s="140"/>
      <c r="I586" s="140"/>
      <c r="J586" s="122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</row>
    <row r="587" spans="4:20" ht="15.75" customHeight="1">
      <c r="D587" s="140"/>
      <c r="E587" s="140"/>
      <c r="F587" s="216"/>
      <c r="G587" s="198"/>
      <c r="H587" s="140"/>
      <c r="I587" s="140"/>
      <c r="J587" s="122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</row>
    <row r="588" spans="4:20" ht="15.75" customHeight="1">
      <c r="D588" s="140"/>
      <c r="E588" s="140"/>
      <c r="F588" s="216"/>
      <c r="G588" s="198"/>
      <c r="H588" s="140"/>
      <c r="I588" s="140"/>
      <c r="J588" s="122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</row>
    <row r="589" spans="4:20" ht="15.75" customHeight="1">
      <c r="D589" s="140"/>
      <c r="E589" s="140"/>
      <c r="F589" s="216"/>
      <c r="G589" s="198"/>
      <c r="H589" s="140"/>
      <c r="I589" s="140"/>
      <c r="J589" s="122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</row>
    <row r="590" spans="4:20" ht="15.75" customHeight="1">
      <c r="D590" s="140"/>
      <c r="E590" s="140"/>
      <c r="F590" s="216"/>
      <c r="G590" s="198"/>
      <c r="H590" s="140"/>
      <c r="I590" s="140"/>
      <c r="J590" s="122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</row>
    <row r="591" spans="4:20" ht="15.75" customHeight="1">
      <c r="D591" s="140"/>
      <c r="E591" s="140"/>
      <c r="F591" s="216"/>
      <c r="G591" s="198"/>
      <c r="H591" s="140"/>
      <c r="I591" s="140"/>
      <c r="J591" s="122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</row>
    <row r="592" spans="4:20" ht="15.75" customHeight="1">
      <c r="D592" s="140"/>
      <c r="E592" s="140"/>
      <c r="F592" s="216"/>
      <c r="G592" s="198"/>
      <c r="H592" s="140"/>
      <c r="I592" s="140"/>
      <c r="J592" s="122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</row>
    <row r="593" spans="4:20" ht="15.75" customHeight="1">
      <c r="D593" s="140"/>
      <c r="E593" s="140"/>
      <c r="F593" s="216"/>
      <c r="G593" s="198"/>
      <c r="H593" s="140"/>
      <c r="I593" s="140"/>
      <c r="J593" s="122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</row>
    <row r="594" spans="4:20" ht="15.75" customHeight="1">
      <c r="D594" s="140"/>
      <c r="E594" s="140"/>
      <c r="F594" s="216"/>
      <c r="G594" s="198"/>
      <c r="H594" s="140"/>
      <c r="I594" s="140"/>
      <c r="J594" s="122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</row>
    <row r="595" spans="4:20" ht="15.75" customHeight="1">
      <c r="D595" s="140"/>
      <c r="E595" s="140"/>
      <c r="F595" s="216"/>
      <c r="G595" s="198"/>
      <c r="H595" s="140"/>
      <c r="I595" s="140"/>
      <c r="J595" s="122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</row>
    <row r="596" spans="4:20" ht="15.75" customHeight="1">
      <c r="D596" s="140"/>
      <c r="E596" s="140"/>
      <c r="F596" s="216"/>
      <c r="G596" s="198"/>
      <c r="H596" s="140"/>
      <c r="I596" s="140"/>
      <c r="J596" s="122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</row>
    <row r="597" spans="4:20" ht="15.75" customHeight="1">
      <c r="D597" s="140"/>
      <c r="E597" s="140"/>
      <c r="F597" s="216"/>
      <c r="G597" s="198"/>
      <c r="H597" s="140"/>
      <c r="I597" s="140"/>
      <c r="J597" s="122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</row>
    <row r="598" spans="4:20" ht="15.75" customHeight="1">
      <c r="D598" s="140"/>
      <c r="E598" s="140"/>
      <c r="F598" s="216"/>
      <c r="G598" s="198"/>
      <c r="H598" s="140"/>
      <c r="I598" s="140"/>
      <c r="J598" s="122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</row>
    <row r="599" spans="4:20" ht="15.75" customHeight="1">
      <c r="D599" s="140"/>
      <c r="E599" s="140"/>
      <c r="F599" s="216"/>
      <c r="G599" s="198"/>
      <c r="H599" s="140"/>
      <c r="I599" s="140"/>
      <c r="J599" s="122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</row>
    <row r="600" spans="4:20" ht="15.75" customHeight="1">
      <c r="D600" s="140"/>
      <c r="E600" s="140"/>
      <c r="F600" s="216"/>
      <c r="G600" s="198"/>
      <c r="H600" s="140"/>
      <c r="I600" s="140"/>
      <c r="J600" s="122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</row>
    <row r="601" spans="4:20" ht="15.75" customHeight="1">
      <c r="D601" s="140"/>
      <c r="E601" s="140"/>
      <c r="F601" s="216"/>
      <c r="G601" s="198"/>
      <c r="H601" s="140"/>
      <c r="I601" s="140"/>
      <c r="J601" s="122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</row>
    <row r="602" spans="4:20" ht="15.75" customHeight="1">
      <c r="D602" s="140"/>
      <c r="E602" s="140"/>
      <c r="F602" s="216"/>
      <c r="G602" s="198"/>
      <c r="H602" s="140"/>
      <c r="I602" s="140"/>
      <c r="J602" s="122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</row>
    <row r="603" spans="4:20" ht="15.75" customHeight="1">
      <c r="D603" s="140"/>
      <c r="E603" s="140"/>
      <c r="F603" s="216"/>
      <c r="G603" s="198"/>
      <c r="H603" s="140"/>
      <c r="I603" s="140"/>
      <c r="J603" s="122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</row>
    <row r="604" spans="4:20" ht="15.75" customHeight="1">
      <c r="D604" s="140"/>
      <c r="E604" s="140"/>
      <c r="F604" s="216"/>
      <c r="G604" s="198"/>
      <c r="H604" s="140"/>
      <c r="I604" s="140"/>
      <c r="J604" s="122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</row>
    <row r="605" spans="4:20" ht="15.75" customHeight="1">
      <c r="D605" s="140"/>
      <c r="E605" s="140"/>
      <c r="F605" s="216"/>
      <c r="G605" s="198"/>
      <c r="H605" s="140"/>
      <c r="I605" s="140"/>
      <c r="J605" s="122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</row>
    <row r="606" spans="4:20" ht="15.75" customHeight="1">
      <c r="D606" s="140"/>
      <c r="E606" s="140"/>
      <c r="F606" s="216"/>
      <c r="G606" s="198"/>
      <c r="H606" s="140"/>
      <c r="I606" s="140"/>
      <c r="J606" s="122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</row>
    <row r="607" spans="4:20" ht="15.75" customHeight="1">
      <c r="D607" s="140"/>
      <c r="E607" s="140"/>
      <c r="F607" s="216"/>
      <c r="G607" s="198"/>
      <c r="H607" s="140"/>
      <c r="I607" s="140"/>
      <c r="J607" s="122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</row>
    <row r="608" spans="4:20" ht="15.75" customHeight="1">
      <c r="D608" s="140"/>
      <c r="E608" s="140"/>
      <c r="F608" s="216"/>
      <c r="G608" s="198"/>
      <c r="H608" s="140"/>
      <c r="I608" s="140"/>
      <c r="J608" s="122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</row>
    <row r="609" spans="4:20" ht="15.75" customHeight="1">
      <c r="D609" s="140"/>
      <c r="E609" s="140"/>
      <c r="F609" s="216"/>
      <c r="G609" s="198"/>
      <c r="H609" s="140"/>
      <c r="I609" s="140"/>
      <c r="J609" s="122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</row>
    <row r="610" spans="4:20" ht="15.75" customHeight="1">
      <c r="D610" s="140"/>
      <c r="E610" s="140"/>
      <c r="F610" s="216"/>
      <c r="G610" s="198"/>
      <c r="H610" s="140"/>
      <c r="I610" s="140"/>
      <c r="J610" s="122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</row>
    <row r="611" spans="4:20" ht="15.75" customHeight="1">
      <c r="D611" s="140"/>
      <c r="E611" s="140"/>
      <c r="F611" s="216"/>
      <c r="G611" s="198"/>
      <c r="H611" s="140"/>
      <c r="I611" s="140"/>
      <c r="J611" s="122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</row>
    <row r="612" spans="4:20" ht="15.75" customHeight="1">
      <c r="D612" s="140"/>
      <c r="E612" s="140"/>
      <c r="F612" s="216"/>
      <c r="G612" s="198"/>
      <c r="H612" s="140"/>
      <c r="I612" s="140"/>
      <c r="J612" s="122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</row>
    <row r="613" spans="4:20" ht="15.75" customHeight="1">
      <c r="D613" s="140"/>
      <c r="E613" s="140"/>
      <c r="F613" s="216"/>
      <c r="G613" s="198"/>
      <c r="H613" s="140"/>
      <c r="I613" s="140"/>
      <c r="J613" s="122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</row>
    <row r="614" spans="4:20" ht="15.75" customHeight="1">
      <c r="D614" s="140"/>
      <c r="E614" s="140"/>
      <c r="F614" s="216"/>
      <c r="G614" s="198"/>
      <c r="H614" s="140"/>
      <c r="I614" s="140"/>
      <c r="J614" s="122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</row>
    <row r="615" spans="4:20" ht="15.75" customHeight="1">
      <c r="D615" s="140"/>
      <c r="E615" s="140"/>
      <c r="F615" s="216"/>
      <c r="G615" s="198"/>
      <c r="H615" s="140"/>
      <c r="I615" s="140"/>
      <c r="J615" s="122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</row>
    <row r="616" spans="4:20" ht="15.75" customHeight="1">
      <c r="D616" s="140"/>
      <c r="E616" s="140"/>
      <c r="F616" s="216"/>
      <c r="G616" s="198"/>
      <c r="H616" s="140"/>
      <c r="I616" s="140"/>
      <c r="J616" s="122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</row>
    <row r="617" spans="4:20" ht="15.75" customHeight="1">
      <c r="D617" s="140"/>
      <c r="E617" s="140"/>
      <c r="F617" s="216"/>
      <c r="G617" s="198"/>
      <c r="H617" s="140"/>
      <c r="I617" s="140"/>
      <c r="J617" s="122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</row>
    <row r="618" spans="4:20" ht="15.75" customHeight="1">
      <c r="D618" s="140"/>
      <c r="E618" s="140"/>
      <c r="F618" s="216"/>
      <c r="G618" s="198"/>
      <c r="H618" s="140"/>
      <c r="I618" s="140"/>
      <c r="J618" s="122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</row>
    <row r="619" spans="4:20" ht="15.75" customHeight="1">
      <c r="D619" s="140"/>
      <c r="E619" s="140"/>
      <c r="F619" s="216"/>
      <c r="G619" s="198"/>
      <c r="H619" s="140"/>
      <c r="I619" s="140"/>
      <c r="J619" s="122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</row>
    <row r="620" spans="4:20" ht="15.75" customHeight="1">
      <c r="D620" s="140"/>
      <c r="E620" s="140"/>
      <c r="F620" s="216"/>
      <c r="G620" s="198"/>
      <c r="H620" s="140"/>
      <c r="I620" s="140"/>
      <c r="J620" s="122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</row>
    <row r="621" spans="4:20" ht="15.75" customHeight="1">
      <c r="D621" s="140"/>
      <c r="E621" s="140"/>
      <c r="F621" s="216"/>
      <c r="G621" s="198"/>
      <c r="H621" s="140"/>
      <c r="I621" s="140"/>
      <c r="J621" s="122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</row>
    <row r="622" spans="4:20" ht="15.75" customHeight="1">
      <c r="D622" s="140"/>
      <c r="E622" s="140"/>
      <c r="F622" s="216"/>
      <c r="G622" s="198"/>
      <c r="H622" s="140"/>
      <c r="I622" s="140"/>
      <c r="J622" s="122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</row>
    <row r="623" spans="4:20" ht="15.75" customHeight="1">
      <c r="D623" s="140"/>
      <c r="E623" s="140"/>
      <c r="F623" s="216"/>
      <c r="G623" s="198"/>
      <c r="H623" s="140"/>
      <c r="I623" s="140"/>
      <c r="J623" s="122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</row>
    <row r="624" spans="4:20" ht="15.75" customHeight="1">
      <c r="D624" s="140"/>
      <c r="E624" s="140"/>
      <c r="F624" s="216"/>
      <c r="G624" s="198"/>
      <c r="H624" s="140"/>
      <c r="I624" s="140"/>
      <c r="J624" s="122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</row>
    <row r="625" spans="4:20" ht="15.75" customHeight="1">
      <c r="D625" s="140"/>
      <c r="E625" s="140"/>
      <c r="F625" s="216"/>
      <c r="G625" s="198"/>
      <c r="H625" s="140"/>
      <c r="I625" s="140"/>
      <c r="J625" s="122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</row>
    <row r="626" spans="4:20" ht="15.75" customHeight="1">
      <c r="D626" s="140"/>
      <c r="E626" s="140"/>
      <c r="F626" s="216"/>
      <c r="G626" s="198"/>
      <c r="H626" s="140"/>
      <c r="I626" s="140"/>
      <c r="J626" s="122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</row>
    <row r="627" spans="4:20" ht="15.75" customHeight="1">
      <c r="D627" s="140"/>
      <c r="E627" s="140"/>
      <c r="F627" s="216"/>
      <c r="G627" s="198"/>
      <c r="H627" s="140"/>
      <c r="I627" s="140"/>
      <c r="J627" s="122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</row>
    <row r="628" spans="4:20" ht="15.75" customHeight="1">
      <c r="D628" s="140"/>
      <c r="E628" s="140"/>
      <c r="F628" s="216"/>
      <c r="G628" s="198"/>
      <c r="H628" s="140"/>
      <c r="I628" s="140"/>
      <c r="J628" s="122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</row>
    <row r="629" spans="4:20" ht="15.75" customHeight="1">
      <c r="D629" s="140"/>
      <c r="E629" s="140"/>
      <c r="F629" s="216"/>
      <c r="G629" s="198"/>
      <c r="H629" s="140"/>
      <c r="I629" s="140"/>
      <c r="J629" s="122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</row>
    <row r="630" spans="4:20" ht="15.75" customHeight="1">
      <c r="D630" s="140"/>
      <c r="E630" s="140"/>
      <c r="F630" s="216"/>
      <c r="G630" s="198"/>
      <c r="H630" s="140"/>
      <c r="I630" s="140"/>
      <c r="J630" s="122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</row>
    <row r="631" spans="4:20" ht="15.75" customHeight="1">
      <c r="D631" s="140"/>
      <c r="E631" s="140"/>
      <c r="F631" s="216"/>
      <c r="G631" s="198"/>
      <c r="H631" s="140"/>
      <c r="I631" s="140"/>
      <c r="J631" s="122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</row>
    <row r="632" spans="4:20" ht="15.75" customHeight="1">
      <c r="D632" s="140"/>
      <c r="E632" s="140"/>
      <c r="F632" s="216"/>
      <c r="G632" s="198"/>
      <c r="H632" s="140"/>
      <c r="I632" s="140"/>
      <c r="J632" s="122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</row>
    <row r="633" spans="4:20" ht="15.75" customHeight="1">
      <c r="D633" s="140"/>
      <c r="E633" s="140"/>
      <c r="F633" s="216"/>
      <c r="G633" s="198"/>
      <c r="H633" s="140"/>
      <c r="I633" s="140"/>
      <c r="J633" s="122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</row>
    <row r="634" spans="4:20" ht="15.75" customHeight="1">
      <c r="D634" s="140"/>
      <c r="E634" s="140"/>
      <c r="F634" s="216"/>
      <c r="G634" s="198"/>
      <c r="H634" s="140"/>
      <c r="I634" s="140"/>
      <c r="J634" s="122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</row>
    <row r="635" spans="4:20" ht="15.75" customHeight="1">
      <c r="D635" s="140"/>
      <c r="E635" s="140"/>
      <c r="F635" s="216"/>
      <c r="G635" s="198"/>
      <c r="H635" s="140"/>
      <c r="I635" s="140"/>
      <c r="J635" s="122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</row>
    <row r="636" spans="4:20" ht="15.75" customHeight="1">
      <c r="D636" s="140"/>
      <c r="E636" s="140"/>
      <c r="F636" s="216"/>
      <c r="G636" s="198"/>
      <c r="H636" s="140"/>
      <c r="I636" s="140"/>
      <c r="J636" s="122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</row>
    <row r="637" spans="4:20" ht="15.75" customHeight="1">
      <c r="D637" s="140"/>
      <c r="E637" s="140"/>
      <c r="F637" s="216"/>
      <c r="G637" s="198"/>
      <c r="H637" s="140"/>
      <c r="I637" s="140"/>
      <c r="J637" s="122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</row>
    <row r="638" spans="4:20" ht="15.75" customHeight="1">
      <c r="D638" s="140"/>
      <c r="E638" s="140"/>
      <c r="F638" s="216"/>
      <c r="G638" s="198"/>
      <c r="H638" s="140"/>
      <c r="I638" s="140"/>
      <c r="J638" s="122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</row>
    <row r="639" spans="4:20" ht="15.75" customHeight="1">
      <c r="D639" s="140"/>
      <c r="E639" s="140"/>
      <c r="F639" s="216"/>
      <c r="G639" s="198"/>
      <c r="H639" s="140"/>
      <c r="I639" s="140"/>
      <c r="J639" s="122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</row>
    <row r="640" spans="4:20" ht="15.75" customHeight="1">
      <c r="D640" s="140"/>
      <c r="E640" s="140"/>
      <c r="F640" s="216"/>
      <c r="G640" s="198"/>
      <c r="H640" s="140"/>
      <c r="I640" s="140"/>
      <c r="J640" s="122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</row>
    <row r="641" spans="4:20" ht="15.75" customHeight="1">
      <c r="D641" s="140"/>
      <c r="E641" s="140"/>
      <c r="F641" s="216"/>
      <c r="G641" s="198"/>
      <c r="H641" s="140"/>
      <c r="I641" s="140"/>
      <c r="J641" s="122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</row>
    <row r="642" spans="4:20" ht="15.75" customHeight="1">
      <c r="D642" s="140"/>
      <c r="E642" s="140"/>
      <c r="F642" s="216"/>
      <c r="G642" s="198"/>
      <c r="H642" s="140"/>
      <c r="I642" s="140"/>
      <c r="J642" s="122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</row>
    <row r="643" spans="4:20" ht="15.75" customHeight="1">
      <c r="D643" s="140"/>
      <c r="E643" s="140"/>
      <c r="F643" s="216"/>
      <c r="G643" s="198"/>
      <c r="H643" s="140"/>
      <c r="I643" s="140"/>
      <c r="J643" s="122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</row>
    <row r="644" spans="4:20" ht="15.75" customHeight="1">
      <c r="D644" s="140"/>
      <c r="E644" s="140"/>
      <c r="F644" s="216"/>
      <c r="G644" s="198"/>
      <c r="H644" s="140"/>
      <c r="I644" s="140"/>
      <c r="J644" s="122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</row>
    <row r="645" spans="4:20" ht="15.75" customHeight="1">
      <c r="D645" s="140"/>
      <c r="E645" s="140"/>
      <c r="F645" s="216"/>
      <c r="G645" s="198"/>
      <c r="H645" s="140"/>
      <c r="I645" s="140"/>
      <c r="J645" s="122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</row>
    <row r="646" spans="4:20" ht="15.75" customHeight="1">
      <c r="D646" s="140"/>
      <c r="E646" s="140"/>
      <c r="F646" s="216"/>
      <c r="G646" s="198"/>
      <c r="H646" s="140"/>
      <c r="I646" s="140"/>
      <c r="J646" s="122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</row>
    <row r="647" spans="4:20" ht="15.75" customHeight="1">
      <c r="D647" s="140"/>
      <c r="E647" s="140"/>
      <c r="F647" s="216"/>
      <c r="G647" s="198"/>
      <c r="H647" s="140"/>
      <c r="I647" s="140"/>
      <c r="J647" s="122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</row>
    <row r="648" spans="4:20" ht="15.75" customHeight="1">
      <c r="D648" s="140"/>
      <c r="E648" s="140"/>
      <c r="F648" s="216"/>
      <c r="G648" s="198"/>
      <c r="H648" s="140"/>
      <c r="I648" s="140"/>
      <c r="J648" s="122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</row>
    <row r="649" spans="4:20" ht="15.75" customHeight="1">
      <c r="D649" s="140"/>
      <c r="E649" s="140"/>
      <c r="F649" s="216"/>
      <c r="G649" s="198"/>
      <c r="H649" s="140"/>
      <c r="I649" s="140"/>
      <c r="J649" s="122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</row>
    <row r="650" spans="4:20" ht="15.75" customHeight="1">
      <c r="D650" s="140"/>
      <c r="E650" s="140"/>
      <c r="F650" s="216"/>
      <c r="G650" s="198"/>
      <c r="H650" s="140"/>
      <c r="I650" s="140"/>
      <c r="J650" s="122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</row>
    <row r="651" spans="4:20" ht="15.75" customHeight="1">
      <c r="D651" s="140"/>
      <c r="E651" s="140"/>
      <c r="F651" s="216"/>
      <c r="G651" s="198"/>
      <c r="H651" s="140"/>
      <c r="I651" s="140"/>
      <c r="J651" s="122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</row>
    <row r="652" spans="4:20" ht="15.75" customHeight="1">
      <c r="D652" s="140"/>
      <c r="E652" s="140"/>
      <c r="F652" s="216"/>
      <c r="G652" s="198"/>
      <c r="H652" s="140"/>
      <c r="I652" s="140"/>
      <c r="J652" s="122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</row>
    <row r="653" spans="4:20" ht="15.75" customHeight="1">
      <c r="D653" s="140"/>
      <c r="E653" s="140"/>
      <c r="F653" s="216"/>
      <c r="G653" s="198"/>
      <c r="H653" s="140"/>
      <c r="I653" s="140"/>
      <c r="J653" s="122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</row>
    <row r="654" spans="4:20" ht="15.75" customHeight="1">
      <c r="D654" s="140"/>
      <c r="E654" s="140"/>
      <c r="F654" s="216"/>
      <c r="G654" s="198"/>
      <c r="H654" s="140"/>
      <c r="I654" s="140"/>
      <c r="J654" s="122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</row>
    <row r="655" spans="4:20" ht="15.75" customHeight="1">
      <c r="D655" s="140"/>
      <c r="E655" s="140"/>
      <c r="F655" s="216"/>
      <c r="G655" s="198"/>
      <c r="H655" s="140"/>
      <c r="I655" s="140"/>
      <c r="J655" s="122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</row>
    <row r="656" spans="4:20" ht="15.75" customHeight="1">
      <c r="D656" s="140"/>
      <c r="E656" s="140"/>
      <c r="F656" s="216"/>
      <c r="G656" s="198"/>
      <c r="H656" s="140"/>
      <c r="I656" s="140"/>
      <c r="J656" s="122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</row>
    <row r="657" spans="4:20" ht="15.75" customHeight="1">
      <c r="D657" s="140"/>
      <c r="E657" s="140"/>
      <c r="F657" s="216"/>
      <c r="G657" s="198"/>
      <c r="H657" s="140"/>
      <c r="I657" s="140"/>
      <c r="J657" s="122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</row>
    <row r="658" spans="4:20" ht="15.75" customHeight="1">
      <c r="D658" s="140"/>
      <c r="E658" s="140"/>
      <c r="F658" s="216"/>
      <c r="G658" s="198"/>
      <c r="H658" s="140"/>
      <c r="I658" s="140"/>
      <c r="J658" s="122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</row>
    <row r="659" spans="4:20" ht="15.75" customHeight="1">
      <c r="D659" s="140"/>
      <c r="E659" s="140"/>
      <c r="F659" s="216"/>
      <c r="G659" s="198"/>
      <c r="H659" s="140"/>
      <c r="I659" s="140"/>
      <c r="J659" s="122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</row>
    <row r="660" spans="4:20" ht="15.75" customHeight="1">
      <c r="D660" s="140"/>
      <c r="E660" s="140"/>
      <c r="F660" s="216"/>
      <c r="G660" s="198"/>
      <c r="H660" s="140"/>
      <c r="I660" s="140"/>
      <c r="J660" s="122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</row>
    <row r="661" spans="4:20" ht="15.75" customHeight="1">
      <c r="D661" s="140"/>
      <c r="E661" s="140"/>
      <c r="F661" s="216"/>
      <c r="G661" s="198"/>
      <c r="H661" s="140"/>
      <c r="I661" s="140"/>
      <c r="J661" s="122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</row>
    <row r="662" spans="4:20" ht="15.75" customHeight="1">
      <c r="D662" s="140"/>
      <c r="E662" s="140"/>
      <c r="F662" s="216"/>
      <c r="G662" s="198"/>
      <c r="H662" s="140"/>
      <c r="I662" s="140"/>
      <c r="J662" s="122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</row>
    <row r="663" spans="4:20" ht="15.75" customHeight="1">
      <c r="D663" s="140"/>
      <c r="E663" s="140"/>
      <c r="F663" s="216"/>
      <c r="G663" s="198"/>
      <c r="H663" s="140"/>
      <c r="I663" s="140"/>
      <c r="J663" s="122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</row>
    <row r="664" spans="4:20" ht="15.75" customHeight="1">
      <c r="D664" s="140"/>
      <c r="E664" s="140"/>
      <c r="F664" s="216"/>
      <c r="G664" s="198"/>
      <c r="H664" s="140"/>
      <c r="I664" s="140"/>
      <c r="J664" s="122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</row>
    <row r="665" spans="4:20" ht="15.75" customHeight="1">
      <c r="D665" s="140"/>
      <c r="E665" s="140"/>
      <c r="F665" s="216"/>
      <c r="G665" s="198"/>
      <c r="H665" s="140"/>
      <c r="I665" s="140"/>
      <c r="J665" s="122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</row>
    <row r="666" spans="4:20" ht="15.75" customHeight="1">
      <c r="D666" s="140"/>
      <c r="E666" s="140"/>
      <c r="F666" s="216"/>
      <c r="G666" s="198"/>
      <c r="H666" s="140"/>
      <c r="I666" s="140"/>
      <c r="J666" s="122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</row>
    <row r="667" spans="4:20" ht="15.75" customHeight="1">
      <c r="D667" s="140"/>
      <c r="E667" s="140"/>
      <c r="F667" s="216"/>
      <c r="G667" s="198"/>
      <c r="H667" s="140"/>
      <c r="I667" s="140"/>
      <c r="J667" s="122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</row>
    <row r="668" spans="4:20" ht="15.75" customHeight="1">
      <c r="D668" s="140"/>
      <c r="E668" s="140"/>
      <c r="F668" s="216"/>
      <c r="G668" s="198"/>
      <c r="H668" s="140"/>
      <c r="I668" s="140"/>
      <c r="J668" s="122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</row>
    <row r="669" spans="4:20" ht="15.75" customHeight="1">
      <c r="D669" s="140"/>
      <c r="E669" s="140"/>
      <c r="F669" s="216"/>
      <c r="G669" s="198"/>
      <c r="H669" s="140"/>
      <c r="I669" s="140"/>
      <c r="J669" s="122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</row>
    <row r="670" spans="4:20" ht="15.75" customHeight="1">
      <c r="D670" s="140"/>
      <c r="E670" s="140"/>
      <c r="F670" s="216"/>
      <c r="G670" s="198"/>
      <c r="H670" s="140"/>
      <c r="I670" s="140"/>
      <c r="J670" s="122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</row>
    <row r="671" spans="4:20" ht="15.75" customHeight="1">
      <c r="D671" s="140"/>
      <c r="E671" s="140"/>
      <c r="F671" s="216"/>
      <c r="G671" s="198"/>
      <c r="H671" s="140"/>
      <c r="I671" s="140"/>
      <c r="J671" s="122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</row>
    <row r="672" spans="4:20" ht="15.75" customHeight="1">
      <c r="D672" s="140"/>
      <c r="E672" s="140"/>
      <c r="F672" s="216"/>
      <c r="G672" s="198"/>
      <c r="H672" s="140"/>
      <c r="I672" s="140"/>
      <c r="J672" s="122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</row>
    <row r="673" spans="4:20" ht="15.75" customHeight="1">
      <c r="D673" s="140"/>
      <c r="E673" s="140"/>
      <c r="F673" s="216"/>
      <c r="G673" s="198"/>
      <c r="H673" s="140"/>
      <c r="I673" s="140"/>
      <c r="J673" s="122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</row>
    <row r="674" spans="4:20" ht="15.75" customHeight="1">
      <c r="D674" s="140"/>
      <c r="E674" s="140"/>
      <c r="F674" s="216"/>
      <c r="G674" s="198"/>
      <c r="H674" s="140"/>
      <c r="I674" s="140"/>
      <c r="J674" s="122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</row>
    <row r="675" spans="4:20" ht="15.75" customHeight="1">
      <c r="D675" s="140"/>
      <c r="E675" s="140"/>
      <c r="F675" s="216"/>
      <c r="G675" s="198"/>
      <c r="H675" s="140"/>
      <c r="I675" s="140"/>
      <c r="J675" s="122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</row>
    <row r="676" spans="4:20" ht="15.75" customHeight="1">
      <c r="D676" s="140"/>
      <c r="E676" s="140"/>
      <c r="F676" s="216"/>
      <c r="G676" s="198"/>
      <c r="H676" s="140"/>
      <c r="I676" s="140"/>
      <c r="J676" s="122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</row>
    <row r="677" spans="4:20" ht="15.75" customHeight="1">
      <c r="D677" s="140"/>
      <c r="E677" s="140"/>
      <c r="F677" s="216"/>
      <c r="G677" s="198"/>
      <c r="H677" s="140"/>
      <c r="I677" s="140"/>
      <c r="J677" s="122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</row>
    <row r="678" spans="4:20" ht="15.75" customHeight="1">
      <c r="D678" s="140"/>
      <c r="E678" s="140"/>
      <c r="F678" s="216"/>
      <c r="G678" s="198"/>
      <c r="H678" s="140"/>
      <c r="I678" s="140"/>
      <c r="J678" s="122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</row>
    <row r="679" spans="4:20" ht="15.75" customHeight="1">
      <c r="D679" s="140"/>
      <c r="E679" s="140"/>
      <c r="F679" s="216"/>
      <c r="G679" s="198"/>
      <c r="H679" s="140"/>
      <c r="I679" s="140"/>
      <c r="J679" s="122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</row>
    <row r="680" spans="4:20" ht="15.75" customHeight="1">
      <c r="D680" s="140"/>
      <c r="E680" s="140"/>
      <c r="F680" s="216"/>
      <c r="G680" s="198"/>
      <c r="H680" s="140"/>
      <c r="I680" s="140"/>
      <c r="J680" s="122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</row>
    <row r="681" spans="4:20" ht="15.75" customHeight="1">
      <c r="D681" s="140"/>
      <c r="E681" s="140"/>
      <c r="F681" s="216"/>
      <c r="G681" s="198"/>
      <c r="H681" s="140"/>
      <c r="I681" s="140"/>
      <c r="J681" s="122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</row>
    <row r="682" spans="4:20" ht="15.75" customHeight="1">
      <c r="D682" s="140"/>
      <c r="E682" s="140"/>
      <c r="F682" s="216"/>
      <c r="G682" s="198"/>
      <c r="H682" s="140"/>
      <c r="I682" s="140"/>
      <c r="J682" s="122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</row>
    <row r="683" spans="4:20" ht="15.75" customHeight="1">
      <c r="D683" s="140"/>
      <c r="E683" s="140"/>
      <c r="F683" s="216"/>
      <c r="G683" s="198"/>
      <c r="H683" s="140"/>
      <c r="I683" s="140"/>
      <c r="J683" s="122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</row>
    <row r="684" spans="4:20" ht="15.75" customHeight="1">
      <c r="D684" s="140"/>
      <c r="E684" s="140"/>
      <c r="F684" s="216"/>
      <c r="G684" s="198"/>
      <c r="H684" s="140"/>
      <c r="I684" s="140"/>
      <c r="J684" s="122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</row>
    <row r="685" spans="4:20" ht="15.75" customHeight="1">
      <c r="D685" s="140"/>
      <c r="E685" s="140"/>
      <c r="F685" s="216"/>
      <c r="G685" s="198"/>
      <c r="H685" s="140"/>
      <c r="I685" s="140"/>
      <c r="J685" s="122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</row>
    <row r="686" spans="4:20" ht="15.75" customHeight="1">
      <c r="D686" s="140"/>
      <c r="E686" s="140"/>
      <c r="F686" s="216"/>
      <c r="G686" s="198"/>
      <c r="H686" s="140"/>
      <c r="I686" s="140"/>
      <c r="J686" s="122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</row>
    <row r="687" spans="4:20" ht="15.75" customHeight="1">
      <c r="D687" s="140"/>
      <c r="E687" s="140"/>
      <c r="F687" s="216"/>
      <c r="G687" s="198"/>
      <c r="H687" s="140"/>
      <c r="I687" s="140"/>
      <c r="J687" s="122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</row>
    <row r="688" spans="4:20" ht="15.75" customHeight="1">
      <c r="D688" s="140"/>
      <c r="E688" s="140"/>
      <c r="F688" s="216"/>
      <c r="G688" s="198"/>
      <c r="H688" s="140"/>
      <c r="I688" s="140"/>
      <c r="J688" s="122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</row>
    <row r="689" spans="4:20" ht="15.75" customHeight="1">
      <c r="D689" s="140"/>
      <c r="E689" s="140"/>
      <c r="F689" s="216"/>
      <c r="G689" s="198"/>
      <c r="H689" s="140"/>
      <c r="I689" s="140"/>
      <c r="J689" s="122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</row>
    <row r="690" spans="4:20" ht="15.75" customHeight="1">
      <c r="D690" s="140"/>
      <c r="E690" s="140"/>
      <c r="F690" s="216"/>
      <c r="G690" s="198"/>
      <c r="H690" s="140"/>
      <c r="I690" s="140"/>
      <c r="J690" s="122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</row>
    <row r="691" spans="4:20" ht="15.75" customHeight="1">
      <c r="D691" s="140"/>
      <c r="E691" s="140"/>
      <c r="F691" s="216"/>
      <c r="G691" s="198"/>
      <c r="H691" s="140"/>
      <c r="I691" s="140"/>
      <c r="J691" s="122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</row>
    <row r="692" spans="4:20" ht="15.75" customHeight="1">
      <c r="D692" s="140"/>
      <c r="E692" s="140"/>
      <c r="F692" s="216"/>
      <c r="G692" s="198"/>
      <c r="H692" s="140"/>
      <c r="I692" s="140"/>
      <c r="J692" s="122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</row>
    <row r="693" spans="4:20" ht="15.75" customHeight="1">
      <c r="D693" s="140"/>
      <c r="E693" s="140"/>
      <c r="F693" s="216"/>
      <c r="G693" s="198"/>
      <c r="H693" s="140"/>
      <c r="I693" s="140"/>
      <c r="J693" s="122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</row>
    <row r="694" spans="4:20" ht="15.75" customHeight="1">
      <c r="D694" s="140"/>
      <c r="E694" s="140"/>
      <c r="F694" s="216"/>
      <c r="G694" s="198"/>
      <c r="H694" s="140"/>
      <c r="I694" s="140"/>
      <c r="J694" s="122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</row>
    <row r="695" spans="4:20" ht="15.75" customHeight="1">
      <c r="D695" s="140"/>
      <c r="E695" s="140"/>
      <c r="F695" s="216"/>
      <c r="G695" s="198"/>
      <c r="H695" s="140"/>
      <c r="I695" s="140"/>
      <c r="J695" s="122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</row>
    <row r="696" spans="4:20" ht="15.75" customHeight="1">
      <c r="D696" s="140"/>
      <c r="E696" s="140"/>
      <c r="F696" s="216"/>
      <c r="G696" s="198"/>
      <c r="H696" s="140"/>
      <c r="I696" s="140"/>
      <c r="J696" s="122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</row>
    <row r="697" spans="4:20" ht="15.75" customHeight="1">
      <c r="D697" s="140"/>
      <c r="E697" s="140"/>
      <c r="F697" s="216"/>
      <c r="G697" s="198"/>
      <c r="H697" s="140"/>
      <c r="I697" s="140"/>
      <c r="J697" s="122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</row>
    <row r="698" spans="4:20" ht="15.75" customHeight="1">
      <c r="D698" s="140"/>
      <c r="E698" s="140"/>
      <c r="F698" s="216"/>
      <c r="G698" s="198"/>
      <c r="H698" s="140"/>
      <c r="I698" s="140"/>
      <c r="J698" s="122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</row>
    <row r="699" spans="4:20" ht="15.75" customHeight="1">
      <c r="D699" s="140"/>
      <c r="E699" s="140"/>
      <c r="F699" s="216"/>
      <c r="G699" s="198"/>
      <c r="H699" s="140"/>
      <c r="I699" s="140"/>
      <c r="J699" s="122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</row>
    <row r="700" spans="4:20" ht="15.75" customHeight="1">
      <c r="D700" s="140"/>
      <c r="E700" s="140"/>
      <c r="F700" s="216"/>
      <c r="G700" s="198"/>
      <c r="H700" s="140"/>
      <c r="I700" s="140"/>
      <c r="J700" s="122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</row>
    <row r="701" spans="4:20" ht="15.75" customHeight="1">
      <c r="D701" s="140"/>
      <c r="E701" s="140"/>
      <c r="F701" s="216"/>
      <c r="G701" s="198"/>
      <c r="H701" s="140"/>
      <c r="I701" s="140"/>
      <c r="J701" s="122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</row>
    <row r="702" spans="4:20" ht="15.75" customHeight="1">
      <c r="D702" s="140"/>
      <c r="E702" s="140"/>
      <c r="F702" s="216"/>
      <c r="G702" s="198"/>
      <c r="H702" s="140"/>
      <c r="I702" s="140"/>
      <c r="J702" s="122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</row>
    <row r="703" spans="4:20" ht="15.75" customHeight="1">
      <c r="D703" s="140"/>
      <c r="E703" s="140"/>
      <c r="F703" s="216"/>
      <c r="G703" s="198"/>
      <c r="H703" s="140"/>
      <c r="I703" s="140"/>
      <c r="J703" s="122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</row>
    <row r="704" spans="4:20" ht="15.75" customHeight="1">
      <c r="D704" s="140"/>
      <c r="E704" s="140"/>
      <c r="F704" s="216"/>
      <c r="G704" s="198"/>
      <c r="H704" s="140"/>
      <c r="I704" s="140"/>
      <c r="J704" s="122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</row>
    <row r="705" spans="4:20" ht="15.75" customHeight="1">
      <c r="D705" s="140"/>
      <c r="E705" s="140"/>
      <c r="F705" s="216"/>
      <c r="G705" s="198"/>
      <c r="H705" s="140"/>
      <c r="I705" s="140"/>
      <c r="J705" s="122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</row>
    <row r="706" spans="4:20" ht="15.75" customHeight="1">
      <c r="D706" s="140"/>
      <c r="E706" s="140"/>
      <c r="F706" s="216"/>
      <c r="G706" s="198"/>
      <c r="H706" s="140"/>
      <c r="I706" s="140"/>
      <c r="J706" s="122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</row>
    <row r="707" spans="4:20" ht="15.75" customHeight="1">
      <c r="D707" s="140"/>
      <c r="E707" s="140"/>
      <c r="F707" s="216"/>
      <c r="G707" s="198"/>
      <c r="H707" s="140"/>
      <c r="I707" s="140"/>
      <c r="J707" s="122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</row>
    <row r="708" spans="4:20" ht="15.75" customHeight="1">
      <c r="D708" s="140"/>
      <c r="E708" s="140"/>
      <c r="F708" s="216"/>
      <c r="G708" s="198"/>
      <c r="H708" s="140"/>
      <c r="I708" s="140"/>
      <c r="J708" s="122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</row>
    <row r="709" spans="4:20" ht="15.75" customHeight="1">
      <c r="D709" s="140"/>
      <c r="E709" s="140"/>
      <c r="F709" s="216"/>
      <c r="G709" s="198"/>
      <c r="H709" s="140"/>
      <c r="I709" s="140"/>
      <c r="J709" s="122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</row>
    <row r="710" spans="4:20" ht="15.75" customHeight="1">
      <c r="D710" s="140"/>
      <c r="E710" s="140"/>
      <c r="F710" s="216"/>
      <c r="G710" s="198"/>
      <c r="H710" s="140"/>
      <c r="I710" s="140"/>
      <c r="J710" s="122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</row>
    <row r="711" spans="4:20" ht="15.75" customHeight="1">
      <c r="D711" s="140"/>
      <c r="E711" s="140"/>
      <c r="F711" s="216"/>
      <c r="G711" s="198"/>
      <c r="H711" s="140"/>
      <c r="I711" s="140"/>
      <c r="J711" s="122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</row>
    <row r="712" spans="4:20" ht="15.75" customHeight="1">
      <c r="D712" s="140"/>
      <c r="E712" s="140"/>
      <c r="F712" s="216"/>
      <c r="G712" s="198"/>
      <c r="H712" s="140"/>
      <c r="I712" s="140"/>
      <c r="J712" s="122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</row>
    <row r="713" spans="4:20" ht="15.75" customHeight="1">
      <c r="D713" s="140"/>
      <c r="E713" s="140"/>
      <c r="F713" s="216"/>
      <c r="G713" s="198"/>
      <c r="H713" s="140"/>
      <c r="I713" s="140"/>
      <c r="J713" s="122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</row>
    <row r="714" spans="4:20" ht="15.75" customHeight="1">
      <c r="D714" s="140"/>
      <c r="E714" s="140"/>
      <c r="F714" s="216"/>
      <c r="G714" s="198"/>
      <c r="H714" s="140"/>
      <c r="I714" s="140"/>
      <c r="J714" s="122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</row>
    <row r="715" spans="4:20" ht="15.75" customHeight="1">
      <c r="D715" s="140"/>
      <c r="E715" s="140"/>
      <c r="F715" s="216"/>
      <c r="G715" s="198"/>
      <c r="H715" s="140"/>
      <c r="I715" s="140"/>
      <c r="J715" s="122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</row>
    <row r="716" spans="4:20" ht="15.75" customHeight="1">
      <c r="D716" s="140"/>
      <c r="E716" s="140"/>
      <c r="F716" s="216"/>
      <c r="G716" s="198"/>
      <c r="H716" s="140"/>
      <c r="I716" s="140"/>
      <c r="J716" s="122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</row>
    <row r="717" spans="4:20" ht="15.75" customHeight="1">
      <c r="D717" s="140"/>
      <c r="E717" s="140"/>
      <c r="F717" s="216"/>
      <c r="G717" s="198"/>
      <c r="H717" s="140"/>
      <c r="I717" s="140"/>
      <c r="J717" s="122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</row>
    <row r="718" spans="4:20" ht="15.75" customHeight="1">
      <c r="D718" s="140"/>
      <c r="E718" s="140"/>
      <c r="F718" s="216"/>
      <c r="G718" s="198"/>
      <c r="H718" s="140"/>
      <c r="I718" s="140"/>
      <c r="J718" s="122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</row>
    <row r="719" spans="4:20" ht="15.75" customHeight="1">
      <c r="D719" s="140"/>
      <c r="E719" s="140"/>
      <c r="F719" s="216"/>
      <c r="G719" s="198"/>
      <c r="H719" s="140"/>
      <c r="I719" s="140"/>
      <c r="J719" s="122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</row>
    <row r="720" spans="4:20" ht="15.75" customHeight="1">
      <c r="D720" s="140"/>
      <c r="E720" s="140"/>
      <c r="F720" s="216"/>
      <c r="G720" s="198"/>
      <c r="H720" s="140"/>
      <c r="I720" s="140"/>
      <c r="J720" s="122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</row>
    <row r="721" spans="4:20" ht="15.75" customHeight="1">
      <c r="D721" s="140"/>
      <c r="E721" s="140"/>
      <c r="F721" s="216"/>
      <c r="G721" s="198"/>
      <c r="H721" s="140"/>
      <c r="I721" s="140"/>
      <c r="J721" s="122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</row>
    <row r="722" spans="4:20" ht="15.75" customHeight="1">
      <c r="D722" s="140"/>
      <c r="E722" s="140"/>
      <c r="F722" s="216"/>
      <c r="G722" s="198"/>
      <c r="H722" s="140"/>
      <c r="I722" s="140"/>
      <c r="J722" s="122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</row>
    <row r="723" spans="4:20" ht="15.75" customHeight="1">
      <c r="D723" s="140"/>
      <c r="E723" s="140"/>
      <c r="F723" s="216"/>
      <c r="G723" s="198"/>
      <c r="H723" s="140"/>
      <c r="I723" s="140"/>
      <c r="J723" s="122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</row>
    <row r="724" spans="4:20" ht="15.75" customHeight="1">
      <c r="D724" s="140"/>
      <c r="E724" s="140"/>
      <c r="F724" s="216"/>
      <c r="G724" s="198"/>
      <c r="H724" s="140"/>
      <c r="I724" s="140"/>
      <c r="J724" s="122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</row>
    <row r="725" spans="4:20" ht="15.75" customHeight="1">
      <c r="D725" s="140"/>
      <c r="E725" s="140"/>
      <c r="F725" s="216"/>
      <c r="G725" s="198"/>
      <c r="H725" s="140"/>
      <c r="I725" s="140"/>
      <c r="J725" s="122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</row>
    <row r="726" spans="4:20" ht="15.75" customHeight="1">
      <c r="D726" s="140"/>
      <c r="E726" s="140"/>
      <c r="F726" s="216"/>
      <c r="G726" s="198"/>
      <c r="H726" s="140"/>
      <c r="I726" s="140"/>
      <c r="J726" s="122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</row>
    <row r="727" spans="4:20" ht="15.75" customHeight="1">
      <c r="D727" s="140"/>
      <c r="E727" s="140"/>
      <c r="F727" s="216"/>
      <c r="G727" s="198"/>
      <c r="H727" s="140"/>
      <c r="I727" s="140"/>
      <c r="J727" s="122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</row>
    <row r="728" spans="4:20" ht="15.75" customHeight="1">
      <c r="D728" s="140"/>
      <c r="E728" s="140"/>
      <c r="F728" s="216"/>
      <c r="G728" s="198"/>
      <c r="H728" s="140"/>
      <c r="I728" s="140"/>
      <c r="J728" s="122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</row>
    <row r="729" spans="4:20" ht="15.75" customHeight="1">
      <c r="D729" s="140"/>
      <c r="E729" s="140"/>
      <c r="F729" s="216"/>
      <c r="G729" s="198"/>
      <c r="H729" s="140"/>
      <c r="I729" s="140"/>
      <c r="J729" s="122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</row>
    <row r="730" spans="4:20" ht="15.75" customHeight="1">
      <c r="D730" s="140"/>
      <c r="E730" s="140"/>
      <c r="F730" s="216"/>
      <c r="G730" s="198"/>
      <c r="H730" s="140"/>
      <c r="I730" s="140"/>
      <c r="J730" s="122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</row>
    <row r="731" spans="4:20" ht="15.75" customHeight="1">
      <c r="D731" s="140"/>
      <c r="E731" s="140"/>
      <c r="F731" s="216"/>
      <c r="G731" s="198"/>
      <c r="H731" s="140"/>
      <c r="I731" s="140"/>
      <c r="J731" s="122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</row>
    <row r="732" spans="4:20" ht="15.75" customHeight="1">
      <c r="D732" s="140"/>
      <c r="E732" s="140"/>
      <c r="F732" s="216"/>
      <c r="G732" s="198"/>
      <c r="H732" s="140"/>
      <c r="I732" s="140"/>
      <c r="J732" s="122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</row>
    <row r="733" spans="4:20" ht="15.75" customHeight="1">
      <c r="D733" s="140"/>
      <c r="E733" s="140"/>
      <c r="F733" s="216"/>
      <c r="G733" s="198"/>
      <c r="H733" s="140"/>
      <c r="I733" s="140"/>
      <c r="J733" s="122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</row>
    <row r="734" spans="4:20" ht="15.75" customHeight="1">
      <c r="D734" s="140"/>
      <c r="E734" s="140"/>
      <c r="F734" s="216"/>
      <c r="G734" s="198"/>
      <c r="H734" s="140"/>
      <c r="I734" s="140"/>
      <c r="J734" s="122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</row>
    <row r="735" spans="4:20" ht="15.75" customHeight="1">
      <c r="D735" s="140"/>
      <c r="E735" s="140"/>
      <c r="F735" s="216"/>
      <c r="G735" s="198"/>
      <c r="H735" s="140"/>
      <c r="I735" s="140"/>
      <c r="J735" s="122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</row>
    <row r="736" spans="4:20" ht="15.75" customHeight="1">
      <c r="D736" s="140"/>
      <c r="E736" s="140"/>
      <c r="F736" s="216"/>
      <c r="G736" s="198"/>
      <c r="H736" s="140"/>
      <c r="I736" s="140"/>
      <c r="J736" s="122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</row>
    <row r="737" spans="4:20" ht="15.75" customHeight="1">
      <c r="D737" s="140"/>
      <c r="E737" s="140"/>
      <c r="F737" s="216"/>
      <c r="G737" s="198"/>
      <c r="H737" s="140"/>
      <c r="I737" s="140"/>
      <c r="J737" s="122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</row>
    <row r="738" spans="4:20" ht="15.75" customHeight="1">
      <c r="D738" s="140"/>
      <c r="E738" s="140"/>
      <c r="F738" s="216"/>
      <c r="G738" s="198"/>
      <c r="H738" s="140"/>
      <c r="I738" s="140"/>
      <c r="J738" s="122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</row>
    <row r="739" spans="4:20" ht="15.75" customHeight="1">
      <c r="D739" s="140"/>
      <c r="E739" s="140"/>
      <c r="F739" s="216"/>
      <c r="G739" s="198"/>
      <c r="H739" s="140"/>
      <c r="I739" s="140"/>
      <c r="J739" s="122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</row>
    <row r="740" spans="4:20" ht="15.75" customHeight="1">
      <c r="D740" s="140"/>
      <c r="E740" s="140"/>
      <c r="F740" s="216"/>
      <c r="G740" s="198"/>
      <c r="H740" s="140"/>
      <c r="I740" s="140"/>
      <c r="J740" s="122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</row>
    <row r="741" spans="4:20" ht="15.75" customHeight="1">
      <c r="D741" s="140"/>
      <c r="E741" s="140"/>
      <c r="F741" s="216"/>
      <c r="G741" s="198"/>
      <c r="H741" s="140"/>
      <c r="I741" s="140"/>
      <c r="J741" s="122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</row>
    <row r="742" spans="4:20" ht="15.75" customHeight="1">
      <c r="D742" s="140"/>
      <c r="E742" s="140"/>
      <c r="F742" s="216"/>
      <c r="G742" s="198"/>
      <c r="H742" s="140"/>
      <c r="I742" s="140"/>
      <c r="J742" s="122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</row>
    <row r="743" spans="4:20" ht="15.75" customHeight="1">
      <c r="D743" s="140"/>
      <c r="E743" s="140"/>
      <c r="F743" s="216"/>
      <c r="G743" s="198"/>
      <c r="H743" s="140"/>
      <c r="I743" s="140"/>
      <c r="J743" s="122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</row>
    <row r="744" spans="4:20" ht="15.75" customHeight="1">
      <c r="D744" s="140"/>
      <c r="E744" s="140"/>
      <c r="F744" s="216"/>
      <c r="G744" s="198"/>
      <c r="H744" s="140"/>
      <c r="I744" s="140"/>
      <c r="J744" s="122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</row>
    <row r="745" spans="4:20" ht="15.75" customHeight="1">
      <c r="D745" s="140"/>
      <c r="E745" s="140"/>
      <c r="F745" s="216"/>
      <c r="G745" s="198"/>
      <c r="H745" s="140"/>
      <c r="I745" s="140"/>
      <c r="J745" s="122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</row>
    <row r="746" spans="4:20" ht="15.75" customHeight="1">
      <c r="D746" s="140"/>
      <c r="E746" s="140"/>
      <c r="F746" s="216"/>
      <c r="G746" s="198"/>
      <c r="H746" s="140"/>
      <c r="I746" s="140"/>
      <c r="J746" s="122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</row>
    <row r="747" spans="4:20" ht="15.75" customHeight="1">
      <c r="D747" s="140"/>
      <c r="E747" s="140"/>
      <c r="F747" s="216"/>
      <c r="G747" s="198"/>
      <c r="H747" s="140"/>
      <c r="I747" s="140"/>
      <c r="J747" s="122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</row>
    <row r="748" spans="4:20" ht="15.75" customHeight="1">
      <c r="D748" s="140"/>
      <c r="E748" s="140"/>
      <c r="F748" s="216"/>
      <c r="G748" s="198"/>
      <c r="H748" s="140"/>
      <c r="I748" s="140"/>
      <c r="J748" s="122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</row>
    <row r="749" spans="4:20" ht="15.75" customHeight="1">
      <c r="D749" s="140"/>
      <c r="E749" s="140"/>
      <c r="F749" s="216"/>
      <c r="G749" s="198"/>
      <c r="H749" s="140"/>
      <c r="I749" s="140"/>
      <c r="J749" s="122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</row>
    <row r="750" spans="4:20" ht="15.75" customHeight="1">
      <c r="D750" s="140"/>
      <c r="E750" s="140"/>
      <c r="F750" s="216"/>
      <c r="G750" s="198"/>
      <c r="H750" s="140"/>
      <c r="I750" s="140"/>
      <c r="J750" s="122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</row>
    <row r="751" spans="4:20" ht="15.75" customHeight="1">
      <c r="D751" s="140"/>
      <c r="E751" s="140"/>
      <c r="F751" s="216"/>
      <c r="G751" s="198"/>
      <c r="H751" s="140"/>
      <c r="I751" s="140"/>
      <c r="J751" s="122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</row>
    <row r="752" spans="4:20" ht="15.75" customHeight="1">
      <c r="D752" s="140"/>
      <c r="E752" s="140"/>
      <c r="F752" s="216"/>
      <c r="G752" s="198"/>
      <c r="H752" s="140"/>
      <c r="I752" s="140"/>
      <c r="J752" s="122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</row>
    <row r="753" spans="4:20" ht="15.75" customHeight="1">
      <c r="D753" s="140"/>
      <c r="E753" s="140"/>
      <c r="F753" s="216"/>
      <c r="G753" s="198"/>
      <c r="H753" s="140"/>
      <c r="I753" s="140"/>
      <c r="J753" s="122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</row>
    <row r="754" spans="4:20" ht="15.75" customHeight="1">
      <c r="D754" s="140"/>
      <c r="E754" s="140"/>
      <c r="F754" s="216"/>
      <c r="G754" s="198"/>
      <c r="H754" s="140"/>
      <c r="I754" s="140"/>
      <c r="J754" s="122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</row>
    <row r="755" spans="4:20" ht="15.75" customHeight="1">
      <c r="D755" s="140"/>
      <c r="E755" s="140"/>
      <c r="F755" s="216"/>
      <c r="G755" s="198"/>
      <c r="H755" s="140"/>
      <c r="I755" s="140"/>
      <c r="J755" s="122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</row>
    <row r="756" spans="4:20" ht="15.75" customHeight="1">
      <c r="D756" s="140"/>
      <c r="E756" s="140"/>
      <c r="F756" s="216"/>
      <c r="G756" s="198"/>
      <c r="H756" s="140"/>
      <c r="I756" s="140"/>
      <c r="J756" s="122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</row>
    <row r="757" spans="4:20" ht="15.75" customHeight="1">
      <c r="D757" s="140"/>
      <c r="E757" s="140"/>
      <c r="F757" s="216"/>
      <c r="G757" s="198"/>
      <c r="H757" s="140"/>
      <c r="I757" s="140"/>
      <c r="J757" s="122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</row>
    <row r="758" spans="4:20" ht="15.75" customHeight="1">
      <c r="D758" s="140"/>
      <c r="E758" s="140"/>
      <c r="F758" s="216"/>
      <c r="G758" s="198"/>
      <c r="H758" s="140"/>
      <c r="I758" s="140"/>
      <c r="J758" s="122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</row>
    <row r="759" spans="4:20" ht="15.75" customHeight="1">
      <c r="D759" s="140"/>
      <c r="E759" s="140"/>
      <c r="F759" s="216"/>
      <c r="G759" s="198"/>
      <c r="H759" s="140"/>
      <c r="I759" s="140"/>
      <c r="J759" s="122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</row>
    <row r="760" spans="4:20" ht="15.75" customHeight="1">
      <c r="D760" s="140"/>
      <c r="E760" s="140"/>
      <c r="F760" s="216"/>
      <c r="G760" s="198"/>
      <c r="H760" s="140"/>
      <c r="I760" s="140"/>
      <c r="J760" s="122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</row>
    <row r="761" spans="4:20" ht="15.75" customHeight="1">
      <c r="D761" s="140"/>
      <c r="E761" s="140"/>
      <c r="F761" s="216"/>
      <c r="G761" s="198"/>
      <c r="H761" s="140"/>
      <c r="I761" s="140"/>
      <c r="J761" s="122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</row>
    <row r="762" spans="4:20" ht="15.75" customHeight="1">
      <c r="D762" s="140"/>
      <c r="E762" s="140"/>
      <c r="F762" s="216"/>
      <c r="G762" s="198"/>
      <c r="H762" s="140"/>
      <c r="I762" s="140"/>
      <c r="J762" s="122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</row>
    <row r="763" spans="4:20" ht="15.75" customHeight="1">
      <c r="D763" s="140"/>
      <c r="E763" s="140"/>
      <c r="F763" s="216"/>
      <c r="G763" s="198"/>
      <c r="H763" s="140"/>
      <c r="I763" s="140"/>
      <c r="J763" s="122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</row>
    <row r="764" spans="4:20" ht="15.75" customHeight="1">
      <c r="D764" s="140"/>
      <c r="E764" s="140"/>
      <c r="F764" s="216"/>
      <c r="G764" s="198"/>
      <c r="H764" s="140"/>
      <c r="I764" s="140"/>
      <c r="J764" s="122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</row>
    <row r="765" spans="4:20" ht="15.75" customHeight="1">
      <c r="D765" s="140"/>
      <c r="E765" s="140"/>
      <c r="F765" s="216"/>
      <c r="G765" s="198"/>
      <c r="H765" s="140"/>
      <c r="I765" s="140"/>
      <c r="J765" s="122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</row>
    <row r="766" spans="4:20" ht="15.75" customHeight="1">
      <c r="D766" s="140"/>
      <c r="E766" s="140"/>
      <c r="F766" s="216"/>
      <c r="G766" s="198"/>
      <c r="H766" s="140"/>
      <c r="I766" s="140"/>
      <c r="J766" s="122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</row>
    <row r="767" spans="4:20" ht="15.75" customHeight="1">
      <c r="D767" s="140"/>
      <c r="E767" s="140"/>
      <c r="F767" s="216"/>
      <c r="G767" s="198"/>
      <c r="H767" s="140"/>
      <c r="I767" s="140"/>
      <c r="J767" s="122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</row>
    <row r="768" spans="4:20" ht="15.75" customHeight="1">
      <c r="D768" s="140"/>
      <c r="E768" s="140"/>
      <c r="F768" s="216"/>
      <c r="G768" s="198"/>
      <c r="H768" s="140"/>
      <c r="I768" s="140"/>
      <c r="J768" s="122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</row>
    <row r="769" spans="4:20" ht="15.75" customHeight="1">
      <c r="D769" s="140"/>
      <c r="E769" s="140"/>
      <c r="F769" s="216"/>
      <c r="G769" s="198"/>
      <c r="H769" s="140"/>
      <c r="I769" s="140"/>
      <c r="J769" s="122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</row>
    <row r="770" spans="4:20" ht="15.75" customHeight="1">
      <c r="D770" s="140"/>
      <c r="E770" s="140"/>
      <c r="F770" s="216"/>
      <c r="G770" s="198"/>
      <c r="H770" s="140"/>
      <c r="I770" s="140"/>
      <c r="J770" s="122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</row>
    <row r="771" spans="4:20" ht="15.75" customHeight="1">
      <c r="D771" s="140"/>
      <c r="E771" s="140"/>
      <c r="F771" s="216"/>
      <c r="G771" s="198"/>
      <c r="H771" s="140"/>
      <c r="I771" s="140"/>
      <c r="J771" s="122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</row>
    <row r="772" spans="4:20" ht="15.75" customHeight="1">
      <c r="D772" s="140"/>
      <c r="E772" s="140"/>
      <c r="F772" s="216"/>
      <c r="G772" s="198"/>
      <c r="H772" s="140"/>
      <c r="I772" s="140"/>
      <c r="J772" s="122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</row>
    <row r="773" spans="4:20" ht="15.75" customHeight="1">
      <c r="D773" s="140"/>
      <c r="E773" s="140"/>
      <c r="F773" s="216"/>
      <c r="G773" s="198"/>
      <c r="H773" s="140"/>
      <c r="I773" s="140"/>
      <c r="J773" s="122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</row>
    <row r="774" spans="4:20" ht="15.75" customHeight="1">
      <c r="D774" s="140"/>
      <c r="E774" s="140"/>
      <c r="F774" s="216"/>
      <c r="G774" s="198"/>
      <c r="H774" s="140"/>
      <c r="I774" s="140"/>
      <c r="J774" s="122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</row>
    <row r="775" spans="4:20" ht="15.75" customHeight="1">
      <c r="D775" s="140"/>
      <c r="E775" s="140"/>
      <c r="F775" s="216"/>
      <c r="G775" s="198"/>
      <c r="H775" s="140"/>
      <c r="I775" s="140"/>
      <c r="J775" s="122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</row>
    <row r="776" spans="4:20" ht="15.75" customHeight="1">
      <c r="D776" s="140"/>
      <c r="E776" s="140"/>
      <c r="F776" s="216"/>
      <c r="G776" s="198"/>
      <c r="H776" s="140"/>
      <c r="I776" s="140"/>
      <c r="J776" s="122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</row>
    <row r="777" spans="4:20" ht="15.75" customHeight="1">
      <c r="D777" s="140"/>
      <c r="E777" s="140"/>
      <c r="F777" s="216"/>
      <c r="G777" s="198"/>
      <c r="H777" s="140"/>
      <c r="I777" s="140"/>
      <c r="J777" s="122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</row>
    <row r="778" spans="4:20" ht="15.75" customHeight="1">
      <c r="D778" s="140"/>
      <c r="E778" s="140"/>
      <c r="F778" s="216"/>
      <c r="G778" s="198"/>
      <c r="H778" s="140"/>
      <c r="I778" s="140"/>
      <c r="J778" s="122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</row>
    <row r="779" spans="4:20" ht="15.75" customHeight="1">
      <c r="D779" s="140"/>
      <c r="E779" s="140"/>
      <c r="F779" s="216"/>
      <c r="G779" s="198"/>
      <c r="H779" s="140"/>
      <c r="I779" s="140"/>
      <c r="J779" s="122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</row>
    <row r="780" spans="4:20" ht="15.75" customHeight="1">
      <c r="D780" s="140"/>
      <c r="E780" s="140"/>
      <c r="F780" s="216"/>
      <c r="G780" s="198"/>
      <c r="H780" s="140"/>
      <c r="I780" s="140"/>
      <c r="J780" s="122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</row>
    <row r="781" spans="4:20" ht="15.75" customHeight="1">
      <c r="D781" s="140"/>
      <c r="E781" s="140"/>
      <c r="F781" s="216"/>
      <c r="G781" s="198"/>
      <c r="H781" s="140"/>
      <c r="I781" s="140"/>
      <c r="J781" s="122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</row>
    <row r="782" spans="4:20" ht="15.75" customHeight="1">
      <c r="D782" s="140"/>
      <c r="E782" s="140"/>
      <c r="F782" s="216"/>
      <c r="G782" s="198"/>
      <c r="H782" s="140"/>
      <c r="I782" s="140"/>
      <c r="J782" s="122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</row>
    <row r="783" spans="4:20" ht="15.75" customHeight="1">
      <c r="D783" s="140"/>
      <c r="E783" s="140"/>
      <c r="F783" s="216"/>
      <c r="G783" s="198"/>
      <c r="H783" s="140"/>
      <c r="I783" s="140"/>
      <c r="J783" s="122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</row>
    <row r="784" spans="4:20" ht="15.75" customHeight="1">
      <c r="D784" s="140"/>
      <c r="E784" s="140"/>
      <c r="F784" s="216"/>
      <c r="G784" s="198"/>
      <c r="H784" s="140"/>
      <c r="I784" s="140"/>
      <c r="J784" s="122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</row>
    <row r="785" spans="4:20" ht="15.75" customHeight="1">
      <c r="D785" s="140"/>
      <c r="E785" s="140"/>
      <c r="F785" s="216"/>
      <c r="G785" s="198"/>
      <c r="H785" s="140"/>
      <c r="I785" s="140"/>
      <c r="J785" s="122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</row>
    <row r="786" spans="4:20" ht="15.75" customHeight="1">
      <c r="D786" s="140"/>
      <c r="E786" s="140"/>
      <c r="F786" s="216"/>
      <c r="G786" s="198"/>
      <c r="H786" s="140"/>
      <c r="I786" s="140"/>
      <c r="J786" s="122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</row>
    <row r="787" spans="4:20" ht="15.75" customHeight="1">
      <c r="D787" s="140"/>
      <c r="E787" s="140"/>
      <c r="F787" s="216"/>
      <c r="G787" s="198"/>
      <c r="H787" s="140"/>
      <c r="I787" s="140"/>
      <c r="J787" s="122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</row>
    <row r="788" spans="4:20" ht="15.75" customHeight="1">
      <c r="D788" s="140"/>
      <c r="E788" s="140"/>
      <c r="F788" s="216"/>
      <c r="G788" s="198"/>
      <c r="H788" s="140"/>
      <c r="I788" s="140"/>
      <c r="J788" s="122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</row>
    <row r="789" spans="4:20" ht="15.75" customHeight="1">
      <c r="D789" s="140"/>
      <c r="E789" s="140"/>
      <c r="F789" s="216"/>
      <c r="G789" s="198"/>
      <c r="H789" s="140"/>
      <c r="I789" s="140"/>
      <c r="J789" s="122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</row>
    <row r="790" spans="4:20" ht="15.75" customHeight="1">
      <c r="D790" s="140"/>
      <c r="E790" s="140"/>
      <c r="F790" s="216"/>
      <c r="G790" s="198"/>
      <c r="H790" s="140"/>
      <c r="I790" s="140"/>
      <c r="J790" s="122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</row>
    <row r="791" spans="4:20" ht="15.75" customHeight="1">
      <c r="D791" s="140"/>
      <c r="E791" s="140"/>
      <c r="F791" s="216"/>
      <c r="G791" s="198"/>
      <c r="H791" s="140"/>
      <c r="I791" s="140"/>
      <c r="J791" s="122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</row>
    <row r="792" spans="4:20" ht="15.75" customHeight="1">
      <c r="D792" s="140"/>
      <c r="E792" s="140"/>
      <c r="F792" s="216"/>
      <c r="G792" s="198"/>
      <c r="H792" s="140"/>
      <c r="I792" s="140"/>
      <c r="J792" s="122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</row>
    <row r="793" spans="4:20" ht="15.75" customHeight="1">
      <c r="D793" s="140"/>
      <c r="E793" s="140"/>
      <c r="F793" s="216"/>
      <c r="G793" s="198"/>
      <c r="H793" s="140"/>
      <c r="I793" s="140"/>
      <c r="J793" s="122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</row>
    <row r="794" spans="4:20" ht="15.75" customHeight="1">
      <c r="D794" s="140"/>
      <c r="E794" s="140"/>
      <c r="F794" s="216"/>
      <c r="G794" s="198"/>
      <c r="H794" s="140"/>
      <c r="I794" s="140"/>
      <c r="J794" s="122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</row>
    <row r="795" spans="4:20" ht="15.75" customHeight="1">
      <c r="D795" s="140"/>
      <c r="E795" s="140"/>
      <c r="F795" s="216"/>
      <c r="G795" s="198"/>
      <c r="H795" s="140"/>
      <c r="I795" s="140"/>
      <c r="J795" s="122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</row>
    <row r="796" spans="4:20" ht="15.75" customHeight="1">
      <c r="D796" s="140"/>
      <c r="E796" s="140"/>
      <c r="F796" s="216"/>
      <c r="G796" s="198"/>
      <c r="H796" s="140"/>
      <c r="I796" s="140"/>
      <c r="J796" s="122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</row>
    <row r="797" spans="4:20" ht="15.75" customHeight="1">
      <c r="D797" s="140"/>
      <c r="E797" s="140"/>
      <c r="F797" s="216"/>
      <c r="G797" s="198"/>
      <c r="H797" s="140"/>
      <c r="I797" s="140"/>
      <c r="J797" s="122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</row>
    <row r="798" spans="4:20" ht="15.75" customHeight="1">
      <c r="D798" s="140"/>
      <c r="E798" s="140"/>
      <c r="F798" s="216"/>
      <c r="G798" s="198"/>
      <c r="H798" s="140"/>
      <c r="I798" s="140"/>
      <c r="J798" s="122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</row>
    <row r="799" spans="4:20" ht="15.75" customHeight="1">
      <c r="D799" s="140"/>
      <c r="E799" s="140"/>
      <c r="F799" s="216"/>
      <c r="G799" s="198"/>
      <c r="H799" s="140"/>
      <c r="I799" s="140"/>
      <c r="J799" s="122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</row>
    <row r="800" spans="4:20" ht="15.75" customHeight="1">
      <c r="D800" s="140"/>
      <c r="E800" s="140"/>
      <c r="F800" s="216"/>
      <c r="G800" s="198"/>
      <c r="H800" s="140"/>
      <c r="I800" s="140"/>
      <c r="J800" s="122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</row>
    <row r="801" spans="4:20" ht="15.75" customHeight="1">
      <c r="D801" s="140"/>
      <c r="E801" s="140"/>
      <c r="F801" s="216"/>
      <c r="G801" s="198"/>
      <c r="H801" s="140"/>
      <c r="I801" s="140"/>
      <c r="J801" s="122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</row>
    <row r="802" spans="4:20" ht="15.75" customHeight="1">
      <c r="D802" s="140"/>
      <c r="E802" s="140"/>
      <c r="F802" s="216"/>
      <c r="G802" s="198"/>
      <c r="H802" s="140"/>
      <c r="I802" s="140"/>
      <c r="J802" s="122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</row>
    <row r="803" spans="4:20" ht="15.75" customHeight="1">
      <c r="D803" s="140"/>
      <c r="E803" s="140"/>
      <c r="F803" s="216"/>
      <c r="G803" s="198"/>
      <c r="H803" s="140"/>
      <c r="I803" s="140"/>
      <c r="J803" s="122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</row>
    <row r="804" spans="4:20" ht="15.75" customHeight="1">
      <c r="D804" s="140"/>
      <c r="E804" s="140"/>
      <c r="F804" s="216"/>
      <c r="G804" s="198"/>
      <c r="H804" s="140"/>
      <c r="I804" s="140"/>
      <c r="J804" s="122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</row>
    <row r="805" spans="4:20" ht="15.75" customHeight="1">
      <c r="D805" s="140"/>
      <c r="E805" s="140"/>
      <c r="F805" s="216"/>
      <c r="G805" s="198"/>
      <c r="H805" s="140"/>
      <c r="I805" s="140"/>
      <c r="J805" s="122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</row>
    <row r="806" spans="4:20" ht="15.75" customHeight="1">
      <c r="D806" s="140"/>
      <c r="E806" s="140"/>
      <c r="F806" s="216"/>
      <c r="G806" s="198"/>
      <c r="H806" s="140"/>
      <c r="I806" s="140"/>
      <c r="J806" s="122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</row>
    <row r="807" spans="4:20" ht="15.75" customHeight="1">
      <c r="D807" s="140"/>
      <c r="E807" s="140"/>
      <c r="F807" s="216"/>
      <c r="G807" s="198"/>
      <c r="H807" s="140"/>
      <c r="I807" s="140"/>
      <c r="J807" s="122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</row>
    <row r="808" spans="4:20" ht="15.75" customHeight="1">
      <c r="D808" s="140"/>
      <c r="E808" s="140"/>
      <c r="F808" s="216"/>
      <c r="G808" s="198"/>
      <c r="H808" s="140"/>
      <c r="I808" s="140"/>
      <c r="J808" s="122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</row>
    <row r="809" spans="4:20" ht="15.75" customHeight="1">
      <c r="D809" s="140"/>
      <c r="E809" s="140"/>
      <c r="F809" s="216"/>
      <c r="G809" s="198"/>
      <c r="H809" s="140"/>
      <c r="I809" s="140"/>
      <c r="J809" s="122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</row>
    <row r="810" spans="4:20" ht="15.75" customHeight="1">
      <c r="D810" s="140"/>
      <c r="E810" s="140"/>
      <c r="F810" s="216"/>
      <c r="G810" s="198"/>
      <c r="H810" s="140"/>
      <c r="I810" s="140"/>
      <c r="J810" s="122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</row>
    <row r="811" spans="4:20" ht="15.75" customHeight="1">
      <c r="D811" s="140"/>
      <c r="E811" s="140"/>
      <c r="F811" s="216"/>
      <c r="G811" s="198"/>
      <c r="H811" s="140"/>
      <c r="I811" s="140"/>
      <c r="J811" s="122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</row>
    <row r="812" spans="4:20" ht="15.75" customHeight="1">
      <c r="D812" s="140"/>
      <c r="E812" s="140"/>
      <c r="F812" s="216"/>
      <c r="G812" s="198"/>
      <c r="H812" s="140"/>
      <c r="I812" s="140"/>
      <c r="J812" s="122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</row>
    <row r="813" spans="4:20" ht="15.75" customHeight="1">
      <c r="D813" s="140"/>
      <c r="E813" s="140"/>
      <c r="F813" s="216"/>
      <c r="G813" s="198"/>
      <c r="H813" s="140"/>
      <c r="I813" s="140"/>
      <c r="J813" s="122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</row>
    <row r="814" spans="4:20" ht="15.75" customHeight="1">
      <c r="D814" s="140"/>
      <c r="E814" s="140"/>
      <c r="F814" s="216"/>
      <c r="G814" s="198"/>
      <c r="H814" s="140"/>
      <c r="I814" s="140"/>
      <c r="J814" s="122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</row>
    <row r="815" spans="4:20" ht="15.75" customHeight="1">
      <c r="D815" s="140"/>
      <c r="E815" s="140"/>
      <c r="F815" s="216"/>
      <c r="G815" s="198"/>
      <c r="H815" s="140"/>
      <c r="I815" s="140"/>
      <c r="J815" s="122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</row>
    <row r="816" spans="4:20" ht="15.75" customHeight="1">
      <c r="D816" s="140"/>
      <c r="E816" s="140"/>
      <c r="F816" s="216"/>
      <c r="G816" s="198"/>
      <c r="H816" s="140"/>
      <c r="I816" s="140"/>
      <c r="J816" s="122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</row>
    <row r="817" spans="4:20" ht="15.75" customHeight="1">
      <c r="D817" s="140"/>
      <c r="E817" s="140"/>
      <c r="F817" s="216"/>
      <c r="G817" s="198"/>
      <c r="H817" s="140"/>
      <c r="I817" s="140"/>
      <c r="J817" s="122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</row>
    <row r="818" spans="4:20" ht="15.75" customHeight="1">
      <c r="D818" s="140"/>
      <c r="E818" s="140"/>
      <c r="F818" s="216"/>
      <c r="G818" s="198"/>
      <c r="H818" s="140"/>
      <c r="I818" s="140"/>
      <c r="J818" s="122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</row>
    <row r="819" spans="4:20" ht="15.75" customHeight="1">
      <c r="D819" s="140"/>
      <c r="E819" s="140"/>
      <c r="F819" s="216"/>
      <c r="G819" s="198"/>
      <c r="H819" s="140"/>
      <c r="I819" s="140"/>
      <c r="J819" s="122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</row>
    <row r="820" spans="4:20" ht="15.75" customHeight="1">
      <c r="D820" s="140"/>
      <c r="E820" s="140"/>
      <c r="F820" s="216"/>
      <c r="G820" s="198"/>
      <c r="H820" s="140"/>
      <c r="I820" s="140"/>
      <c r="J820" s="122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</row>
    <row r="821" spans="4:20" ht="15.75" customHeight="1">
      <c r="D821" s="140"/>
      <c r="E821" s="140"/>
      <c r="F821" s="216"/>
      <c r="G821" s="198"/>
      <c r="H821" s="140"/>
      <c r="I821" s="140"/>
      <c r="J821" s="122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</row>
    <row r="822" spans="4:20" ht="15.75" customHeight="1">
      <c r="D822" s="140"/>
      <c r="E822" s="140"/>
      <c r="F822" s="216"/>
      <c r="G822" s="198"/>
      <c r="H822" s="140"/>
      <c r="I822" s="140"/>
      <c r="J822" s="122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</row>
    <row r="823" spans="4:20" ht="15.75" customHeight="1">
      <c r="D823" s="140"/>
      <c r="E823" s="140"/>
      <c r="F823" s="216"/>
      <c r="G823" s="198"/>
      <c r="H823" s="140"/>
      <c r="I823" s="140"/>
      <c r="J823" s="122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</row>
    <row r="824" spans="4:20" ht="15.75" customHeight="1">
      <c r="D824" s="140"/>
      <c r="E824" s="140"/>
      <c r="F824" s="216"/>
      <c r="G824" s="198"/>
      <c r="H824" s="140"/>
      <c r="I824" s="140"/>
      <c r="J824" s="122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</row>
    <row r="825" spans="4:20" ht="15.75" customHeight="1">
      <c r="D825" s="140"/>
      <c r="E825" s="140"/>
      <c r="F825" s="216"/>
      <c r="G825" s="198"/>
      <c r="H825" s="140"/>
      <c r="I825" s="140"/>
      <c r="J825" s="122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</row>
    <row r="826" spans="4:20" ht="15.75" customHeight="1">
      <c r="D826" s="140"/>
      <c r="E826" s="140"/>
      <c r="F826" s="216"/>
      <c r="G826" s="198"/>
      <c r="H826" s="140"/>
      <c r="I826" s="140"/>
      <c r="J826" s="122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</row>
    <row r="827" spans="4:20" ht="15.75" customHeight="1">
      <c r="D827" s="140"/>
      <c r="E827" s="140"/>
      <c r="F827" s="216"/>
      <c r="G827" s="198"/>
      <c r="H827" s="140"/>
      <c r="I827" s="140"/>
      <c r="J827" s="122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</row>
    <row r="828" spans="4:20" ht="15.75" customHeight="1">
      <c r="D828" s="140"/>
      <c r="E828" s="140"/>
      <c r="F828" s="216"/>
      <c r="G828" s="198"/>
      <c r="H828" s="140"/>
      <c r="I828" s="140"/>
      <c r="J828" s="122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</row>
    <row r="829" spans="4:20" ht="15.75" customHeight="1">
      <c r="D829" s="140"/>
      <c r="E829" s="140"/>
      <c r="F829" s="216"/>
      <c r="G829" s="198"/>
      <c r="H829" s="140"/>
      <c r="I829" s="140"/>
      <c r="J829" s="122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</row>
    <row r="830" spans="4:20" ht="15.75" customHeight="1">
      <c r="D830" s="140"/>
      <c r="E830" s="140"/>
      <c r="F830" s="216"/>
      <c r="G830" s="198"/>
      <c r="H830" s="140"/>
      <c r="I830" s="140"/>
      <c r="J830" s="122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</row>
    <row r="831" spans="4:20" ht="15.75" customHeight="1">
      <c r="D831" s="140"/>
      <c r="E831" s="140"/>
      <c r="F831" s="216"/>
      <c r="G831" s="198"/>
      <c r="H831" s="140"/>
      <c r="I831" s="140"/>
      <c r="J831" s="122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</row>
    <row r="832" spans="4:20" ht="15.75" customHeight="1">
      <c r="D832" s="140"/>
      <c r="E832" s="140"/>
      <c r="F832" s="216"/>
      <c r="G832" s="198"/>
      <c r="H832" s="140"/>
      <c r="I832" s="140"/>
      <c r="J832" s="122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</row>
    <row r="833" spans="4:20" ht="15.75" customHeight="1">
      <c r="D833" s="140"/>
      <c r="E833" s="140"/>
      <c r="F833" s="216"/>
      <c r="G833" s="198"/>
      <c r="H833" s="140"/>
      <c r="I833" s="140"/>
      <c r="J833" s="122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</row>
    <row r="834" spans="4:20" ht="15.75" customHeight="1">
      <c r="D834" s="140"/>
      <c r="E834" s="140"/>
      <c r="F834" s="216"/>
      <c r="G834" s="198"/>
      <c r="H834" s="140"/>
      <c r="I834" s="140"/>
      <c r="J834" s="122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</row>
    <row r="835" spans="4:20" ht="15.75" customHeight="1">
      <c r="D835" s="140"/>
      <c r="E835" s="140"/>
      <c r="F835" s="216"/>
      <c r="G835" s="198"/>
      <c r="H835" s="140"/>
      <c r="I835" s="140"/>
      <c r="J835" s="122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</row>
    <row r="836" spans="4:20" ht="15.75" customHeight="1">
      <c r="D836" s="140"/>
      <c r="E836" s="140"/>
      <c r="F836" s="216"/>
      <c r="G836" s="198"/>
      <c r="H836" s="140"/>
      <c r="I836" s="140"/>
      <c r="J836" s="122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</row>
    <row r="837" spans="4:20" ht="15.75" customHeight="1">
      <c r="D837" s="140"/>
      <c r="E837" s="140"/>
      <c r="F837" s="216"/>
      <c r="G837" s="198"/>
      <c r="H837" s="140"/>
      <c r="I837" s="140"/>
      <c r="J837" s="122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</row>
    <row r="838" spans="4:20" ht="15.75" customHeight="1">
      <c r="D838" s="140"/>
      <c r="E838" s="140"/>
      <c r="F838" s="216"/>
      <c r="G838" s="198"/>
      <c r="H838" s="140"/>
      <c r="I838" s="140"/>
      <c r="J838" s="122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</row>
    <row r="839" spans="4:20" ht="15.75" customHeight="1">
      <c r="D839" s="140"/>
      <c r="E839" s="140"/>
      <c r="F839" s="216"/>
      <c r="G839" s="198"/>
      <c r="H839" s="140"/>
      <c r="I839" s="140"/>
      <c r="J839" s="122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</row>
    <row r="840" spans="4:20" ht="15.75" customHeight="1">
      <c r="D840" s="140"/>
      <c r="E840" s="140"/>
      <c r="F840" s="216"/>
      <c r="G840" s="198"/>
      <c r="H840" s="140"/>
      <c r="I840" s="140"/>
      <c r="J840" s="122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</row>
    <row r="841" spans="4:20" ht="15.75" customHeight="1">
      <c r="D841" s="140"/>
      <c r="E841" s="140"/>
      <c r="F841" s="216"/>
      <c r="G841" s="198"/>
      <c r="H841" s="140"/>
      <c r="I841" s="140"/>
      <c r="J841" s="122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</row>
    <row r="842" spans="4:20" ht="15.75" customHeight="1">
      <c r="D842" s="140"/>
      <c r="E842" s="140"/>
      <c r="F842" s="216"/>
      <c r="G842" s="198"/>
      <c r="H842" s="140"/>
      <c r="I842" s="140"/>
      <c r="J842" s="122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</row>
    <row r="843" spans="4:20" ht="15.75" customHeight="1">
      <c r="D843" s="140"/>
      <c r="E843" s="140"/>
      <c r="F843" s="216"/>
      <c r="G843" s="198"/>
      <c r="H843" s="140"/>
      <c r="I843" s="140"/>
      <c r="J843" s="122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</row>
    <row r="844" spans="4:20" ht="15.75" customHeight="1">
      <c r="D844" s="140"/>
      <c r="E844" s="140"/>
      <c r="F844" s="216"/>
      <c r="G844" s="198"/>
      <c r="H844" s="140"/>
      <c r="I844" s="140"/>
      <c r="J844" s="122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</row>
    <row r="845" spans="4:20" ht="15.75" customHeight="1">
      <c r="D845" s="140"/>
      <c r="E845" s="140"/>
      <c r="F845" s="216"/>
      <c r="G845" s="198"/>
      <c r="H845" s="140"/>
      <c r="I845" s="140"/>
      <c r="J845" s="122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</row>
    <row r="846" spans="4:20" ht="15.75" customHeight="1">
      <c r="D846" s="140"/>
      <c r="E846" s="140"/>
      <c r="F846" s="216"/>
      <c r="G846" s="198"/>
      <c r="H846" s="140"/>
      <c r="I846" s="140"/>
      <c r="J846" s="122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</row>
    <row r="847" spans="4:20" ht="15.75" customHeight="1">
      <c r="D847" s="140"/>
      <c r="E847" s="140"/>
      <c r="F847" s="216"/>
      <c r="G847" s="198"/>
      <c r="H847" s="140"/>
      <c r="I847" s="140"/>
      <c r="J847" s="122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</row>
    <row r="848" spans="4:20" ht="15.75" customHeight="1">
      <c r="D848" s="140"/>
      <c r="E848" s="140"/>
      <c r="F848" s="216"/>
      <c r="G848" s="198"/>
      <c r="H848" s="140"/>
      <c r="I848" s="140"/>
      <c r="J848" s="122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</row>
    <row r="849" spans="4:20" ht="15.75" customHeight="1">
      <c r="D849" s="140"/>
      <c r="E849" s="140"/>
      <c r="F849" s="216"/>
      <c r="G849" s="198"/>
      <c r="H849" s="140"/>
      <c r="I849" s="140"/>
      <c r="J849" s="122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</row>
    <row r="850" spans="4:20" ht="15.75" customHeight="1">
      <c r="D850" s="140"/>
      <c r="E850" s="140"/>
      <c r="F850" s="216"/>
      <c r="G850" s="198"/>
      <c r="H850" s="140"/>
      <c r="I850" s="140"/>
      <c r="J850" s="122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</row>
    <row r="851" spans="4:20" ht="15.75" customHeight="1">
      <c r="D851" s="140"/>
      <c r="E851" s="140"/>
      <c r="F851" s="216"/>
      <c r="G851" s="198"/>
      <c r="H851" s="140"/>
      <c r="I851" s="140"/>
      <c r="J851" s="122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</row>
    <row r="852" spans="4:20" ht="15.75" customHeight="1">
      <c r="D852" s="140"/>
      <c r="E852" s="140"/>
      <c r="F852" s="216"/>
      <c r="G852" s="198"/>
      <c r="H852" s="140"/>
      <c r="I852" s="140"/>
      <c r="J852" s="122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</row>
    <row r="853" spans="4:20" ht="15.75" customHeight="1">
      <c r="D853" s="140"/>
      <c r="E853" s="140"/>
      <c r="F853" s="216"/>
      <c r="G853" s="198"/>
      <c r="H853" s="140"/>
      <c r="I853" s="140"/>
      <c r="J853" s="122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</row>
    <row r="854" spans="4:20" ht="15.75" customHeight="1">
      <c r="D854" s="140"/>
      <c r="E854" s="140"/>
      <c r="F854" s="216"/>
      <c r="G854" s="198"/>
      <c r="H854" s="140"/>
      <c r="I854" s="140"/>
      <c r="J854" s="122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</row>
    <row r="855" spans="4:20" ht="15.75" customHeight="1">
      <c r="D855" s="140"/>
      <c r="E855" s="140"/>
      <c r="F855" s="216"/>
      <c r="G855" s="198"/>
      <c r="H855" s="140"/>
      <c r="I855" s="140"/>
      <c r="J855" s="122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</row>
    <row r="856" spans="4:20" ht="15.75" customHeight="1">
      <c r="D856" s="140"/>
      <c r="E856" s="140"/>
      <c r="F856" s="216"/>
      <c r="G856" s="198"/>
      <c r="H856" s="140"/>
      <c r="I856" s="140"/>
      <c r="J856" s="122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</row>
    <row r="857" spans="4:20" ht="15.75" customHeight="1">
      <c r="D857" s="140"/>
      <c r="E857" s="140"/>
      <c r="F857" s="216"/>
      <c r="G857" s="198"/>
      <c r="H857" s="140"/>
      <c r="I857" s="140"/>
      <c r="J857" s="122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</row>
    <row r="858" spans="4:20" ht="15.75" customHeight="1">
      <c r="D858" s="140"/>
      <c r="E858" s="140"/>
      <c r="F858" s="216"/>
      <c r="G858" s="198"/>
      <c r="H858" s="140"/>
      <c r="I858" s="140"/>
      <c r="J858" s="122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</row>
    <row r="859" spans="4:20" ht="15.75" customHeight="1">
      <c r="D859" s="140"/>
      <c r="E859" s="140"/>
      <c r="F859" s="216"/>
      <c r="G859" s="198"/>
      <c r="H859" s="140"/>
      <c r="I859" s="140"/>
      <c r="J859" s="122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</row>
    <row r="860" spans="4:20" ht="15.75" customHeight="1">
      <c r="D860" s="140"/>
      <c r="E860" s="140"/>
      <c r="F860" s="216"/>
      <c r="G860" s="198"/>
      <c r="H860" s="140"/>
      <c r="I860" s="140"/>
      <c r="J860" s="122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</row>
    <row r="861" spans="4:20" ht="15.75" customHeight="1">
      <c r="D861" s="140"/>
      <c r="E861" s="140"/>
      <c r="F861" s="216"/>
      <c r="G861" s="198"/>
      <c r="H861" s="140"/>
      <c r="I861" s="140"/>
      <c r="J861" s="122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</row>
    <row r="862" spans="4:20" ht="15.75" customHeight="1">
      <c r="D862" s="140"/>
      <c r="E862" s="140"/>
      <c r="F862" s="216"/>
      <c r="G862" s="198"/>
      <c r="H862" s="140"/>
      <c r="I862" s="140"/>
      <c r="J862" s="122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</row>
    <row r="863" spans="4:20" ht="15.75" customHeight="1">
      <c r="D863" s="140"/>
      <c r="E863" s="140"/>
      <c r="F863" s="216"/>
      <c r="G863" s="198"/>
      <c r="H863" s="140"/>
      <c r="I863" s="140"/>
      <c r="J863" s="122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</row>
    <row r="864" spans="4:20" ht="15.75" customHeight="1">
      <c r="D864" s="140"/>
      <c r="E864" s="140"/>
      <c r="F864" s="216"/>
      <c r="G864" s="198"/>
      <c r="H864" s="140"/>
      <c r="I864" s="140"/>
      <c r="J864" s="122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</row>
    <row r="865" spans="4:20" ht="15.75" customHeight="1">
      <c r="D865" s="140"/>
      <c r="E865" s="140"/>
      <c r="F865" s="216"/>
      <c r="G865" s="198"/>
      <c r="H865" s="140"/>
      <c r="I865" s="140"/>
      <c r="J865" s="122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</row>
    <row r="866" spans="4:20" ht="15.75" customHeight="1">
      <c r="D866" s="140"/>
      <c r="E866" s="140"/>
      <c r="F866" s="216"/>
      <c r="G866" s="198"/>
      <c r="H866" s="140"/>
      <c r="I866" s="140"/>
      <c r="J866" s="122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</row>
    <row r="867" spans="4:20" ht="15.75" customHeight="1">
      <c r="D867" s="140"/>
      <c r="E867" s="140"/>
      <c r="F867" s="216"/>
      <c r="G867" s="198"/>
      <c r="H867" s="140"/>
      <c r="I867" s="140"/>
      <c r="J867" s="122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</row>
    <row r="868" spans="4:20" ht="15.75" customHeight="1">
      <c r="D868" s="140"/>
      <c r="E868" s="140"/>
      <c r="F868" s="216"/>
      <c r="G868" s="198"/>
      <c r="H868" s="140"/>
      <c r="I868" s="140"/>
      <c r="J868" s="122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</row>
    <row r="869" spans="4:20" ht="15.75" customHeight="1">
      <c r="D869" s="140"/>
      <c r="E869" s="140"/>
      <c r="F869" s="216"/>
      <c r="G869" s="198"/>
      <c r="H869" s="140"/>
      <c r="I869" s="140"/>
      <c r="J869" s="122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</row>
    <row r="870" spans="4:20" ht="15.75" customHeight="1">
      <c r="D870" s="140"/>
      <c r="E870" s="140"/>
      <c r="F870" s="216"/>
      <c r="G870" s="198"/>
      <c r="H870" s="140"/>
      <c r="I870" s="140"/>
      <c r="J870" s="122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</row>
    <row r="871" spans="4:20" ht="15.75" customHeight="1">
      <c r="D871" s="140"/>
      <c r="E871" s="140"/>
      <c r="F871" s="216"/>
      <c r="G871" s="198"/>
      <c r="H871" s="140"/>
      <c r="I871" s="140"/>
      <c r="J871" s="122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</row>
    <row r="872" spans="4:20" ht="15.75" customHeight="1">
      <c r="D872" s="140"/>
      <c r="E872" s="140"/>
      <c r="F872" s="216"/>
      <c r="G872" s="198"/>
      <c r="H872" s="140"/>
      <c r="I872" s="140"/>
      <c r="J872" s="122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</row>
    <row r="873" spans="4:20" ht="15.75" customHeight="1">
      <c r="D873" s="140"/>
      <c r="E873" s="140"/>
      <c r="F873" s="216"/>
      <c r="G873" s="198"/>
      <c r="H873" s="140"/>
      <c r="I873" s="140"/>
      <c r="J873" s="122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</row>
    <row r="874" spans="4:20" ht="15.75" customHeight="1">
      <c r="D874" s="140"/>
      <c r="E874" s="140"/>
      <c r="F874" s="216"/>
      <c r="G874" s="198"/>
      <c r="H874" s="140"/>
      <c r="I874" s="140"/>
      <c r="J874" s="122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</row>
    <row r="875" spans="4:20" ht="15.75" customHeight="1">
      <c r="D875" s="140"/>
      <c r="E875" s="140"/>
      <c r="F875" s="216"/>
      <c r="G875" s="198"/>
      <c r="H875" s="140"/>
      <c r="I875" s="140"/>
      <c r="J875" s="122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</row>
    <row r="876" spans="4:20" ht="15.75" customHeight="1">
      <c r="D876" s="140"/>
      <c r="E876" s="140"/>
      <c r="F876" s="216"/>
      <c r="G876" s="198"/>
      <c r="H876" s="140"/>
      <c r="I876" s="140"/>
      <c r="J876" s="122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</row>
    <row r="877" spans="4:20" ht="15.75" customHeight="1">
      <c r="D877" s="140"/>
      <c r="E877" s="140"/>
      <c r="F877" s="216"/>
      <c r="G877" s="198"/>
      <c r="H877" s="140"/>
      <c r="I877" s="140"/>
      <c r="J877" s="122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</row>
    <row r="878" spans="4:20" ht="15.75" customHeight="1">
      <c r="D878" s="140"/>
      <c r="E878" s="140"/>
      <c r="F878" s="216"/>
      <c r="G878" s="198"/>
      <c r="H878" s="140"/>
      <c r="I878" s="140"/>
      <c r="J878" s="122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</row>
    <row r="879" spans="4:20" ht="15.75" customHeight="1">
      <c r="D879" s="140"/>
      <c r="E879" s="140"/>
      <c r="F879" s="216"/>
      <c r="G879" s="198"/>
      <c r="H879" s="140"/>
      <c r="I879" s="140"/>
      <c r="J879" s="122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</row>
    <row r="880" spans="4:20" ht="15.75" customHeight="1">
      <c r="D880" s="140"/>
      <c r="E880" s="140"/>
      <c r="F880" s="216"/>
      <c r="G880" s="198"/>
      <c r="H880" s="140"/>
      <c r="I880" s="140"/>
      <c r="J880" s="122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</row>
    <row r="881" spans="4:20" ht="15.75" customHeight="1">
      <c r="D881" s="140"/>
      <c r="E881" s="140"/>
      <c r="F881" s="216"/>
      <c r="G881" s="198"/>
      <c r="H881" s="140"/>
      <c r="I881" s="140"/>
      <c r="J881" s="122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</row>
    <row r="882" spans="4:20" ht="15.75" customHeight="1">
      <c r="D882" s="140"/>
      <c r="E882" s="140"/>
      <c r="F882" s="216"/>
      <c r="G882" s="198"/>
      <c r="H882" s="140"/>
      <c r="I882" s="140"/>
      <c r="J882" s="122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</row>
    <row r="883" spans="4:20" ht="15.75" customHeight="1">
      <c r="D883" s="140"/>
      <c r="E883" s="140"/>
      <c r="F883" s="216"/>
      <c r="G883" s="198"/>
      <c r="H883" s="140"/>
      <c r="I883" s="140"/>
      <c r="J883" s="122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</row>
    <row r="884" spans="4:20" ht="15.75" customHeight="1">
      <c r="D884" s="140"/>
      <c r="E884" s="140"/>
      <c r="F884" s="216"/>
      <c r="G884" s="198"/>
      <c r="H884" s="140"/>
      <c r="I884" s="140"/>
      <c r="J884" s="122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</row>
    <row r="885" spans="4:20" ht="15.75" customHeight="1">
      <c r="D885" s="140"/>
      <c r="E885" s="140"/>
      <c r="F885" s="216"/>
      <c r="G885" s="198"/>
      <c r="H885" s="140"/>
      <c r="I885" s="140"/>
      <c r="J885" s="122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</row>
    <row r="886" spans="4:20" ht="15.75" customHeight="1">
      <c r="D886" s="140"/>
      <c r="E886" s="140"/>
      <c r="F886" s="216"/>
      <c r="G886" s="198"/>
      <c r="H886" s="140"/>
      <c r="I886" s="140"/>
      <c r="J886" s="122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</row>
    <row r="887" spans="4:20" ht="15.75" customHeight="1">
      <c r="D887" s="140"/>
      <c r="E887" s="140"/>
      <c r="F887" s="216"/>
      <c r="G887" s="198"/>
      <c r="H887" s="140"/>
      <c r="I887" s="140"/>
      <c r="J887" s="122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</row>
    <row r="888" spans="4:20" ht="15.75" customHeight="1">
      <c r="D888" s="140"/>
      <c r="E888" s="140"/>
      <c r="F888" s="216"/>
      <c r="G888" s="198"/>
      <c r="H888" s="140"/>
      <c r="I888" s="140"/>
      <c r="J888" s="122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</row>
    <row r="889" spans="4:20" ht="15.75" customHeight="1">
      <c r="D889" s="140"/>
      <c r="E889" s="140"/>
      <c r="F889" s="216"/>
      <c r="G889" s="198"/>
      <c r="H889" s="140"/>
      <c r="I889" s="140"/>
      <c r="J889" s="122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</row>
    <row r="890" spans="4:20" ht="15.75" customHeight="1">
      <c r="D890" s="140"/>
      <c r="E890" s="140"/>
      <c r="F890" s="216"/>
      <c r="G890" s="198"/>
      <c r="H890" s="140"/>
      <c r="I890" s="140"/>
      <c r="J890" s="122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</row>
    <row r="891" spans="4:20" ht="15.75" customHeight="1">
      <c r="D891" s="140"/>
      <c r="E891" s="140"/>
      <c r="F891" s="216"/>
      <c r="G891" s="198"/>
      <c r="H891" s="140"/>
      <c r="I891" s="140"/>
      <c r="J891" s="122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</row>
    <row r="892" spans="4:20" ht="15.75" customHeight="1">
      <c r="D892" s="140"/>
      <c r="E892" s="140"/>
      <c r="F892" s="216"/>
      <c r="G892" s="198"/>
      <c r="H892" s="140"/>
      <c r="I892" s="140"/>
      <c r="J892" s="122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</row>
    <row r="893" spans="4:20" ht="15.75" customHeight="1">
      <c r="D893" s="140"/>
      <c r="E893" s="140"/>
      <c r="F893" s="216"/>
      <c r="G893" s="198"/>
      <c r="H893" s="140"/>
      <c r="I893" s="140"/>
      <c r="J893" s="122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</row>
    <row r="894" spans="4:20" ht="15.75" customHeight="1">
      <c r="D894" s="140"/>
      <c r="E894" s="140"/>
      <c r="F894" s="216"/>
      <c r="G894" s="198"/>
      <c r="H894" s="140"/>
      <c r="I894" s="140"/>
      <c r="J894" s="122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</row>
    <row r="895" spans="4:20" ht="15.75" customHeight="1">
      <c r="D895" s="140"/>
      <c r="E895" s="140"/>
      <c r="F895" s="216"/>
      <c r="G895" s="198"/>
      <c r="H895" s="140"/>
      <c r="I895" s="140"/>
      <c r="J895" s="122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</row>
    <row r="896" spans="4:20" ht="15.75" customHeight="1">
      <c r="D896" s="140"/>
      <c r="E896" s="140"/>
      <c r="F896" s="216"/>
      <c r="G896" s="198"/>
      <c r="H896" s="140"/>
      <c r="I896" s="140"/>
      <c r="J896" s="122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</row>
    <row r="897" spans="4:20" ht="15.75" customHeight="1">
      <c r="D897" s="140"/>
      <c r="E897" s="140"/>
      <c r="F897" s="216"/>
      <c r="G897" s="198"/>
      <c r="H897" s="140"/>
      <c r="I897" s="140"/>
      <c r="J897" s="122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</row>
    <row r="898" spans="4:20" ht="15.75" customHeight="1">
      <c r="D898" s="140"/>
      <c r="E898" s="140"/>
      <c r="F898" s="216"/>
      <c r="G898" s="198"/>
      <c r="H898" s="140"/>
      <c r="I898" s="140"/>
      <c r="J898" s="122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</row>
    <row r="899" spans="4:20" ht="15.75" customHeight="1">
      <c r="D899" s="140"/>
      <c r="E899" s="140"/>
      <c r="F899" s="216"/>
      <c r="G899" s="198"/>
      <c r="H899" s="140"/>
      <c r="I899" s="140"/>
      <c r="J899" s="122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</row>
    <row r="900" spans="4:20" ht="15.75" customHeight="1">
      <c r="D900" s="140"/>
      <c r="E900" s="140"/>
      <c r="F900" s="216"/>
      <c r="G900" s="198"/>
      <c r="H900" s="140"/>
      <c r="I900" s="140"/>
      <c r="J900" s="122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</row>
    <row r="901" spans="4:20" ht="15.75" customHeight="1">
      <c r="D901" s="140"/>
      <c r="E901" s="140"/>
      <c r="F901" s="216"/>
      <c r="G901" s="198"/>
      <c r="H901" s="140"/>
      <c r="I901" s="140"/>
      <c r="J901" s="122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</row>
    <row r="902" spans="4:20" ht="15.75" customHeight="1">
      <c r="D902" s="140"/>
      <c r="E902" s="140"/>
      <c r="F902" s="216"/>
      <c r="G902" s="198"/>
      <c r="H902" s="140"/>
      <c r="I902" s="140"/>
      <c r="J902" s="122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</row>
    <row r="903" spans="4:20" ht="15.75" customHeight="1">
      <c r="D903" s="140"/>
      <c r="E903" s="140"/>
      <c r="F903" s="216"/>
      <c r="G903" s="198"/>
      <c r="H903" s="140"/>
      <c r="I903" s="140"/>
      <c r="J903" s="122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</row>
    <row r="904" spans="4:20" ht="15.75" customHeight="1">
      <c r="D904" s="140"/>
      <c r="E904" s="140"/>
      <c r="F904" s="216"/>
      <c r="G904" s="198"/>
      <c r="H904" s="140"/>
      <c r="I904" s="140"/>
      <c r="J904" s="122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</row>
    <row r="905" spans="4:20" ht="15.75" customHeight="1">
      <c r="D905" s="140"/>
      <c r="E905" s="140"/>
      <c r="F905" s="216"/>
      <c r="G905" s="198"/>
      <c r="H905" s="140"/>
      <c r="I905" s="140"/>
      <c r="J905" s="122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</row>
    <row r="906" spans="4:20" ht="15.75" customHeight="1">
      <c r="D906" s="140"/>
      <c r="E906" s="140"/>
      <c r="F906" s="216"/>
      <c r="G906" s="198"/>
      <c r="H906" s="140"/>
      <c r="I906" s="140"/>
      <c r="J906" s="122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</row>
    <row r="907" spans="4:20" ht="15.75" customHeight="1">
      <c r="D907" s="140"/>
      <c r="E907" s="140"/>
      <c r="F907" s="216"/>
      <c r="G907" s="198"/>
      <c r="H907" s="140"/>
      <c r="I907" s="140"/>
      <c r="J907" s="122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</row>
    <row r="908" spans="4:20" ht="15.75" customHeight="1">
      <c r="D908" s="140"/>
      <c r="E908" s="140"/>
      <c r="F908" s="216"/>
      <c r="G908" s="198"/>
      <c r="H908" s="140"/>
      <c r="I908" s="140"/>
      <c r="J908" s="122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</row>
    <row r="909" spans="4:20" ht="15.75" customHeight="1">
      <c r="D909" s="140"/>
      <c r="E909" s="140"/>
      <c r="F909" s="216"/>
      <c r="G909" s="198"/>
      <c r="H909" s="140"/>
      <c r="I909" s="140"/>
      <c r="J909" s="122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</row>
    <row r="910" spans="4:20" ht="15.75" customHeight="1">
      <c r="D910" s="140"/>
      <c r="E910" s="140"/>
      <c r="F910" s="216"/>
      <c r="G910" s="198"/>
      <c r="H910" s="140"/>
      <c r="I910" s="140"/>
      <c r="J910" s="122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</row>
    <row r="911" spans="4:20" ht="15.75" customHeight="1">
      <c r="D911" s="140"/>
      <c r="E911" s="140"/>
      <c r="F911" s="216"/>
      <c r="G911" s="198"/>
      <c r="H911" s="140"/>
      <c r="I911" s="140"/>
      <c r="J911" s="122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</row>
    <row r="912" spans="4:20" ht="15.75" customHeight="1">
      <c r="D912" s="140"/>
      <c r="E912" s="140"/>
      <c r="F912" s="216"/>
      <c r="G912" s="198"/>
      <c r="H912" s="140"/>
      <c r="I912" s="140"/>
      <c r="J912" s="122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</row>
    <row r="913" spans="4:20" ht="15.75" customHeight="1">
      <c r="D913" s="140"/>
      <c r="E913" s="140"/>
      <c r="F913" s="216"/>
      <c r="G913" s="198"/>
      <c r="H913" s="140"/>
      <c r="I913" s="140"/>
      <c r="J913" s="122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</row>
    <row r="914" spans="4:20" ht="15.75" customHeight="1">
      <c r="D914" s="140"/>
      <c r="E914" s="140"/>
      <c r="F914" s="216"/>
      <c r="G914" s="198"/>
      <c r="H914" s="140"/>
      <c r="I914" s="140"/>
      <c r="J914" s="122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</row>
    <row r="915" spans="4:20" ht="15.75" customHeight="1">
      <c r="D915" s="140"/>
      <c r="E915" s="140"/>
      <c r="F915" s="216"/>
      <c r="G915" s="198"/>
      <c r="H915" s="140"/>
      <c r="I915" s="140"/>
      <c r="J915" s="122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</row>
    <row r="916" spans="4:20" ht="15.75" customHeight="1">
      <c r="D916" s="140"/>
      <c r="E916" s="140"/>
      <c r="F916" s="216"/>
      <c r="G916" s="198"/>
      <c r="H916" s="140"/>
      <c r="I916" s="140"/>
      <c r="J916" s="122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</row>
    <row r="917" spans="4:20" ht="15.75" customHeight="1">
      <c r="D917" s="140"/>
      <c r="E917" s="140"/>
      <c r="F917" s="216"/>
      <c r="G917" s="198"/>
      <c r="H917" s="140"/>
      <c r="I917" s="140"/>
      <c r="J917" s="122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</row>
    <row r="918" spans="4:20" ht="15.75" customHeight="1">
      <c r="D918" s="140"/>
      <c r="E918" s="140"/>
      <c r="F918" s="216"/>
      <c r="G918" s="198"/>
      <c r="H918" s="140"/>
      <c r="I918" s="140"/>
      <c r="J918" s="122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</row>
    <row r="919" spans="4:20" ht="15.75" customHeight="1">
      <c r="D919" s="140"/>
      <c r="E919" s="140"/>
      <c r="F919" s="216"/>
      <c r="G919" s="198"/>
      <c r="H919" s="140"/>
      <c r="I919" s="140"/>
      <c r="J919" s="122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</row>
    <row r="920" spans="4:20" ht="15.75" customHeight="1">
      <c r="D920" s="140"/>
      <c r="E920" s="140"/>
      <c r="F920" s="216"/>
      <c r="G920" s="198"/>
      <c r="H920" s="140"/>
      <c r="I920" s="140"/>
      <c r="J920" s="122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</row>
    <row r="921" spans="4:20" ht="15.75" customHeight="1">
      <c r="D921" s="140"/>
      <c r="E921" s="140"/>
      <c r="F921" s="216"/>
      <c r="G921" s="198"/>
      <c r="H921" s="140"/>
      <c r="I921" s="140"/>
      <c r="J921" s="122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</row>
    <row r="922" spans="4:20" ht="15.75" customHeight="1">
      <c r="D922" s="140"/>
      <c r="E922" s="140"/>
      <c r="F922" s="216"/>
      <c r="G922" s="198"/>
      <c r="H922" s="140"/>
      <c r="I922" s="140"/>
      <c r="J922" s="122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</row>
    <row r="923" spans="4:20" ht="15.75" customHeight="1">
      <c r="D923" s="140"/>
      <c r="E923" s="140"/>
      <c r="F923" s="216"/>
      <c r="G923" s="198"/>
      <c r="H923" s="140"/>
      <c r="I923" s="140"/>
      <c r="J923" s="122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</row>
    <row r="924" spans="4:20" ht="15.75" customHeight="1">
      <c r="D924" s="140"/>
      <c r="E924" s="140"/>
      <c r="F924" s="216"/>
      <c r="G924" s="198"/>
      <c r="H924" s="140"/>
      <c r="I924" s="140"/>
      <c r="J924" s="122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</row>
    <row r="925" spans="4:20" ht="15.75" customHeight="1">
      <c r="D925" s="140"/>
      <c r="E925" s="140"/>
      <c r="F925" s="216"/>
      <c r="G925" s="198"/>
      <c r="H925" s="140"/>
      <c r="I925" s="140"/>
      <c r="J925" s="122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</row>
    <row r="926" spans="4:20" ht="15.75" customHeight="1">
      <c r="D926" s="140"/>
      <c r="E926" s="140"/>
      <c r="F926" s="216"/>
      <c r="G926" s="198"/>
      <c r="H926" s="140"/>
      <c r="I926" s="140"/>
      <c r="J926" s="122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</row>
    <row r="927" spans="4:20" ht="15.75" customHeight="1">
      <c r="D927" s="140"/>
      <c r="E927" s="140"/>
      <c r="F927" s="216"/>
      <c r="G927" s="198"/>
      <c r="H927" s="140"/>
      <c r="I927" s="140"/>
      <c r="J927" s="122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</row>
    <row r="928" spans="4:20" ht="15.75" customHeight="1">
      <c r="D928" s="140"/>
      <c r="E928" s="140"/>
      <c r="F928" s="216"/>
      <c r="G928" s="198"/>
      <c r="H928" s="140"/>
      <c r="I928" s="140"/>
      <c r="J928" s="122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</row>
    <row r="929" spans="4:20" ht="15.75" customHeight="1">
      <c r="D929" s="140"/>
      <c r="E929" s="140"/>
      <c r="F929" s="216"/>
      <c r="G929" s="198"/>
      <c r="H929" s="140"/>
      <c r="I929" s="140"/>
      <c r="J929" s="122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</row>
    <row r="930" spans="4:20" ht="15.75" customHeight="1">
      <c r="D930" s="140"/>
      <c r="E930" s="140"/>
      <c r="F930" s="216"/>
      <c r="G930" s="198"/>
      <c r="H930" s="140"/>
      <c r="I930" s="140"/>
      <c r="J930" s="122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</row>
    <row r="931" spans="4:20" ht="15.75" customHeight="1">
      <c r="D931" s="140"/>
      <c r="E931" s="140"/>
      <c r="F931" s="216"/>
      <c r="G931" s="198"/>
      <c r="H931" s="140"/>
      <c r="I931" s="140"/>
      <c r="J931" s="122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</row>
    <row r="932" spans="4:20" ht="15.75" customHeight="1">
      <c r="D932" s="140"/>
      <c r="E932" s="140"/>
      <c r="F932" s="216"/>
      <c r="G932" s="198"/>
      <c r="H932" s="140"/>
      <c r="I932" s="140"/>
      <c r="J932" s="122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</row>
    <row r="933" spans="4:20" ht="15.75" customHeight="1">
      <c r="D933" s="140"/>
      <c r="E933" s="140"/>
      <c r="F933" s="216"/>
      <c r="G933" s="198"/>
      <c r="H933" s="140"/>
      <c r="I933" s="140"/>
      <c r="J933" s="122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</row>
    <row r="934" spans="4:20" ht="15.75" customHeight="1">
      <c r="D934" s="140"/>
      <c r="E934" s="140"/>
      <c r="F934" s="216"/>
      <c r="G934" s="198"/>
      <c r="H934" s="140"/>
      <c r="I934" s="140"/>
      <c r="J934" s="122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</row>
    <row r="935" spans="4:20" ht="15.75" customHeight="1">
      <c r="D935" s="140"/>
      <c r="E935" s="140"/>
      <c r="F935" s="216"/>
      <c r="G935" s="198"/>
      <c r="H935" s="140"/>
      <c r="I935" s="140"/>
      <c r="J935" s="122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</row>
    <row r="936" spans="4:20" ht="15.75" customHeight="1">
      <c r="D936" s="140"/>
      <c r="E936" s="140"/>
      <c r="F936" s="216"/>
      <c r="G936" s="198"/>
      <c r="H936" s="140"/>
      <c r="I936" s="140"/>
      <c r="J936" s="122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</row>
    <row r="937" spans="4:20" ht="15.75" customHeight="1">
      <c r="D937" s="140"/>
      <c r="E937" s="140"/>
      <c r="F937" s="216"/>
      <c r="G937" s="198"/>
      <c r="H937" s="140"/>
      <c r="I937" s="140"/>
      <c r="J937" s="122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</row>
    <row r="938" spans="4:20" ht="15.75" customHeight="1">
      <c r="D938" s="140"/>
      <c r="E938" s="140"/>
      <c r="F938" s="216"/>
      <c r="G938" s="198"/>
      <c r="H938" s="140"/>
      <c r="I938" s="140"/>
      <c r="J938" s="122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</row>
    <row r="939" spans="4:20" ht="15.75" customHeight="1">
      <c r="D939" s="140"/>
      <c r="E939" s="140"/>
      <c r="F939" s="216"/>
      <c r="G939" s="198"/>
      <c r="H939" s="140"/>
      <c r="I939" s="140"/>
      <c r="J939" s="122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</row>
    <row r="940" spans="4:20" ht="15.75" customHeight="1">
      <c r="D940" s="140"/>
      <c r="E940" s="140"/>
      <c r="F940" s="216"/>
      <c r="G940" s="198"/>
      <c r="H940" s="140"/>
      <c r="I940" s="140"/>
      <c r="J940" s="122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</row>
    <row r="941" spans="4:20" ht="15.75" customHeight="1">
      <c r="D941" s="140"/>
      <c r="E941" s="140"/>
      <c r="F941" s="216"/>
      <c r="G941" s="198"/>
      <c r="H941" s="140"/>
      <c r="I941" s="140"/>
      <c r="J941" s="122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</row>
    <row r="942" spans="4:20" ht="15.75" customHeight="1">
      <c r="D942" s="140"/>
      <c r="E942" s="140"/>
      <c r="F942" s="216"/>
      <c r="G942" s="198"/>
      <c r="H942" s="140"/>
      <c r="I942" s="140"/>
      <c r="J942" s="122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</row>
    <row r="943" spans="4:20" ht="15.75" customHeight="1">
      <c r="D943" s="140"/>
      <c r="E943" s="140"/>
      <c r="F943" s="216"/>
      <c r="G943" s="198"/>
      <c r="H943" s="140"/>
      <c r="I943" s="140"/>
      <c r="J943" s="122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</row>
    <row r="944" spans="4:20" ht="15.75" customHeight="1">
      <c r="D944" s="140"/>
      <c r="E944" s="140"/>
      <c r="F944" s="216"/>
      <c r="G944" s="198"/>
      <c r="H944" s="140"/>
      <c r="I944" s="140"/>
      <c r="J944" s="122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</row>
    <row r="945" spans="4:20" ht="15.75" customHeight="1">
      <c r="D945" s="140"/>
      <c r="E945" s="140"/>
      <c r="F945" s="216"/>
      <c r="G945" s="198"/>
      <c r="H945" s="140"/>
      <c r="I945" s="140"/>
      <c r="J945" s="122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</row>
    <row r="946" spans="4:20" ht="15.75" customHeight="1">
      <c r="D946" s="140"/>
      <c r="E946" s="140"/>
      <c r="F946" s="216"/>
      <c r="G946" s="198"/>
      <c r="H946" s="140"/>
      <c r="I946" s="140"/>
      <c r="J946" s="122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</row>
    <row r="947" spans="4:20" ht="15.75" customHeight="1">
      <c r="D947" s="140"/>
      <c r="E947" s="140"/>
      <c r="F947" s="216"/>
      <c r="G947" s="198"/>
      <c r="H947" s="140"/>
      <c r="I947" s="140"/>
      <c r="J947" s="122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</row>
    <row r="948" spans="4:20" ht="15.75" customHeight="1">
      <c r="D948" s="140"/>
      <c r="E948" s="140"/>
      <c r="F948" s="216"/>
      <c r="G948" s="198"/>
      <c r="H948" s="140"/>
      <c r="I948" s="140"/>
      <c r="J948" s="122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</row>
    <row r="949" spans="4:20" ht="15.75" customHeight="1">
      <c r="D949" s="140"/>
      <c r="E949" s="140"/>
      <c r="F949" s="216"/>
      <c r="G949" s="198"/>
      <c r="H949" s="140"/>
      <c r="I949" s="140"/>
      <c r="J949" s="122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</row>
    <row r="950" spans="4:20" ht="15.75" customHeight="1">
      <c r="D950" s="140"/>
      <c r="E950" s="140"/>
      <c r="F950" s="216"/>
      <c r="G950" s="198"/>
      <c r="H950" s="140"/>
      <c r="I950" s="140"/>
      <c r="J950" s="122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</row>
    <row r="951" spans="4:20" ht="15.75" customHeight="1">
      <c r="D951" s="140"/>
      <c r="E951" s="140"/>
      <c r="F951" s="216"/>
      <c r="G951" s="198"/>
      <c r="H951" s="140"/>
      <c r="I951" s="140"/>
      <c r="J951" s="122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</row>
    <row r="952" spans="4:20" ht="15.75" customHeight="1">
      <c r="D952" s="140"/>
      <c r="E952" s="140"/>
      <c r="F952" s="216"/>
      <c r="G952" s="198"/>
      <c r="H952" s="140"/>
      <c r="I952" s="140"/>
      <c r="J952" s="122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</row>
    <row r="953" spans="4:20" ht="15.75" customHeight="1">
      <c r="D953" s="140"/>
      <c r="E953" s="140"/>
      <c r="F953" s="216"/>
      <c r="G953" s="198"/>
      <c r="H953" s="140"/>
      <c r="I953" s="140"/>
      <c r="J953" s="122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</row>
    <row r="954" spans="4:20" ht="15.75" customHeight="1">
      <c r="D954" s="140"/>
      <c r="E954" s="140"/>
      <c r="F954" s="216"/>
      <c r="G954" s="198"/>
      <c r="H954" s="140"/>
      <c r="I954" s="140"/>
      <c r="J954" s="122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</row>
    <row r="955" spans="4:20" ht="15.75" customHeight="1">
      <c r="D955" s="140"/>
      <c r="E955" s="140"/>
      <c r="F955" s="216"/>
      <c r="G955" s="198"/>
      <c r="H955" s="140"/>
      <c r="I955" s="140"/>
      <c r="J955" s="122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</row>
    <row r="956" spans="4:20" ht="15.75" customHeight="1">
      <c r="D956" s="140"/>
      <c r="E956" s="140"/>
      <c r="F956" s="216"/>
      <c r="G956" s="198"/>
      <c r="H956" s="140"/>
      <c r="I956" s="140"/>
      <c r="J956" s="122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</row>
    <row r="957" spans="4:20" ht="15.75" customHeight="1">
      <c r="D957" s="140"/>
      <c r="E957" s="140"/>
      <c r="F957" s="216"/>
      <c r="G957" s="198"/>
      <c r="H957" s="140"/>
      <c r="I957" s="140"/>
      <c r="J957" s="122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</row>
    <row r="958" spans="4:20" ht="15.75" customHeight="1">
      <c r="D958" s="140"/>
      <c r="E958" s="140"/>
      <c r="F958" s="216"/>
      <c r="G958" s="198"/>
      <c r="H958" s="140"/>
      <c r="I958" s="140"/>
      <c r="J958" s="122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</row>
    <row r="959" spans="4:20" ht="15.75" customHeight="1">
      <c r="D959" s="140"/>
      <c r="E959" s="140"/>
      <c r="F959" s="216"/>
      <c r="G959" s="198"/>
      <c r="H959" s="140"/>
      <c r="I959" s="140"/>
      <c r="J959" s="122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</row>
    <row r="960" spans="4:20" ht="15.75" customHeight="1">
      <c r="D960" s="140"/>
      <c r="E960" s="140"/>
      <c r="F960" s="216"/>
      <c r="G960" s="198"/>
      <c r="H960" s="140"/>
      <c r="I960" s="140"/>
      <c r="J960" s="122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</row>
    <row r="961" spans="4:20" ht="15.75" customHeight="1">
      <c r="D961" s="140"/>
      <c r="E961" s="140"/>
      <c r="F961" s="216"/>
      <c r="G961" s="198"/>
      <c r="H961" s="140"/>
      <c r="I961" s="140"/>
      <c r="J961" s="122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</row>
    <row r="962" spans="4:20" ht="15.75" customHeight="1">
      <c r="D962" s="140"/>
      <c r="E962" s="140"/>
      <c r="F962" s="216"/>
      <c r="G962" s="198"/>
      <c r="H962" s="140"/>
      <c r="I962" s="140"/>
      <c r="J962" s="122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</row>
    <row r="963" spans="4:20" ht="15.75" customHeight="1">
      <c r="D963" s="140"/>
      <c r="E963" s="140"/>
      <c r="F963" s="216"/>
      <c r="G963" s="198"/>
      <c r="H963" s="140"/>
      <c r="I963" s="140"/>
      <c r="J963" s="122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</row>
    <row r="964" spans="4:20" ht="15.75" customHeight="1">
      <c r="D964" s="140"/>
      <c r="E964" s="140"/>
      <c r="F964" s="216"/>
      <c r="G964" s="198"/>
      <c r="H964" s="140"/>
      <c r="I964" s="140"/>
      <c r="J964" s="122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</row>
    <row r="965" spans="4:20" ht="15.75" customHeight="1">
      <c r="D965" s="140"/>
      <c r="E965" s="140"/>
      <c r="F965" s="216"/>
      <c r="G965" s="198"/>
      <c r="H965" s="140"/>
      <c r="I965" s="140"/>
      <c r="J965" s="122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</row>
    <row r="966" spans="4:20" ht="15.75" customHeight="1">
      <c r="D966" s="140"/>
      <c r="E966" s="140"/>
      <c r="F966" s="216"/>
      <c r="G966" s="198"/>
      <c r="H966" s="140"/>
      <c r="I966" s="140"/>
      <c r="J966" s="122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</row>
    <row r="967" spans="4:20" ht="15.75" customHeight="1">
      <c r="D967" s="140"/>
      <c r="E967" s="140"/>
      <c r="F967" s="216"/>
      <c r="G967" s="198"/>
      <c r="H967" s="140"/>
      <c r="I967" s="140"/>
      <c r="J967" s="122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</row>
    <row r="968" spans="4:20" ht="15.75" customHeight="1">
      <c r="D968" s="140"/>
      <c r="E968" s="140"/>
      <c r="F968" s="216"/>
      <c r="G968" s="198"/>
      <c r="H968" s="140"/>
      <c r="I968" s="140"/>
      <c r="J968" s="122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</row>
    <row r="969" spans="4:20" ht="15.75" customHeight="1">
      <c r="D969" s="140"/>
      <c r="E969" s="140"/>
      <c r="F969" s="216"/>
      <c r="G969" s="198"/>
      <c r="H969" s="140"/>
      <c r="I969" s="140"/>
      <c r="J969" s="122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</row>
    <row r="970" spans="4:20" ht="15.75" customHeight="1">
      <c r="D970" s="140"/>
      <c r="E970" s="140"/>
      <c r="F970" s="216"/>
      <c r="G970" s="198"/>
      <c r="H970" s="140"/>
      <c r="I970" s="140"/>
      <c r="J970" s="122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</row>
    <row r="971" spans="4:20" ht="15.75" customHeight="1">
      <c r="D971" s="140"/>
      <c r="E971" s="140"/>
      <c r="F971" s="216"/>
      <c r="G971" s="198"/>
      <c r="H971" s="140"/>
      <c r="I971" s="140"/>
      <c r="J971" s="122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</row>
    <row r="972" spans="4:20" ht="15.75" customHeight="1">
      <c r="D972" s="140"/>
      <c r="E972" s="140"/>
      <c r="F972" s="216"/>
      <c r="G972" s="198"/>
      <c r="H972" s="140"/>
      <c r="I972" s="140"/>
      <c r="J972" s="122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</row>
    <row r="973" spans="4:20" ht="15.75" customHeight="1">
      <c r="D973" s="140"/>
      <c r="E973" s="140"/>
      <c r="F973" s="216"/>
      <c r="G973" s="198"/>
      <c r="H973" s="140"/>
      <c r="I973" s="140"/>
      <c r="J973" s="122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</row>
    <row r="974" spans="4:20" ht="15.75" customHeight="1">
      <c r="D974" s="140"/>
      <c r="E974" s="140"/>
      <c r="F974" s="216"/>
      <c r="G974" s="198"/>
      <c r="H974" s="140"/>
      <c r="I974" s="140"/>
      <c r="J974" s="122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</row>
    <row r="975" spans="4:20" ht="15.75" customHeight="1">
      <c r="D975" s="140"/>
      <c r="E975" s="140"/>
      <c r="F975" s="216"/>
      <c r="G975" s="198"/>
      <c r="H975" s="140"/>
      <c r="I975" s="140"/>
      <c r="J975" s="122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</row>
    <row r="976" spans="4:20" ht="15.75" customHeight="1">
      <c r="D976" s="140"/>
      <c r="E976" s="140"/>
      <c r="F976" s="216"/>
      <c r="G976" s="198"/>
      <c r="H976" s="140"/>
      <c r="I976" s="140"/>
      <c r="J976" s="122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</row>
    <row r="977" spans="4:20" ht="15.75" customHeight="1">
      <c r="D977" s="140"/>
      <c r="E977" s="140"/>
      <c r="F977" s="216"/>
      <c r="G977" s="198"/>
      <c r="H977" s="140"/>
      <c r="I977" s="140"/>
      <c r="J977" s="122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</row>
    <row r="978" spans="4:20" ht="15.75" customHeight="1">
      <c r="D978" s="140"/>
      <c r="E978" s="140"/>
      <c r="F978" s="216"/>
      <c r="G978" s="198"/>
      <c r="H978" s="140"/>
      <c r="I978" s="140"/>
      <c r="J978" s="122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</row>
    <row r="979" spans="4:20" ht="15.75" customHeight="1">
      <c r="D979" s="140"/>
      <c r="E979" s="140"/>
      <c r="F979" s="216"/>
      <c r="G979" s="198"/>
      <c r="H979" s="140"/>
      <c r="I979" s="140"/>
      <c r="J979" s="122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</row>
    <row r="980" spans="4:20" ht="15.75" customHeight="1">
      <c r="D980" s="140"/>
      <c r="E980" s="140"/>
      <c r="F980" s="216"/>
      <c r="G980" s="198"/>
      <c r="H980" s="140"/>
      <c r="I980" s="140"/>
      <c r="J980" s="122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</row>
    <row r="981" spans="4:20" ht="15.75" customHeight="1">
      <c r="D981" s="140"/>
      <c r="E981" s="140"/>
      <c r="F981" s="216"/>
      <c r="G981" s="198"/>
      <c r="H981" s="140"/>
      <c r="I981" s="140"/>
      <c r="J981" s="122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</row>
    <row r="982" spans="4:20" ht="15.75" customHeight="1">
      <c r="D982" s="140"/>
      <c r="E982" s="140"/>
      <c r="F982" s="216"/>
      <c r="G982" s="198"/>
      <c r="H982" s="140"/>
      <c r="I982" s="140"/>
      <c r="J982" s="122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</row>
    <row r="983" spans="4:20" ht="15.75" customHeight="1">
      <c r="D983" s="140"/>
      <c r="E983" s="140"/>
      <c r="F983" s="216"/>
      <c r="G983" s="198"/>
      <c r="H983" s="140"/>
      <c r="I983" s="140"/>
      <c r="J983" s="122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</row>
    <row r="984" spans="4:20" ht="15.75" customHeight="1">
      <c r="D984" s="140"/>
      <c r="E984" s="140"/>
      <c r="F984" s="216"/>
      <c r="G984" s="198"/>
      <c r="H984" s="140"/>
      <c r="I984" s="140"/>
      <c r="J984" s="122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</row>
    <row r="985" spans="4:20" ht="15.75" customHeight="1">
      <c r="D985" s="140"/>
      <c r="E985" s="140"/>
      <c r="F985" s="216"/>
      <c r="G985" s="198"/>
      <c r="H985" s="140"/>
      <c r="I985" s="140"/>
      <c r="J985" s="122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</row>
    <row r="986" spans="4:20" ht="15.75" customHeight="1">
      <c r="D986" s="140"/>
      <c r="E986" s="140"/>
      <c r="F986" s="216"/>
      <c r="G986" s="198"/>
      <c r="H986" s="140"/>
      <c r="I986" s="140"/>
      <c r="J986" s="122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</row>
    <row r="987" spans="4:20" ht="15.75" customHeight="1">
      <c r="D987" s="140"/>
      <c r="E987" s="140"/>
      <c r="F987" s="216"/>
      <c r="G987" s="198"/>
      <c r="H987" s="140"/>
      <c r="I987" s="140"/>
      <c r="J987" s="122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</row>
    <row r="988" spans="4:20" ht="15.75" customHeight="1">
      <c r="D988" s="140"/>
      <c r="E988" s="140"/>
      <c r="F988" s="216"/>
      <c r="G988" s="198"/>
      <c r="H988" s="140"/>
      <c r="I988" s="140"/>
      <c r="J988" s="122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</row>
    <row r="989" spans="4:20" ht="15.75" customHeight="1">
      <c r="D989" s="140"/>
      <c r="E989" s="140"/>
      <c r="F989" s="216"/>
      <c r="G989" s="198"/>
      <c r="H989" s="140"/>
      <c r="I989" s="140"/>
      <c r="J989" s="122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</row>
  </sheetData>
  <mergeCells count="11">
    <mergeCell ref="K2:K3"/>
    <mergeCell ref="L2:L3"/>
    <mergeCell ref="A34:F34"/>
    <mergeCell ref="A1:M1"/>
    <mergeCell ref="A2:A3"/>
    <mergeCell ref="B2:B3"/>
    <mergeCell ref="D2:F2"/>
    <mergeCell ref="G2:G3"/>
    <mergeCell ref="I2:I3"/>
    <mergeCell ref="J2:J3"/>
    <mergeCell ref="M2:M3"/>
  </mergeCells>
  <conditionalFormatting sqref="I2:L2">
    <cfRule type="cellIs" dxfId="6" priority="1" operator="equal">
      <formula>"สั่งซื้อเพิ่ม"</formula>
    </cfRule>
  </conditionalFormatting>
  <pageMargins left="0.7" right="0.7" top="0.75" bottom="0.75" header="0" footer="0"/>
  <pageSetup orientation="portrait" r:id="rId1"/>
  <colBreaks count="1" manualBreakCount="1">
    <brk id="12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CC00"/>
  </sheetPr>
  <dimension ref="A1:Z994"/>
  <sheetViews>
    <sheetView topLeftCell="A7" zoomScale="70" zoomScaleNormal="70" workbookViewId="0">
      <selection activeCell="F29" sqref="F29:G29"/>
    </sheetView>
  </sheetViews>
  <sheetFormatPr defaultColWidth="14.453125" defaultRowHeight="15" customHeight="1"/>
  <cols>
    <col min="1" max="1" width="12.453125" customWidth="1"/>
    <col min="2" max="2" width="29" customWidth="1"/>
    <col min="3" max="3" width="13.6328125" customWidth="1"/>
    <col min="4" max="6" width="10.6328125" customWidth="1"/>
    <col min="12" max="12" width="17.453125" customWidth="1"/>
    <col min="13" max="13" width="35.453125" customWidth="1"/>
    <col min="14" max="14" width="15.453125" customWidth="1"/>
    <col min="15" max="26" width="8.6328125" customWidth="1"/>
  </cols>
  <sheetData>
    <row r="1" spans="1:26" ht="42.75" customHeight="1">
      <c r="A1" s="501" t="s">
        <v>37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141"/>
      <c r="O1" s="142"/>
      <c r="P1" s="142"/>
      <c r="Q1" s="142"/>
      <c r="R1" s="142"/>
      <c r="S1" s="120"/>
      <c r="T1" s="120"/>
      <c r="U1" s="120"/>
      <c r="V1" s="120"/>
      <c r="W1" s="120"/>
      <c r="X1" s="120"/>
      <c r="Y1" s="120"/>
      <c r="Z1" s="120"/>
    </row>
    <row r="2" spans="1:26" ht="27" customHeight="1">
      <c r="A2" s="475" t="s">
        <v>4</v>
      </c>
      <c r="B2" s="475" t="s">
        <v>5</v>
      </c>
      <c r="C2" s="28" t="s">
        <v>6</v>
      </c>
      <c r="D2" s="476" t="s">
        <v>7</v>
      </c>
      <c r="E2" s="466"/>
      <c r="F2" s="467"/>
      <c r="G2" s="485" t="s">
        <v>8</v>
      </c>
      <c r="H2" s="75" t="s">
        <v>9</v>
      </c>
      <c r="I2" s="475" t="s">
        <v>10</v>
      </c>
      <c r="J2" s="475" t="s">
        <v>11</v>
      </c>
      <c r="K2" s="475" t="s">
        <v>12</v>
      </c>
      <c r="L2" s="475" t="s">
        <v>13</v>
      </c>
      <c r="M2" s="483" t="s">
        <v>14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7" customHeight="1">
      <c r="A3" s="469"/>
      <c r="B3" s="469"/>
      <c r="C3" s="31" t="s">
        <v>0</v>
      </c>
      <c r="D3" s="31" t="s">
        <v>0</v>
      </c>
      <c r="E3" s="31" t="s">
        <v>1</v>
      </c>
      <c r="F3" s="31" t="s">
        <v>2</v>
      </c>
      <c r="G3" s="469"/>
      <c r="H3" s="76" t="s">
        <v>38</v>
      </c>
      <c r="I3" s="469"/>
      <c r="J3" s="469"/>
      <c r="K3" s="469"/>
      <c r="L3" s="469"/>
      <c r="M3" s="50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7" customHeight="1">
      <c r="A4" s="34"/>
      <c r="B4" s="204" t="s">
        <v>135</v>
      </c>
      <c r="C4" s="34"/>
      <c r="D4" s="34">
        <v>16</v>
      </c>
      <c r="E4" s="143">
        <v>162</v>
      </c>
      <c r="F4" s="143">
        <v>2440</v>
      </c>
      <c r="G4" s="144">
        <v>90</v>
      </c>
      <c r="H4" s="80"/>
      <c r="I4" s="48">
        <f t="shared" ref="I4:I35" si="0">D4*E4*F4*G4/1000000000</f>
        <v>0.56920320000000002</v>
      </c>
      <c r="J4" s="48">
        <f t="shared" ref="J4:J35" si="1">I4*35.315</f>
        <v>20.101411007999999</v>
      </c>
      <c r="K4" s="47">
        <v>22000</v>
      </c>
      <c r="L4" s="145">
        <f t="shared" ref="L4:L35" si="2">I4*K4</f>
        <v>12522.4704</v>
      </c>
      <c r="M4" s="146" t="s">
        <v>39</v>
      </c>
      <c r="N4" s="147"/>
      <c r="O4" s="139"/>
      <c r="P4" s="139"/>
      <c r="Q4" s="139"/>
      <c r="R4" s="139"/>
      <c r="S4" s="74"/>
      <c r="T4" s="74"/>
      <c r="U4" s="74"/>
      <c r="V4" s="74"/>
      <c r="W4" s="74"/>
      <c r="X4" s="74"/>
      <c r="Y4" s="74"/>
      <c r="Z4" s="74"/>
    </row>
    <row r="5" spans="1:26" ht="27" customHeight="1">
      <c r="A5" s="34"/>
      <c r="B5" s="204" t="s">
        <v>135</v>
      </c>
      <c r="C5" s="34"/>
      <c r="D5" s="34">
        <v>16</v>
      </c>
      <c r="E5" s="143">
        <v>86</v>
      </c>
      <c r="F5" s="143">
        <v>524</v>
      </c>
      <c r="G5" s="144">
        <v>1523</v>
      </c>
      <c r="H5" s="80"/>
      <c r="I5" s="48">
        <f t="shared" si="0"/>
        <v>1.098119552</v>
      </c>
      <c r="J5" s="48">
        <f t="shared" si="1"/>
        <v>38.780091978879994</v>
      </c>
      <c r="K5" s="47">
        <v>22000</v>
      </c>
      <c r="L5" s="145">
        <f t="shared" si="2"/>
        <v>24158.630143999999</v>
      </c>
      <c r="M5" s="146" t="s">
        <v>39</v>
      </c>
      <c r="N5" s="138"/>
      <c r="O5" s="139"/>
      <c r="P5" s="139"/>
      <c r="Q5" s="139"/>
      <c r="R5" s="139"/>
      <c r="S5" s="74"/>
      <c r="T5" s="74"/>
      <c r="U5" s="74"/>
      <c r="V5" s="74"/>
      <c r="W5" s="74"/>
      <c r="X5" s="74"/>
      <c r="Y5" s="74"/>
      <c r="Z5" s="74"/>
    </row>
    <row r="6" spans="1:26" ht="27" customHeight="1">
      <c r="A6" s="34"/>
      <c r="B6" s="204" t="s">
        <v>135</v>
      </c>
      <c r="C6" s="34"/>
      <c r="D6" s="34">
        <v>16</v>
      </c>
      <c r="E6" s="143">
        <v>86</v>
      </c>
      <c r="F6" s="143">
        <v>474</v>
      </c>
      <c r="G6" s="144">
        <v>1545</v>
      </c>
      <c r="H6" s="80"/>
      <c r="I6" s="48">
        <f t="shared" si="0"/>
        <v>1.00768608</v>
      </c>
      <c r="J6" s="48">
        <f t="shared" si="1"/>
        <v>35.586433915199997</v>
      </c>
      <c r="K6" s="47">
        <v>22000</v>
      </c>
      <c r="L6" s="145">
        <f t="shared" si="2"/>
        <v>22169.09376</v>
      </c>
      <c r="M6" s="146" t="s">
        <v>39</v>
      </c>
      <c r="N6" s="138"/>
      <c r="O6" s="139"/>
      <c r="P6" s="139"/>
      <c r="Q6" s="139"/>
      <c r="R6" s="139"/>
      <c r="S6" s="74"/>
      <c r="T6" s="74"/>
      <c r="U6" s="74"/>
      <c r="V6" s="74"/>
      <c r="W6" s="74"/>
      <c r="X6" s="74"/>
      <c r="Y6" s="74"/>
      <c r="Z6" s="74"/>
    </row>
    <row r="7" spans="1:26" ht="27" customHeight="1">
      <c r="A7" s="34"/>
      <c r="B7" s="204" t="s">
        <v>135</v>
      </c>
      <c r="C7" s="34"/>
      <c r="D7" s="34">
        <v>16</v>
      </c>
      <c r="E7" s="143">
        <v>86</v>
      </c>
      <c r="F7" s="143">
        <v>474</v>
      </c>
      <c r="G7" s="144">
        <v>1561</v>
      </c>
      <c r="H7" s="80"/>
      <c r="I7" s="48">
        <f t="shared" si="0"/>
        <v>1.0181216639999999</v>
      </c>
      <c r="J7" s="48">
        <f t="shared" si="1"/>
        <v>35.954966564159996</v>
      </c>
      <c r="K7" s="47">
        <v>22000</v>
      </c>
      <c r="L7" s="145">
        <f t="shared" si="2"/>
        <v>22398.676607999998</v>
      </c>
      <c r="M7" s="146" t="s">
        <v>39</v>
      </c>
      <c r="N7" s="138"/>
      <c r="O7" s="139"/>
      <c r="P7" s="139"/>
      <c r="Q7" s="139"/>
      <c r="R7" s="139"/>
      <c r="S7" s="74"/>
      <c r="T7" s="74"/>
      <c r="U7" s="74"/>
      <c r="V7" s="74"/>
      <c r="W7" s="74"/>
      <c r="X7" s="74"/>
      <c r="Y7" s="74"/>
      <c r="Z7" s="74"/>
    </row>
    <row r="8" spans="1:26" ht="27" customHeight="1">
      <c r="A8" s="34"/>
      <c r="B8" s="204" t="s">
        <v>135</v>
      </c>
      <c r="C8" s="34"/>
      <c r="D8" s="34">
        <v>16</v>
      </c>
      <c r="E8" s="143">
        <v>86</v>
      </c>
      <c r="F8" s="143">
        <v>524</v>
      </c>
      <c r="G8" s="144">
        <v>1140</v>
      </c>
      <c r="H8" s="80"/>
      <c r="I8" s="48">
        <f t="shared" si="0"/>
        <v>0.82196736000000004</v>
      </c>
      <c r="J8" s="48">
        <f t="shared" si="1"/>
        <v>29.027777318399998</v>
      </c>
      <c r="K8" s="47">
        <v>22000</v>
      </c>
      <c r="L8" s="145">
        <f t="shared" si="2"/>
        <v>18083.281920000001</v>
      </c>
      <c r="M8" s="146" t="s">
        <v>39</v>
      </c>
      <c r="N8" s="138"/>
      <c r="O8" s="139"/>
      <c r="P8" s="139"/>
      <c r="Q8" s="139"/>
      <c r="R8" s="139"/>
      <c r="S8" s="74"/>
      <c r="T8" s="74"/>
      <c r="U8" s="74"/>
      <c r="V8" s="74"/>
      <c r="W8" s="74"/>
      <c r="X8" s="74"/>
      <c r="Y8" s="74"/>
      <c r="Z8" s="74"/>
    </row>
    <row r="9" spans="1:26" ht="27" customHeight="1">
      <c r="A9" s="34"/>
      <c r="B9" s="204" t="s">
        <v>135</v>
      </c>
      <c r="C9" s="34"/>
      <c r="D9" s="34">
        <v>16</v>
      </c>
      <c r="E9" s="143">
        <v>86</v>
      </c>
      <c r="F9" s="143">
        <v>524</v>
      </c>
      <c r="G9" s="144">
        <v>1548</v>
      </c>
      <c r="H9" s="80"/>
      <c r="I9" s="48">
        <f t="shared" si="0"/>
        <v>1.1161451520000001</v>
      </c>
      <c r="J9" s="48">
        <f t="shared" si="1"/>
        <v>39.416666042880003</v>
      </c>
      <c r="K9" s="47">
        <v>22000</v>
      </c>
      <c r="L9" s="145">
        <f t="shared" si="2"/>
        <v>24555.193344000003</v>
      </c>
      <c r="M9" s="146" t="s">
        <v>39</v>
      </c>
      <c r="N9" s="138"/>
      <c r="O9" s="139"/>
      <c r="P9" s="139"/>
      <c r="Q9" s="139"/>
      <c r="R9" s="139"/>
      <c r="S9" s="74"/>
      <c r="T9" s="74"/>
      <c r="U9" s="74"/>
      <c r="V9" s="74"/>
      <c r="W9" s="74"/>
      <c r="X9" s="74"/>
      <c r="Y9" s="74"/>
      <c r="Z9" s="74"/>
    </row>
    <row r="10" spans="1:26" ht="27" customHeight="1">
      <c r="A10" s="34"/>
      <c r="B10" s="204" t="s">
        <v>134</v>
      </c>
      <c r="C10" s="34"/>
      <c r="D10" s="34">
        <v>15.3</v>
      </c>
      <c r="E10" s="143">
        <v>101.6</v>
      </c>
      <c r="F10" s="143">
        <v>490</v>
      </c>
      <c r="G10" s="144">
        <v>354</v>
      </c>
      <c r="H10" s="80"/>
      <c r="I10" s="48">
        <f t="shared" si="0"/>
        <v>0.2696401008</v>
      </c>
      <c r="J10" s="48">
        <f t="shared" si="1"/>
        <v>9.5223401597519999</v>
      </c>
      <c r="K10" s="47">
        <v>22000</v>
      </c>
      <c r="L10" s="145">
        <f t="shared" si="2"/>
        <v>5932.0822176000001</v>
      </c>
      <c r="M10" s="146" t="s">
        <v>39</v>
      </c>
      <c r="N10" s="138"/>
      <c r="O10" s="139"/>
      <c r="P10" s="139"/>
      <c r="Q10" s="139"/>
      <c r="R10" s="139"/>
      <c r="S10" s="74"/>
      <c r="T10" s="74"/>
      <c r="U10" s="74"/>
      <c r="V10" s="74"/>
      <c r="W10" s="74"/>
      <c r="X10" s="74"/>
      <c r="Y10" s="74"/>
      <c r="Z10" s="74"/>
    </row>
    <row r="11" spans="1:26" ht="27" customHeight="1">
      <c r="A11" s="34"/>
      <c r="B11" s="204" t="s">
        <v>134</v>
      </c>
      <c r="C11" s="34"/>
      <c r="D11" s="34">
        <v>15.3</v>
      </c>
      <c r="E11" s="143">
        <v>101.6</v>
      </c>
      <c r="F11" s="143">
        <v>390</v>
      </c>
      <c r="G11" s="144">
        <v>354</v>
      </c>
      <c r="H11" s="80"/>
      <c r="I11" s="48">
        <f t="shared" si="0"/>
        <v>0.21461150879999999</v>
      </c>
      <c r="J11" s="48">
        <f t="shared" si="1"/>
        <v>7.5790054332719992</v>
      </c>
      <c r="K11" s="47">
        <v>22000</v>
      </c>
      <c r="L11" s="145">
        <f t="shared" si="2"/>
        <v>4721.4531935999994</v>
      </c>
      <c r="M11" s="146" t="s">
        <v>39</v>
      </c>
      <c r="N11" s="138"/>
      <c r="O11" s="139"/>
      <c r="P11" s="139"/>
      <c r="Q11" s="139"/>
      <c r="R11" s="139"/>
      <c r="S11" s="74"/>
      <c r="T11" s="74"/>
      <c r="U11" s="74"/>
      <c r="V11" s="74"/>
      <c r="W11" s="74"/>
      <c r="X11" s="74"/>
      <c r="Y11" s="74"/>
      <c r="Z11" s="74"/>
    </row>
    <row r="12" spans="1:26" ht="27" customHeight="1">
      <c r="A12" s="34"/>
      <c r="B12" s="204" t="s">
        <v>134</v>
      </c>
      <c r="C12" s="34"/>
      <c r="D12" s="34">
        <v>15.3</v>
      </c>
      <c r="E12" s="143">
        <v>101.6</v>
      </c>
      <c r="F12" s="143">
        <v>390</v>
      </c>
      <c r="G12" s="144">
        <v>319</v>
      </c>
      <c r="H12" s="80"/>
      <c r="I12" s="48">
        <f t="shared" si="0"/>
        <v>0.19339285679999998</v>
      </c>
      <c r="J12" s="48">
        <f t="shared" si="1"/>
        <v>6.8296687378919989</v>
      </c>
      <c r="K12" s="47">
        <v>22000</v>
      </c>
      <c r="L12" s="145">
        <f t="shared" si="2"/>
        <v>4254.6428495999999</v>
      </c>
      <c r="M12" s="146" t="s">
        <v>39</v>
      </c>
      <c r="N12" s="138"/>
      <c r="O12" s="139"/>
      <c r="P12" s="139"/>
      <c r="Q12" s="139"/>
      <c r="R12" s="139"/>
      <c r="S12" s="74"/>
      <c r="T12" s="74"/>
      <c r="U12" s="74"/>
      <c r="V12" s="74"/>
      <c r="W12" s="74"/>
      <c r="X12" s="74"/>
      <c r="Y12" s="74"/>
      <c r="Z12" s="74"/>
    </row>
    <row r="13" spans="1:26" ht="27" customHeight="1">
      <c r="A13" s="34"/>
      <c r="B13" s="204" t="s">
        <v>134</v>
      </c>
      <c r="C13" s="34"/>
      <c r="D13" s="34">
        <v>15.3</v>
      </c>
      <c r="E13" s="143">
        <v>177.6</v>
      </c>
      <c r="F13" s="143">
        <v>470</v>
      </c>
      <c r="G13" s="144">
        <v>78</v>
      </c>
      <c r="H13" s="80"/>
      <c r="I13" s="48">
        <f t="shared" si="0"/>
        <v>9.9615484800000015E-2</v>
      </c>
      <c r="J13" s="48">
        <f t="shared" si="1"/>
        <v>3.5179208457120001</v>
      </c>
      <c r="K13" s="47">
        <v>22000</v>
      </c>
      <c r="L13" s="145">
        <f t="shared" si="2"/>
        <v>2191.5406656000005</v>
      </c>
      <c r="M13" s="146" t="s">
        <v>39</v>
      </c>
      <c r="N13" s="138"/>
      <c r="O13" s="139"/>
      <c r="P13" s="139"/>
      <c r="Q13" s="139"/>
      <c r="R13" s="139"/>
      <c r="S13" s="74"/>
      <c r="T13" s="74"/>
      <c r="U13" s="74"/>
      <c r="V13" s="74"/>
      <c r="W13" s="74"/>
      <c r="X13" s="74"/>
      <c r="Y13" s="74"/>
      <c r="Z13" s="74"/>
    </row>
    <row r="14" spans="1:26" ht="27" customHeight="1">
      <c r="A14" s="34"/>
      <c r="B14" s="204" t="s">
        <v>134</v>
      </c>
      <c r="C14" s="34"/>
      <c r="D14" s="34">
        <v>15.3</v>
      </c>
      <c r="E14" s="143">
        <v>177.6</v>
      </c>
      <c r="F14" s="143">
        <v>540</v>
      </c>
      <c r="G14" s="144">
        <v>109</v>
      </c>
      <c r="H14" s="80"/>
      <c r="I14" s="48">
        <f t="shared" si="0"/>
        <v>0.15993910080000001</v>
      </c>
      <c r="J14" s="48">
        <f t="shared" si="1"/>
        <v>5.6482493447520001</v>
      </c>
      <c r="K14" s="47">
        <v>22000</v>
      </c>
      <c r="L14" s="145">
        <f t="shared" si="2"/>
        <v>3518.6602176000001</v>
      </c>
      <c r="M14" s="146" t="s">
        <v>39</v>
      </c>
      <c r="N14" s="138"/>
      <c r="O14" s="139"/>
      <c r="P14" s="139"/>
      <c r="Q14" s="139"/>
      <c r="R14" s="139"/>
      <c r="S14" s="74"/>
      <c r="T14" s="74"/>
      <c r="U14" s="74"/>
      <c r="V14" s="74"/>
      <c r="W14" s="74"/>
      <c r="X14" s="74"/>
      <c r="Y14" s="74"/>
      <c r="Z14" s="74"/>
    </row>
    <row r="15" spans="1:26" ht="27" customHeight="1">
      <c r="A15" s="34"/>
      <c r="B15" s="204" t="s">
        <v>134</v>
      </c>
      <c r="C15" s="34"/>
      <c r="D15" s="34">
        <v>15.3</v>
      </c>
      <c r="E15" s="143">
        <v>101.6</v>
      </c>
      <c r="F15" s="143">
        <v>470</v>
      </c>
      <c r="G15" s="144">
        <v>141</v>
      </c>
      <c r="H15" s="80"/>
      <c r="I15" s="48">
        <f t="shared" si="0"/>
        <v>0.10301538959999999</v>
      </c>
      <c r="J15" s="48">
        <f t="shared" si="1"/>
        <v>3.6379884837239995</v>
      </c>
      <c r="K15" s="47">
        <v>22000</v>
      </c>
      <c r="L15" s="145">
        <f t="shared" si="2"/>
        <v>2266.3385711999999</v>
      </c>
      <c r="M15" s="146" t="s">
        <v>39</v>
      </c>
      <c r="N15" s="138"/>
      <c r="O15" s="139"/>
      <c r="P15" s="139"/>
      <c r="Q15" s="139"/>
      <c r="R15" s="139"/>
      <c r="S15" s="74"/>
      <c r="T15" s="74"/>
      <c r="U15" s="74"/>
      <c r="V15" s="74"/>
      <c r="W15" s="74"/>
      <c r="X15" s="74"/>
      <c r="Y15" s="74"/>
      <c r="Z15" s="74"/>
    </row>
    <row r="16" spans="1:26" ht="27" customHeight="1">
      <c r="A16" s="34"/>
      <c r="B16" s="204" t="s">
        <v>135</v>
      </c>
      <c r="C16" s="34"/>
      <c r="D16" s="34">
        <v>16.100000000000001</v>
      </c>
      <c r="E16" s="143">
        <v>162</v>
      </c>
      <c r="F16" s="143">
        <v>1100</v>
      </c>
      <c r="G16" s="144">
        <v>383</v>
      </c>
      <c r="H16" s="80"/>
      <c r="I16" s="48">
        <f t="shared" si="0"/>
        <v>1.0988346600000003</v>
      </c>
      <c r="J16" s="48">
        <f t="shared" si="1"/>
        <v>38.805346017900007</v>
      </c>
      <c r="K16" s="47">
        <v>22000</v>
      </c>
      <c r="L16" s="145">
        <f t="shared" si="2"/>
        <v>24174.362520000006</v>
      </c>
      <c r="M16" s="146" t="s">
        <v>39</v>
      </c>
      <c r="N16" s="138"/>
      <c r="O16" s="139"/>
      <c r="P16" s="139"/>
      <c r="Q16" s="139"/>
      <c r="R16" s="139"/>
      <c r="S16" s="74"/>
      <c r="T16" s="74"/>
      <c r="U16" s="74"/>
      <c r="V16" s="74"/>
      <c r="W16" s="74"/>
      <c r="X16" s="74"/>
      <c r="Y16" s="74"/>
      <c r="Z16" s="74"/>
    </row>
    <row r="17" spans="1:26" ht="27" customHeight="1">
      <c r="A17" s="34"/>
      <c r="B17" s="204" t="s">
        <v>135</v>
      </c>
      <c r="C17" s="34"/>
      <c r="D17" s="34">
        <v>16.100000000000001</v>
      </c>
      <c r="E17" s="143">
        <v>162</v>
      </c>
      <c r="F17" s="143">
        <v>1000</v>
      </c>
      <c r="G17" s="144">
        <v>544</v>
      </c>
      <c r="H17" s="80"/>
      <c r="I17" s="48">
        <f t="shared" si="0"/>
        <v>1.4188608000000003</v>
      </c>
      <c r="J17" s="48">
        <f t="shared" si="1"/>
        <v>50.107069152000008</v>
      </c>
      <c r="K17" s="47">
        <v>22000</v>
      </c>
      <c r="L17" s="145">
        <f t="shared" si="2"/>
        <v>31214.937600000005</v>
      </c>
      <c r="M17" s="146" t="s">
        <v>39</v>
      </c>
      <c r="N17" s="138"/>
      <c r="O17" s="139"/>
      <c r="P17" s="139"/>
      <c r="Q17" s="139"/>
      <c r="R17" s="139"/>
      <c r="S17" s="74"/>
      <c r="T17" s="74"/>
      <c r="U17" s="74"/>
      <c r="V17" s="74"/>
      <c r="W17" s="74"/>
      <c r="X17" s="74"/>
      <c r="Y17" s="74"/>
      <c r="Z17" s="74"/>
    </row>
    <row r="18" spans="1:26" ht="27" customHeight="1">
      <c r="A18" s="34"/>
      <c r="B18" s="204" t="s">
        <v>135</v>
      </c>
      <c r="C18" s="34"/>
      <c r="D18" s="34">
        <v>16.100000000000001</v>
      </c>
      <c r="E18" s="143">
        <v>162</v>
      </c>
      <c r="F18" s="143">
        <v>290</v>
      </c>
      <c r="G18" s="144">
        <v>344</v>
      </c>
      <c r="H18" s="80"/>
      <c r="I18" s="48">
        <f t="shared" si="0"/>
        <v>0.26019403200000002</v>
      </c>
      <c r="J18" s="48">
        <f t="shared" si="1"/>
        <v>9.1887522400799995</v>
      </c>
      <c r="K18" s="47">
        <v>22000</v>
      </c>
      <c r="L18" s="145">
        <f t="shared" si="2"/>
        <v>5724.2687040000001</v>
      </c>
      <c r="M18" s="146" t="s">
        <v>39</v>
      </c>
      <c r="N18" s="138"/>
      <c r="O18" s="139"/>
      <c r="P18" s="139"/>
      <c r="Q18" s="139"/>
      <c r="R18" s="139"/>
      <c r="S18" s="74"/>
      <c r="T18" s="74"/>
      <c r="U18" s="74"/>
      <c r="V18" s="74"/>
      <c r="W18" s="74"/>
      <c r="X18" s="74"/>
      <c r="Y18" s="74"/>
      <c r="Z18" s="74"/>
    </row>
    <row r="19" spans="1:26" ht="27" customHeight="1">
      <c r="A19" s="34"/>
      <c r="B19" s="204" t="s">
        <v>135</v>
      </c>
      <c r="C19" s="34"/>
      <c r="D19" s="34">
        <v>16.100000000000001</v>
      </c>
      <c r="E19" s="143">
        <v>162</v>
      </c>
      <c r="F19" s="143">
        <v>570</v>
      </c>
      <c r="G19" s="144">
        <v>160</v>
      </c>
      <c r="H19" s="80"/>
      <c r="I19" s="48">
        <f t="shared" si="0"/>
        <v>0.23786784000000002</v>
      </c>
      <c r="J19" s="48">
        <f t="shared" si="1"/>
        <v>8.4003027695999997</v>
      </c>
      <c r="K19" s="47">
        <v>22000</v>
      </c>
      <c r="L19" s="145">
        <f t="shared" si="2"/>
        <v>5233.0924800000003</v>
      </c>
      <c r="M19" s="146" t="s">
        <v>39</v>
      </c>
      <c r="N19" s="138"/>
      <c r="O19" s="139"/>
      <c r="P19" s="139"/>
      <c r="Q19" s="139"/>
      <c r="R19" s="139"/>
      <c r="S19" s="74"/>
      <c r="T19" s="74"/>
      <c r="U19" s="74"/>
      <c r="V19" s="74"/>
      <c r="W19" s="74"/>
      <c r="X19" s="74"/>
      <c r="Y19" s="74"/>
      <c r="Z19" s="74"/>
    </row>
    <row r="20" spans="1:26" ht="27" customHeight="1">
      <c r="A20" s="34"/>
      <c r="B20" s="204" t="s">
        <v>135</v>
      </c>
      <c r="C20" s="34"/>
      <c r="D20" s="34">
        <v>16.100000000000001</v>
      </c>
      <c r="E20" s="143">
        <v>162</v>
      </c>
      <c r="F20" s="143">
        <v>740</v>
      </c>
      <c r="G20" s="144">
        <v>186</v>
      </c>
      <c r="H20" s="80"/>
      <c r="I20" s="48">
        <f t="shared" si="0"/>
        <v>0.35899264800000008</v>
      </c>
      <c r="J20" s="48">
        <f t="shared" si="1"/>
        <v>12.677825364120002</v>
      </c>
      <c r="K20" s="47">
        <v>22000</v>
      </c>
      <c r="L20" s="145">
        <f t="shared" si="2"/>
        <v>7897.8382560000018</v>
      </c>
      <c r="M20" s="146" t="s">
        <v>39</v>
      </c>
      <c r="N20" s="138"/>
      <c r="O20" s="139"/>
      <c r="P20" s="139"/>
      <c r="Q20" s="139"/>
      <c r="R20" s="139"/>
      <c r="S20" s="74"/>
      <c r="T20" s="74"/>
      <c r="U20" s="74"/>
      <c r="V20" s="74"/>
      <c r="W20" s="74"/>
      <c r="X20" s="74"/>
      <c r="Y20" s="74"/>
      <c r="Z20" s="74"/>
    </row>
    <row r="21" spans="1:26" ht="27" customHeight="1">
      <c r="A21" s="34"/>
      <c r="B21" s="204" t="s">
        <v>135</v>
      </c>
      <c r="C21" s="34"/>
      <c r="D21" s="34">
        <v>16.100000000000001</v>
      </c>
      <c r="E21" s="143">
        <v>162</v>
      </c>
      <c r="F21" s="143">
        <v>1100</v>
      </c>
      <c r="G21" s="144">
        <v>383</v>
      </c>
      <c r="H21" s="80"/>
      <c r="I21" s="48">
        <f t="shared" si="0"/>
        <v>1.0988346600000003</v>
      </c>
      <c r="J21" s="48">
        <f t="shared" si="1"/>
        <v>38.805346017900007</v>
      </c>
      <c r="K21" s="47">
        <v>22000</v>
      </c>
      <c r="L21" s="145">
        <f t="shared" si="2"/>
        <v>24174.362520000006</v>
      </c>
      <c r="M21" s="146" t="s">
        <v>39</v>
      </c>
      <c r="N21" s="138"/>
      <c r="O21" s="139"/>
      <c r="P21" s="139"/>
      <c r="Q21" s="139"/>
      <c r="R21" s="139"/>
      <c r="S21" s="74"/>
      <c r="T21" s="74"/>
      <c r="U21" s="74"/>
      <c r="V21" s="74"/>
      <c r="W21" s="74"/>
      <c r="X21" s="74"/>
      <c r="Y21" s="74"/>
      <c r="Z21" s="74"/>
    </row>
    <row r="22" spans="1:26" ht="27" customHeight="1">
      <c r="A22" s="34"/>
      <c r="B22" s="204"/>
      <c r="C22" s="34"/>
      <c r="D22" s="34"/>
      <c r="E22" s="143"/>
      <c r="F22" s="143"/>
      <c r="G22" s="144"/>
      <c r="H22" s="80"/>
      <c r="I22" s="48">
        <f t="shared" si="0"/>
        <v>0</v>
      </c>
      <c r="J22" s="48">
        <f t="shared" si="1"/>
        <v>0</v>
      </c>
      <c r="K22" s="47">
        <v>22000</v>
      </c>
      <c r="L22" s="145">
        <f t="shared" si="2"/>
        <v>0</v>
      </c>
      <c r="M22" s="146" t="s">
        <v>39</v>
      </c>
      <c r="N22" s="138"/>
      <c r="O22" s="139"/>
      <c r="P22" s="139"/>
      <c r="Q22" s="139"/>
      <c r="R22" s="139"/>
      <c r="S22" s="74"/>
      <c r="T22" s="74"/>
      <c r="U22" s="74"/>
      <c r="V22" s="74"/>
      <c r="W22" s="74"/>
      <c r="X22" s="74"/>
      <c r="Y22" s="74"/>
      <c r="Z22" s="74"/>
    </row>
    <row r="23" spans="1:26" ht="27" customHeight="1">
      <c r="A23" s="34"/>
      <c r="B23" s="204"/>
      <c r="C23" s="34"/>
      <c r="D23" s="208">
        <v>1100</v>
      </c>
      <c r="E23" s="206">
        <v>1170</v>
      </c>
      <c r="F23" s="206">
        <v>1200</v>
      </c>
      <c r="G23" s="207">
        <v>1</v>
      </c>
      <c r="H23" s="80"/>
      <c r="I23" s="48">
        <f t="shared" si="0"/>
        <v>1.5444</v>
      </c>
      <c r="J23" s="48">
        <f t="shared" si="1"/>
        <v>54.540485999999994</v>
      </c>
      <c r="K23" s="47">
        <v>22000</v>
      </c>
      <c r="L23" s="145">
        <f t="shared" si="2"/>
        <v>33976.800000000003</v>
      </c>
      <c r="M23" s="146" t="s">
        <v>39</v>
      </c>
      <c r="N23" s="138"/>
      <c r="O23" s="139"/>
      <c r="P23" s="139"/>
      <c r="Q23" s="139"/>
      <c r="R23" s="139"/>
      <c r="S23" s="74"/>
      <c r="T23" s="74"/>
      <c r="U23" s="74"/>
      <c r="V23" s="74"/>
      <c r="W23" s="74"/>
      <c r="X23" s="74"/>
      <c r="Y23" s="74"/>
      <c r="Z23" s="74"/>
    </row>
    <row r="24" spans="1:26" ht="27" customHeight="1">
      <c r="A24" s="34"/>
      <c r="B24" s="204"/>
      <c r="C24" s="34"/>
      <c r="D24" s="208">
        <v>1350</v>
      </c>
      <c r="E24" s="206">
        <v>1100</v>
      </c>
      <c r="F24" s="206">
        <v>800</v>
      </c>
      <c r="G24" s="207">
        <v>1</v>
      </c>
      <c r="H24" s="80"/>
      <c r="I24" s="48">
        <f t="shared" si="0"/>
        <v>1.1879999999999999</v>
      </c>
      <c r="J24" s="48">
        <f t="shared" si="1"/>
        <v>41.954219999999992</v>
      </c>
      <c r="K24" s="47">
        <v>22000</v>
      </c>
      <c r="L24" s="145">
        <f t="shared" si="2"/>
        <v>26136</v>
      </c>
      <c r="M24" s="146" t="s">
        <v>39</v>
      </c>
      <c r="N24" s="138"/>
      <c r="O24" s="139"/>
      <c r="P24" s="139"/>
      <c r="Q24" s="139"/>
      <c r="R24" s="139"/>
      <c r="S24" s="74"/>
      <c r="T24" s="74"/>
      <c r="U24" s="74"/>
      <c r="V24" s="74"/>
      <c r="W24" s="74"/>
      <c r="X24" s="74"/>
      <c r="Y24" s="74"/>
      <c r="Z24" s="74"/>
    </row>
    <row r="25" spans="1:26" ht="27" customHeight="1">
      <c r="A25" s="34"/>
      <c r="B25" s="204"/>
      <c r="C25" s="34"/>
      <c r="D25" s="34"/>
      <c r="E25" s="143"/>
      <c r="F25" s="143"/>
      <c r="G25" s="144"/>
      <c r="H25" s="80"/>
      <c r="I25" s="48">
        <f t="shared" si="0"/>
        <v>0</v>
      </c>
      <c r="J25" s="48">
        <f t="shared" si="1"/>
        <v>0</v>
      </c>
      <c r="K25" s="47">
        <v>22000</v>
      </c>
      <c r="L25" s="145">
        <f t="shared" si="2"/>
        <v>0</v>
      </c>
      <c r="M25" s="146" t="s">
        <v>39</v>
      </c>
      <c r="N25" s="138"/>
      <c r="O25" s="139"/>
      <c r="P25" s="139"/>
      <c r="Q25" s="139"/>
      <c r="R25" s="139"/>
      <c r="S25" s="74"/>
      <c r="T25" s="74"/>
      <c r="U25" s="74"/>
      <c r="V25" s="74"/>
      <c r="W25" s="74"/>
      <c r="X25" s="74"/>
      <c r="Y25" s="74"/>
      <c r="Z25" s="74"/>
    </row>
    <row r="26" spans="1:26" ht="27" customHeight="1">
      <c r="A26" s="34"/>
      <c r="B26" s="204"/>
      <c r="C26" s="34"/>
      <c r="D26" s="34"/>
      <c r="E26" s="143"/>
      <c r="F26" s="143"/>
      <c r="G26" s="144"/>
      <c r="H26" s="80"/>
      <c r="I26" s="48">
        <f t="shared" si="0"/>
        <v>0</v>
      </c>
      <c r="J26" s="48">
        <f t="shared" si="1"/>
        <v>0</v>
      </c>
      <c r="K26" s="47">
        <v>22000</v>
      </c>
      <c r="L26" s="145">
        <f t="shared" si="2"/>
        <v>0</v>
      </c>
      <c r="M26" s="146" t="s">
        <v>39</v>
      </c>
      <c r="N26" s="138"/>
      <c r="O26" s="139"/>
      <c r="P26" s="139"/>
      <c r="Q26" s="139"/>
      <c r="R26" s="139"/>
      <c r="S26" s="74"/>
      <c r="T26" s="74"/>
      <c r="U26" s="74"/>
      <c r="V26" s="74"/>
      <c r="W26" s="74"/>
      <c r="X26" s="74"/>
      <c r="Y26" s="74"/>
      <c r="Z26" s="74"/>
    </row>
    <row r="27" spans="1:26" ht="27" customHeight="1">
      <c r="A27" s="34"/>
      <c r="B27" s="204"/>
      <c r="C27" s="34"/>
      <c r="D27" s="34"/>
      <c r="E27" s="143"/>
      <c r="F27" s="143"/>
      <c r="G27" s="144"/>
      <c r="H27" s="80"/>
      <c r="I27" s="48">
        <f t="shared" si="0"/>
        <v>0</v>
      </c>
      <c r="J27" s="48">
        <f t="shared" si="1"/>
        <v>0</v>
      </c>
      <c r="K27" s="47">
        <v>22000</v>
      </c>
      <c r="L27" s="145">
        <f t="shared" si="2"/>
        <v>0</v>
      </c>
      <c r="M27" s="146" t="s">
        <v>39</v>
      </c>
      <c r="N27" s="138"/>
      <c r="O27" s="139"/>
      <c r="P27" s="139"/>
      <c r="Q27" s="139"/>
      <c r="R27" s="139"/>
      <c r="S27" s="74"/>
      <c r="T27" s="74"/>
      <c r="U27" s="74"/>
      <c r="V27" s="74"/>
      <c r="W27" s="74"/>
      <c r="X27" s="74"/>
      <c r="Y27" s="74"/>
      <c r="Z27" s="74"/>
    </row>
    <row r="28" spans="1:26" ht="27" customHeight="1">
      <c r="A28" s="34"/>
      <c r="B28" s="204"/>
      <c r="C28" s="34"/>
      <c r="D28" s="34"/>
      <c r="E28" s="143"/>
      <c r="F28" s="143"/>
      <c r="G28" s="144"/>
      <c r="H28" s="80"/>
      <c r="I28" s="48">
        <f t="shared" si="0"/>
        <v>0</v>
      </c>
      <c r="J28" s="48">
        <f t="shared" si="1"/>
        <v>0</v>
      </c>
      <c r="K28" s="47">
        <v>22000</v>
      </c>
      <c r="L28" s="145">
        <f t="shared" si="2"/>
        <v>0</v>
      </c>
      <c r="M28" s="146" t="s">
        <v>39</v>
      </c>
      <c r="N28" s="138"/>
      <c r="O28" s="139"/>
      <c r="P28" s="139"/>
      <c r="Q28" s="139"/>
      <c r="R28" s="139"/>
      <c r="S28" s="74"/>
      <c r="T28" s="74"/>
      <c r="U28" s="74"/>
      <c r="V28" s="74"/>
      <c r="W28" s="74"/>
      <c r="X28" s="74"/>
      <c r="Y28" s="74"/>
      <c r="Z28" s="74"/>
    </row>
    <row r="29" spans="1:26" ht="27" customHeight="1">
      <c r="A29" s="34"/>
      <c r="B29" s="204"/>
      <c r="C29" s="34"/>
      <c r="D29" s="34"/>
      <c r="E29" s="143"/>
      <c r="F29" s="143"/>
      <c r="G29" s="144"/>
      <c r="H29" s="80"/>
      <c r="I29" s="48">
        <f t="shared" si="0"/>
        <v>0</v>
      </c>
      <c r="J29" s="48">
        <f t="shared" si="1"/>
        <v>0</v>
      </c>
      <c r="K29" s="47">
        <v>22000</v>
      </c>
      <c r="L29" s="145">
        <f t="shared" si="2"/>
        <v>0</v>
      </c>
      <c r="M29" s="146"/>
      <c r="N29" s="138"/>
      <c r="O29" s="139"/>
      <c r="P29" s="139"/>
      <c r="Q29" s="139"/>
      <c r="R29" s="139"/>
      <c r="S29" s="74"/>
      <c r="T29" s="74"/>
      <c r="U29" s="74"/>
      <c r="V29" s="74"/>
      <c r="W29" s="74"/>
      <c r="X29" s="74"/>
      <c r="Y29" s="74"/>
      <c r="Z29" s="74"/>
    </row>
    <row r="30" spans="1:26" ht="27" customHeight="1">
      <c r="A30" s="34"/>
      <c r="B30" s="204"/>
      <c r="C30" s="34"/>
      <c r="D30" s="204"/>
      <c r="E30" s="143"/>
      <c r="F30" s="143"/>
      <c r="G30" s="144"/>
      <c r="H30" s="80"/>
      <c r="I30" s="48">
        <f t="shared" si="0"/>
        <v>0</v>
      </c>
      <c r="J30" s="48">
        <f t="shared" si="1"/>
        <v>0</v>
      </c>
      <c r="K30" s="47">
        <v>22000</v>
      </c>
      <c r="L30" s="145">
        <f t="shared" si="2"/>
        <v>0</v>
      </c>
      <c r="M30" s="146"/>
      <c r="N30" s="138"/>
      <c r="O30" s="139"/>
      <c r="P30" s="139"/>
      <c r="Q30" s="139"/>
      <c r="R30" s="139"/>
      <c r="S30" s="74"/>
      <c r="T30" s="74"/>
      <c r="U30" s="74"/>
      <c r="V30" s="74"/>
      <c r="W30" s="74"/>
      <c r="X30" s="74"/>
      <c r="Y30" s="74"/>
      <c r="Z30" s="74"/>
    </row>
    <row r="31" spans="1:26" ht="27" customHeight="1">
      <c r="A31" s="34"/>
      <c r="B31" s="204"/>
      <c r="C31" s="34"/>
      <c r="D31" s="204"/>
      <c r="E31" s="143"/>
      <c r="F31" s="143"/>
      <c r="G31" s="144"/>
      <c r="H31" s="80"/>
      <c r="I31" s="48">
        <f t="shared" si="0"/>
        <v>0</v>
      </c>
      <c r="J31" s="48">
        <f t="shared" si="1"/>
        <v>0</v>
      </c>
      <c r="K31" s="47">
        <v>22000</v>
      </c>
      <c r="L31" s="203">
        <f t="shared" si="2"/>
        <v>0</v>
      </c>
      <c r="M31" s="146"/>
      <c r="N31" s="138"/>
      <c r="O31" s="139"/>
      <c r="P31" s="139"/>
      <c r="Q31" s="139"/>
      <c r="R31" s="139"/>
      <c r="S31" s="74"/>
      <c r="T31" s="74"/>
      <c r="U31" s="74"/>
      <c r="V31" s="74"/>
      <c r="W31" s="74"/>
      <c r="X31" s="74"/>
      <c r="Y31" s="74"/>
      <c r="Z31" s="74"/>
    </row>
    <row r="32" spans="1:26" ht="27" customHeight="1">
      <c r="A32" s="34"/>
      <c r="B32" s="208"/>
      <c r="C32" s="34"/>
      <c r="D32" s="205"/>
      <c r="E32" s="206"/>
      <c r="F32" s="206"/>
      <c r="G32" s="207"/>
      <c r="H32" s="80"/>
      <c r="I32" s="148">
        <f t="shared" si="0"/>
        <v>0</v>
      </c>
      <c r="J32" s="148">
        <f t="shared" si="1"/>
        <v>0</v>
      </c>
      <c r="K32" s="149">
        <v>22000</v>
      </c>
      <c r="L32" s="203">
        <f t="shared" si="2"/>
        <v>0</v>
      </c>
      <c r="M32" s="146"/>
      <c r="N32" s="138"/>
      <c r="O32" s="139"/>
      <c r="P32" s="139"/>
      <c r="Q32" s="139"/>
      <c r="R32" s="139"/>
      <c r="S32" s="74"/>
      <c r="T32" s="74"/>
      <c r="U32" s="74"/>
      <c r="V32" s="74"/>
      <c r="W32" s="74"/>
      <c r="X32" s="74"/>
      <c r="Y32" s="74"/>
      <c r="Z32" s="74"/>
    </row>
    <row r="33" spans="1:26" ht="27" customHeight="1">
      <c r="A33" s="34"/>
      <c r="B33" s="208"/>
      <c r="C33" s="34"/>
      <c r="D33" s="205"/>
      <c r="E33" s="206"/>
      <c r="F33" s="206"/>
      <c r="G33" s="207"/>
      <c r="H33" s="80"/>
      <c r="I33" s="148">
        <f t="shared" si="0"/>
        <v>0</v>
      </c>
      <c r="J33" s="148">
        <f t="shared" si="1"/>
        <v>0</v>
      </c>
      <c r="K33" s="149">
        <v>22000</v>
      </c>
      <c r="L33" s="203">
        <f t="shared" si="2"/>
        <v>0</v>
      </c>
      <c r="M33" s="146"/>
      <c r="N33" s="138"/>
      <c r="O33" s="139"/>
      <c r="P33" s="139"/>
      <c r="Q33" s="139"/>
      <c r="R33" s="139"/>
      <c r="S33" s="74"/>
      <c r="T33" s="74"/>
      <c r="U33" s="74"/>
      <c r="V33" s="74"/>
      <c r="W33" s="74"/>
      <c r="X33" s="74"/>
      <c r="Y33" s="74"/>
      <c r="Z33" s="74"/>
    </row>
    <row r="34" spans="1:26" ht="27" customHeight="1">
      <c r="A34" s="34"/>
      <c r="B34" s="208"/>
      <c r="C34" s="34"/>
      <c r="D34" s="205"/>
      <c r="E34" s="206"/>
      <c r="F34" s="206"/>
      <c r="G34" s="207"/>
      <c r="H34" s="80"/>
      <c r="I34" s="148">
        <f t="shared" si="0"/>
        <v>0</v>
      </c>
      <c r="J34" s="148">
        <f t="shared" si="1"/>
        <v>0</v>
      </c>
      <c r="K34" s="149">
        <v>22000</v>
      </c>
      <c r="L34" s="203">
        <f t="shared" si="2"/>
        <v>0</v>
      </c>
      <c r="M34" s="146"/>
      <c r="N34" s="138"/>
      <c r="O34" s="139"/>
      <c r="P34" s="139"/>
      <c r="Q34" s="139"/>
      <c r="R34" s="139"/>
      <c r="S34" s="74"/>
      <c r="T34" s="74"/>
      <c r="U34" s="74"/>
      <c r="V34" s="74"/>
      <c r="W34" s="74"/>
      <c r="X34" s="74"/>
      <c r="Y34" s="74"/>
      <c r="Z34" s="74"/>
    </row>
    <row r="35" spans="1:26" ht="27" customHeight="1">
      <c r="A35" s="34"/>
      <c r="B35" s="208"/>
      <c r="C35" s="34"/>
      <c r="D35" s="205"/>
      <c r="E35" s="206"/>
      <c r="F35" s="206"/>
      <c r="G35" s="207"/>
      <c r="H35" s="80"/>
      <c r="I35" s="148">
        <f t="shared" si="0"/>
        <v>0</v>
      </c>
      <c r="J35" s="148">
        <f t="shared" si="1"/>
        <v>0</v>
      </c>
      <c r="K35" s="149">
        <v>22000</v>
      </c>
      <c r="L35" s="203">
        <f t="shared" si="2"/>
        <v>0</v>
      </c>
      <c r="M35" s="146"/>
      <c r="N35" s="138"/>
      <c r="O35" s="139"/>
      <c r="P35" s="139"/>
      <c r="Q35" s="139"/>
      <c r="R35" s="139"/>
      <c r="S35" s="74"/>
      <c r="T35" s="74"/>
      <c r="U35" s="74"/>
      <c r="V35" s="74"/>
      <c r="W35" s="74"/>
      <c r="X35" s="74"/>
      <c r="Y35" s="74"/>
      <c r="Z35" s="74"/>
    </row>
    <row r="36" spans="1:26" ht="34.5" customHeight="1">
      <c r="A36" s="477" t="s">
        <v>18</v>
      </c>
      <c r="B36" s="466"/>
      <c r="C36" s="466"/>
      <c r="D36" s="466"/>
      <c r="E36" s="466"/>
      <c r="F36" s="467"/>
      <c r="G36" s="112">
        <f>SUM(G4:G35)</f>
        <v>10764</v>
      </c>
      <c r="H36" s="113"/>
      <c r="I36" s="114">
        <f>SUM(I4:I35)</f>
        <v>13.877442089600002</v>
      </c>
      <c r="J36" s="114">
        <f>SUM(J4:J35)</f>
        <v>490.08186739422399</v>
      </c>
      <c r="K36" s="114"/>
      <c r="L36" s="114">
        <f>SUM(L4:L35)</f>
        <v>305303.72597119998</v>
      </c>
      <c r="M36" s="150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9.5" customHeight="1">
      <c r="A37" s="138"/>
      <c r="B37" s="138"/>
      <c r="C37" s="138"/>
      <c r="D37" s="138"/>
      <c r="E37" s="138"/>
      <c r="F37" s="138"/>
      <c r="G37" s="138"/>
      <c r="H37" s="138"/>
      <c r="I37" s="151"/>
      <c r="J37" s="138"/>
      <c r="K37" s="138"/>
      <c r="L37" s="138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9.5" customHeight="1">
      <c r="A38" s="138"/>
      <c r="B38" s="138"/>
      <c r="C38" s="138"/>
      <c r="D38" s="138"/>
      <c r="E38" s="138"/>
      <c r="F38" s="138"/>
      <c r="G38" s="138"/>
      <c r="H38" s="138"/>
      <c r="I38" s="151"/>
      <c r="J38" s="138"/>
      <c r="K38" s="138"/>
      <c r="L38" s="138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9.5" customHeight="1">
      <c r="A39" s="139"/>
      <c r="B39" s="139"/>
      <c r="C39" s="139"/>
      <c r="D39" s="139"/>
      <c r="E39" s="139"/>
      <c r="F39" s="139"/>
      <c r="G39" s="139"/>
      <c r="H39" s="139"/>
      <c r="I39" s="152"/>
      <c r="J39" s="139"/>
      <c r="K39" s="139"/>
      <c r="L39" s="139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9.5" customHeight="1">
      <c r="A40" s="139"/>
      <c r="B40" s="139"/>
      <c r="C40" s="139"/>
      <c r="D40" s="139"/>
      <c r="E40" s="139"/>
      <c r="F40" s="139"/>
      <c r="G40" s="139"/>
      <c r="H40" s="139"/>
      <c r="I40" s="152"/>
      <c r="J40" s="139"/>
      <c r="K40" s="139"/>
      <c r="L40" s="139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9.5" customHeight="1">
      <c r="A41" s="139"/>
      <c r="B41" s="139"/>
      <c r="C41" s="139"/>
      <c r="D41" s="139"/>
      <c r="E41" s="139"/>
      <c r="F41" s="139"/>
      <c r="G41" s="139"/>
      <c r="H41" s="139"/>
      <c r="I41" s="152"/>
      <c r="J41" s="139"/>
      <c r="K41" s="139"/>
      <c r="L41" s="139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9.5" customHeight="1">
      <c r="A42" s="139"/>
      <c r="B42" s="139"/>
      <c r="C42" s="139"/>
      <c r="D42" s="139"/>
      <c r="E42" s="139"/>
      <c r="F42" s="139"/>
      <c r="G42" s="139"/>
      <c r="H42" s="139"/>
      <c r="I42" s="152"/>
      <c r="J42" s="139"/>
      <c r="K42" s="139"/>
      <c r="L42" s="139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9.5" customHeight="1">
      <c r="A43" s="139"/>
      <c r="B43" s="139"/>
      <c r="C43" s="139"/>
      <c r="D43" s="139"/>
      <c r="E43" s="139"/>
      <c r="F43" s="139"/>
      <c r="G43" s="139"/>
      <c r="H43" s="139"/>
      <c r="I43" s="152"/>
      <c r="J43" s="139"/>
      <c r="K43" s="139"/>
      <c r="L43" s="139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9.5" customHeight="1">
      <c r="A44" s="139"/>
      <c r="B44" s="139"/>
      <c r="C44" s="139"/>
      <c r="D44" s="139"/>
      <c r="E44" s="139"/>
      <c r="F44" s="139"/>
      <c r="G44" s="139"/>
      <c r="H44" s="139"/>
      <c r="I44" s="152"/>
      <c r="J44" s="139"/>
      <c r="K44" s="139"/>
      <c r="L44" s="139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9.5" customHeight="1">
      <c r="A45" s="74"/>
      <c r="B45" s="74"/>
      <c r="C45" s="74"/>
      <c r="D45" s="74"/>
      <c r="E45" s="74"/>
      <c r="F45" s="74"/>
      <c r="G45" s="74"/>
      <c r="H45" s="74"/>
      <c r="I45" s="102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9.5" customHeight="1">
      <c r="A46" s="74"/>
      <c r="B46" s="74"/>
      <c r="C46" s="74"/>
      <c r="D46" s="74"/>
      <c r="E46" s="74"/>
      <c r="F46" s="74"/>
      <c r="G46" s="74"/>
      <c r="H46" s="74"/>
      <c r="I46" s="102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9.5" customHeight="1">
      <c r="A47" s="74"/>
      <c r="B47" s="74"/>
      <c r="C47" s="74"/>
      <c r="D47" s="74"/>
      <c r="E47" s="74"/>
      <c r="F47" s="74"/>
      <c r="G47" s="74"/>
      <c r="H47" s="74"/>
      <c r="I47" s="102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9.5" customHeight="1">
      <c r="A48" s="74"/>
      <c r="B48" s="74"/>
      <c r="C48" s="74"/>
      <c r="D48" s="74"/>
      <c r="E48" s="74"/>
      <c r="F48" s="74"/>
      <c r="G48" s="74"/>
      <c r="H48" s="74"/>
      <c r="I48" s="102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9.5" customHeight="1">
      <c r="A49" s="74"/>
      <c r="B49" s="74"/>
      <c r="C49" s="74"/>
      <c r="D49" s="74"/>
      <c r="E49" s="74"/>
      <c r="F49" s="74"/>
      <c r="G49" s="74"/>
      <c r="H49" s="74"/>
      <c r="I49" s="102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9.5" customHeight="1">
      <c r="A50" s="74"/>
      <c r="B50" s="74"/>
      <c r="C50" s="74"/>
      <c r="D50" s="74"/>
      <c r="E50" s="74"/>
      <c r="F50" s="74"/>
      <c r="G50" s="74"/>
      <c r="H50" s="74"/>
      <c r="I50" s="102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9.5" customHeight="1">
      <c r="A51" s="74"/>
      <c r="B51" s="74"/>
      <c r="C51" s="74"/>
      <c r="D51" s="74"/>
      <c r="E51" s="74"/>
      <c r="F51" s="74"/>
      <c r="G51" s="74"/>
      <c r="H51" s="74"/>
      <c r="I51" s="102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9.5" customHeight="1">
      <c r="A52" s="74"/>
      <c r="B52" s="74"/>
      <c r="C52" s="74"/>
      <c r="D52" s="74"/>
      <c r="E52" s="74"/>
      <c r="F52" s="74"/>
      <c r="G52" s="74"/>
      <c r="H52" s="74"/>
      <c r="I52" s="102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9.5" customHeight="1">
      <c r="A53" s="74"/>
      <c r="B53" s="74"/>
      <c r="C53" s="74"/>
      <c r="D53" s="74"/>
      <c r="E53" s="74"/>
      <c r="F53" s="74"/>
      <c r="G53" s="74"/>
      <c r="H53" s="74"/>
      <c r="I53" s="102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9.5" customHeight="1">
      <c r="A54" s="74"/>
      <c r="B54" s="74"/>
      <c r="C54" s="74"/>
      <c r="D54" s="74"/>
      <c r="E54" s="74"/>
      <c r="F54" s="74"/>
      <c r="G54" s="74"/>
      <c r="H54" s="74"/>
      <c r="I54" s="102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9.5" customHeight="1">
      <c r="A55" s="74"/>
      <c r="B55" s="74"/>
      <c r="C55" s="74"/>
      <c r="D55" s="74"/>
      <c r="E55" s="74"/>
      <c r="F55" s="74"/>
      <c r="G55" s="74"/>
      <c r="H55" s="74"/>
      <c r="I55" s="102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9.5" customHeight="1">
      <c r="A56" s="74"/>
      <c r="B56" s="74"/>
      <c r="C56" s="74"/>
      <c r="D56" s="74"/>
      <c r="E56" s="74"/>
      <c r="F56" s="74"/>
      <c r="G56" s="74"/>
      <c r="H56" s="74"/>
      <c r="I56" s="102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9.5" customHeight="1">
      <c r="A57" s="74"/>
      <c r="B57" s="74"/>
      <c r="C57" s="74"/>
      <c r="D57" s="74"/>
      <c r="E57" s="74"/>
      <c r="F57" s="74"/>
      <c r="G57" s="74"/>
      <c r="H57" s="74"/>
      <c r="I57" s="102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9.5" customHeight="1">
      <c r="A58" s="74"/>
      <c r="B58" s="74"/>
      <c r="C58" s="74"/>
      <c r="D58" s="74"/>
      <c r="E58" s="74"/>
      <c r="F58" s="74"/>
      <c r="G58" s="74"/>
      <c r="H58" s="74"/>
      <c r="I58" s="102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9.5" customHeight="1">
      <c r="A59" s="74"/>
      <c r="B59" s="74"/>
      <c r="C59" s="74"/>
      <c r="D59" s="74"/>
      <c r="E59" s="74"/>
      <c r="F59" s="74"/>
      <c r="G59" s="74"/>
      <c r="H59" s="74"/>
      <c r="I59" s="102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9.5" customHeight="1">
      <c r="A60" s="74"/>
      <c r="B60" s="74"/>
      <c r="C60" s="74"/>
      <c r="D60" s="74"/>
      <c r="E60" s="74"/>
      <c r="F60" s="74"/>
      <c r="G60" s="74"/>
      <c r="H60" s="74"/>
      <c r="I60" s="102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9.5" customHeight="1">
      <c r="A61" s="74"/>
      <c r="B61" s="74"/>
      <c r="C61" s="74"/>
      <c r="D61" s="74"/>
      <c r="E61" s="74"/>
      <c r="F61" s="74"/>
      <c r="G61" s="74"/>
      <c r="H61" s="74"/>
      <c r="I61" s="102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9.5" customHeight="1">
      <c r="A62" s="74"/>
      <c r="B62" s="74"/>
      <c r="C62" s="74"/>
      <c r="D62" s="74"/>
      <c r="E62" s="74"/>
      <c r="F62" s="74"/>
      <c r="G62" s="74"/>
      <c r="H62" s="74"/>
      <c r="I62" s="102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9.5" customHeight="1">
      <c r="A63" s="74"/>
      <c r="B63" s="74"/>
      <c r="C63" s="74"/>
      <c r="D63" s="74"/>
      <c r="E63" s="74"/>
      <c r="F63" s="74"/>
      <c r="G63" s="74"/>
      <c r="H63" s="74"/>
      <c r="I63" s="102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9.5" customHeight="1">
      <c r="A64" s="74"/>
      <c r="B64" s="74"/>
      <c r="C64" s="74"/>
      <c r="D64" s="74"/>
      <c r="E64" s="74"/>
      <c r="F64" s="74"/>
      <c r="G64" s="74"/>
      <c r="H64" s="74"/>
      <c r="I64" s="102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9.5" customHeight="1">
      <c r="A65" s="74"/>
      <c r="B65" s="74"/>
      <c r="C65" s="74"/>
      <c r="D65" s="74"/>
      <c r="E65" s="74"/>
      <c r="F65" s="74"/>
      <c r="G65" s="74"/>
      <c r="H65" s="74"/>
      <c r="I65" s="102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9.5" customHeight="1">
      <c r="A66" s="74"/>
      <c r="B66" s="74"/>
      <c r="C66" s="74"/>
      <c r="D66" s="74"/>
      <c r="E66" s="74"/>
      <c r="F66" s="74"/>
      <c r="G66" s="74"/>
      <c r="H66" s="74"/>
      <c r="I66" s="102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9.5" customHeight="1">
      <c r="A67" s="74"/>
      <c r="B67" s="74"/>
      <c r="C67" s="74"/>
      <c r="D67" s="74"/>
      <c r="E67" s="74"/>
      <c r="F67" s="74"/>
      <c r="G67" s="74"/>
      <c r="H67" s="74"/>
      <c r="I67" s="102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9.5" customHeight="1">
      <c r="A68" s="74"/>
      <c r="B68" s="74"/>
      <c r="C68" s="74"/>
      <c r="D68" s="74"/>
      <c r="E68" s="74"/>
      <c r="F68" s="74"/>
      <c r="G68" s="74"/>
      <c r="H68" s="74"/>
      <c r="I68" s="102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9.5" customHeight="1">
      <c r="A69" s="74"/>
      <c r="B69" s="74"/>
      <c r="C69" s="74"/>
      <c r="D69" s="74"/>
      <c r="E69" s="74"/>
      <c r="F69" s="74"/>
      <c r="G69" s="74"/>
      <c r="H69" s="74"/>
      <c r="I69" s="102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9.5" customHeight="1">
      <c r="A70" s="74"/>
      <c r="B70" s="74"/>
      <c r="C70" s="74"/>
      <c r="D70" s="74"/>
      <c r="E70" s="74"/>
      <c r="F70" s="74"/>
      <c r="G70" s="74"/>
      <c r="H70" s="74"/>
      <c r="I70" s="102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9.5" customHeight="1">
      <c r="A71" s="74"/>
      <c r="B71" s="74"/>
      <c r="C71" s="74"/>
      <c r="D71" s="74"/>
      <c r="E71" s="74"/>
      <c r="F71" s="74"/>
      <c r="G71" s="74"/>
      <c r="H71" s="74"/>
      <c r="I71" s="102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9.5" customHeight="1">
      <c r="A72" s="74"/>
      <c r="B72" s="74"/>
      <c r="C72" s="74"/>
      <c r="D72" s="74"/>
      <c r="E72" s="74"/>
      <c r="F72" s="74"/>
      <c r="G72" s="74"/>
      <c r="H72" s="74"/>
      <c r="I72" s="102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9.5" customHeight="1">
      <c r="A73" s="74"/>
      <c r="B73" s="74"/>
      <c r="C73" s="74"/>
      <c r="D73" s="74"/>
      <c r="E73" s="74"/>
      <c r="F73" s="74"/>
      <c r="G73" s="74"/>
      <c r="H73" s="74"/>
      <c r="I73" s="102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9.5" customHeight="1">
      <c r="A74" s="74"/>
      <c r="B74" s="74"/>
      <c r="C74" s="74"/>
      <c r="D74" s="74"/>
      <c r="E74" s="74"/>
      <c r="F74" s="74"/>
      <c r="G74" s="74"/>
      <c r="H74" s="74"/>
      <c r="I74" s="102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9.5" customHeight="1">
      <c r="A75" s="74"/>
      <c r="B75" s="74"/>
      <c r="C75" s="74"/>
      <c r="D75" s="74"/>
      <c r="E75" s="74"/>
      <c r="F75" s="74"/>
      <c r="G75" s="74"/>
      <c r="H75" s="74"/>
      <c r="I75" s="102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9.5" customHeight="1">
      <c r="A76" s="74"/>
      <c r="B76" s="74"/>
      <c r="C76" s="74"/>
      <c r="D76" s="74"/>
      <c r="E76" s="74"/>
      <c r="F76" s="74"/>
      <c r="G76" s="74"/>
      <c r="H76" s="74"/>
      <c r="I76" s="102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9.5" customHeight="1">
      <c r="A77" s="74"/>
      <c r="B77" s="74"/>
      <c r="C77" s="74"/>
      <c r="D77" s="74"/>
      <c r="E77" s="74"/>
      <c r="F77" s="74"/>
      <c r="G77" s="74"/>
      <c r="H77" s="74"/>
      <c r="I77" s="102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9.5" customHeight="1">
      <c r="A78" s="74"/>
      <c r="B78" s="74"/>
      <c r="C78" s="74"/>
      <c r="D78" s="74"/>
      <c r="E78" s="74"/>
      <c r="F78" s="74"/>
      <c r="G78" s="74"/>
      <c r="H78" s="74"/>
      <c r="I78" s="102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9.5" customHeight="1">
      <c r="A79" s="74"/>
      <c r="B79" s="74"/>
      <c r="C79" s="74"/>
      <c r="D79" s="74"/>
      <c r="E79" s="74"/>
      <c r="F79" s="74"/>
      <c r="G79" s="74"/>
      <c r="H79" s="74"/>
      <c r="I79" s="102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9.5" customHeight="1">
      <c r="A80" s="74"/>
      <c r="B80" s="74"/>
      <c r="C80" s="74"/>
      <c r="D80" s="74"/>
      <c r="E80" s="74"/>
      <c r="F80" s="74"/>
      <c r="G80" s="74"/>
      <c r="H80" s="74"/>
      <c r="I80" s="102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9.5" customHeight="1">
      <c r="A81" s="74"/>
      <c r="B81" s="74"/>
      <c r="C81" s="74"/>
      <c r="D81" s="74"/>
      <c r="E81" s="74"/>
      <c r="F81" s="74"/>
      <c r="G81" s="74"/>
      <c r="H81" s="74"/>
      <c r="I81" s="102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9.5" customHeight="1">
      <c r="A82" s="74"/>
      <c r="B82" s="74"/>
      <c r="C82" s="74"/>
      <c r="D82" s="74"/>
      <c r="E82" s="74"/>
      <c r="F82" s="74"/>
      <c r="G82" s="74"/>
      <c r="H82" s="74"/>
      <c r="I82" s="102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9.5" customHeight="1">
      <c r="A83" s="74"/>
      <c r="B83" s="74"/>
      <c r="C83" s="74"/>
      <c r="D83" s="74"/>
      <c r="E83" s="74"/>
      <c r="F83" s="74"/>
      <c r="G83" s="74"/>
      <c r="H83" s="74"/>
      <c r="I83" s="102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9.5" customHeight="1">
      <c r="A84" s="74"/>
      <c r="B84" s="74"/>
      <c r="C84" s="74"/>
      <c r="D84" s="74"/>
      <c r="E84" s="74"/>
      <c r="F84" s="74"/>
      <c r="G84" s="74"/>
      <c r="H84" s="74"/>
      <c r="I84" s="102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9.5" customHeight="1">
      <c r="A85" s="74"/>
      <c r="B85" s="74"/>
      <c r="C85" s="74"/>
      <c r="D85" s="74"/>
      <c r="E85" s="74"/>
      <c r="F85" s="74"/>
      <c r="G85" s="74"/>
      <c r="H85" s="74"/>
      <c r="I85" s="102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9.5" customHeight="1">
      <c r="A86" s="74"/>
      <c r="B86" s="74"/>
      <c r="C86" s="74"/>
      <c r="D86" s="74"/>
      <c r="E86" s="74"/>
      <c r="F86" s="74"/>
      <c r="G86" s="74"/>
      <c r="H86" s="74"/>
      <c r="I86" s="102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9.5" customHeight="1">
      <c r="A87" s="74"/>
      <c r="B87" s="74"/>
      <c r="C87" s="74"/>
      <c r="D87" s="74"/>
      <c r="E87" s="74"/>
      <c r="F87" s="74"/>
      <c r="G87" s="74"/>
      <c r="H87" s="74"/>
      <c r="I87" s="102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9.5" customHeight="1">
      <c r="A88" s="74"/>
      <c r="B88" s="74"/>
      <c r="C88" s="74"/>
      <c r="D88" s="74"/>
      <c r="E88" s="74"/>
      <c r="F88" s="74"/>
      <c r="G88" s="74"/>
      <c r="H88" s="74"/>
      <c r="I88" s="102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9.5" customHeight="1">
      <c r="A89" s="74"/>
      <c r="B89" s="74"/>
      <c r="C89" s="74"/>
      <c r="D89" s="74"/>
      <c r="E89" s="74"/>
      <c r="F89" s="74"/>
      <c r="G89" s="74"/>
      <c r="H89" s="74"/>
      <c r="I89" s="102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9.5" customHeight="1">
      <c r="A90" s="74"/>
      <c r="B90" s="74"/>
      <c r="C90" s="74"/>
      <c r="D90" s="74"/>
      <c r="E90" s="74"/>
      <c r="F90" s="74"/>
      <c r="G90" s="74"/>
      <c r="H90" s="74"/>
      <c r="I90" s="102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9.5" customHeight="1">
      <c r="A91" s="74"/>
      <c r="B91" s="74"/>
      <c r="C91" s="74"/>
      <c r="D91" s="74"/>
      <c r="E91" s="74"/>
      <c r="F91" s="74"/>
      <c r="G91" s="74"/>
      <c r="H91" s="74"/>
      <c r="I91" s="102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9.5" customHeight="1">
      <c r="A92" s="74"/>
      <c r="B92" s="74"/>
      <c r="C92" s="74"/>
      <c r="D92" s="74"/>
      <c r="E92" s="74"/>
      <c r="F92" s="74"/>
      <c r="G92" s="74"/>
      <c r="H92" s="74"/>
      <c r="I92" s="102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9.5" customHeight="1">
      <c r="A93" s="74"/>
      <c r="B93" s="74"/>
      <c r="C93" s="74"/>
      <c r="D93" s="74"/>
      <c r="E93" s="74"/>
      <c r="F93" s="74"/>
      <c r="G93" s="74"/>
      <c r="H93" s="74"/>
      <c r="I93" s="102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9.5" customHeight="1">
      <c r="A94" s="74"/>
      <c r="B94" s="74"/>
      <c r="C94" s="74"/>
      <c r="D94" s="74"/>
      <c r="E94" s="74"/>
      <c r="F94" s="74"/>
      <c r="G94" s="74"/>
      <c r="H94" s="74"/>
      <c r="I94" s="102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9.5" customHeight="1">
      <c r="A95" s="74"/>
      <c r="B95" s="74"/>
      <c r="C95" s="74"/>
      <c r="D95" s="74"/>
      <c r="E95" s="74"/>
      <c r="F95" s="74"/>
      <c r="G95" s="74"/>
      <c r="H95" s="74"/>
      <c r="I95" s="102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9.5" customHeight="1">
      <c r="A96" s="74"/>
      <c r="B96" s="74"/>
      <c r="C96" s="74"/>
      <c r="D96" s="74"/>
      <c r="E96" s="74"/>
      <c r="F96" s="74"/>
      <c r="G96" s="74"/>
      <c r="H96" s="74"/>
      <c r="I96" s="102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9.5" customHeight="1">
      <c r="A97" s="74"/>
      <c r="B97" s="74"/>
      <c r="C97" s="74"/>
      <c r="D97" s="74"/>
      <c r="E97" s="74"/>
      <c r="F97" s="74"/>
      <c r="G97" s="74"/>
      <c r="H97" s="74"/>
      <c r="I97" s="102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9.5" customHeight="1">
      <c r="A98" s="74"/>
      <c r="B98" s="74"/>
      <c r="C98" s="74"/>
      <c r="D98" s="74"/>
      <c r="E98" s="74"/>
      <c r="F98" s="74"/>
      <c r="G98" s="74"/>
      <c r="H98" s="74"/>
      <c r="I98" s="102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9.5" customHeight="1">
      <c r="A99" s="74"/>
      <c r="B99" s="74"/>
      <c r="C99" s="74"/>
      <c r="D99" s="74"/>
      <c r="E99" s="74"/>
      <c r="F99" s="74"/>
      <c r="G99" s="74"/>
      <c r="H99" s="74"/>
      <c r="I99" s="102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9.5" customHeight="1">
      <c r="A100" s="74"/>
      <c r="B100" s="74"/>
      <c r="C100" s="74"/>
      <c r="D100" s="74"/>
      <c r="E100" s="74"/>
      <c r="F100" s="74"/>
      <c r="G100" s="74"/>
      <c r="H100" s="74"/>
      <c r="I100" s="102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9.5" customHeight="1">
      <c r="A101" s="74"/>
      <c r="B101" s="74"/>
      <c r="C101" s="74"/>
      <c r="D101" s="74"/>
      <c r="E101" s="74"/>
      <c r="F101" s="74"/>
      <c r="G101" s="74"/>
      <c r="H101" s="74"/>
      <c r="I101" s="102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9.5" customHeight="1">
      <c r="A102" s="74"/>
      <c r="B102" s="74"/>
      <c r="C102" s="74"/>
      <c r="D102" s="74"/>
      <c r="E102" s="74"/>
      <c r="F102" s="74"/>
      <c r="G102" s="74"/>
      <c r="H102" s="74"/>
      <c r="I102" s="102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9.5" customHeight="1">
      <c r="A103" s="74"/>
      <c r="B103" s="74"/>
      <c r="C103" s="74"/>
      <c r="D103" s="74"/>
      <c r="E103" s="74"/>
      <c r="F103" s="74"/>
      <c r="G103" s="74"/>
      <c r="H103" s="74"/>
      <c r="I103" s="102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9.5" customHeight="1">
      <c r="A104" s="74"/>
      <c r="B104" s="74"/>
      <c r="C104" s="74"/>
      <c r="D104" s="74"/>
      <c r="E104" s="74"/>
      <c r="F104" s="74"/>
      <c r="G104" s="74"/>
      <c r="H104" s="74"/>
      <c r="I104" s="102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9.5" customHeight="1">
      <c r="A105" s="74"/>
      <c r="B105" s="74"/>
      <c r="C105" s="74"/>
      <c r="D105" s="74"/>
      <c r="E105" s="74"/>
      <c r="F105" s="74"/>
      <c r="G105" s="74"/>
      <c r="H105" s="74"/>
      <c r="I105" s="102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9.5" customHeight="1">
      <c r="A106" s="74"/>
      <c r="B106" s="74"/>
      <c r="C106" s="74"/>
      <c r="D106" s="74"/>
      <c r="E106" s="74"/>
      <c r="F106" s="74"/>
      <c r="G106" s="74"/>
      <c r="H106" s="74"/>
      <c r="I106" s="102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9.5" customHeight="1">
      <c r="A107" s="74"/>
      <c r="B107" s="74"/>
      <c r="C107" s="74"/>
      <c r="D107" s="74"/>
      <c r="E107" s="74"/>
      <c r="F107" s="74"/>
      <c r="G107" s="74"/>
      <c r="H107" s="74"/>
      <c r="I107" s="102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9.5" customHeight="1">
      <c r="A108" s="74"/>
      <c r="B108" s="74"/>
      <c r="C108" s="74"/>
      <c r="D108" s="74"/>
      <c r="E108" s="74"/>
      <c r="F108" s="74"/>
      <c r="G108" s="74"/>
      <c r="H108" s="74"/>
      <c r="I108" s="102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9.5" customHeight="1">
      <c r="A109" s="74"/>
      <c r="B109" s="74"/>
      <c r="C109" s="74"/>
      <c r="D109" s="74"/>
      <c r="E109" s="74"/>
      <c r="F109" s="74"/>
      <c r="G109" s="74"/>
      <c r="H109" s="74"/>
      <c r="I109" s="102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9.5" customHeight="1">
      <c r="A110" s="74"/>
      <c r="B110" s="74"/>
      <c r="C110" s="74"/>
      <c r="D110" s="74"/>
      <c r="E110" s="74"/>
      <c r="F110" s="74"/>
      <c r="G110" s="74"/>
      <c r="H110" s="74"/>
      <c r="I110" s="102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9.5" customHeight="1">
      <c r="A111" s="74"/>
      <c r="B111" s="74"/>
      <c r="C111" s="74"/>
      <c r="D111" s="74"/>
      <c r="E111" s="74"/>
      <c r="F111" s="74"/>
      <c r="G111" s="74"/>
      <c r="H111" s="74"/>
      <c r="I111" s="102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9.5" customHeight="1">
      <c r="A112" s="74"/>
      <c r="B112" s="74"/>
      <c r="C112" s="74"/>
      <c r="D112" s="74"/>
      <c r="E112" s="74"/>
      <c r="F112" s="74"/>
      <c r="G112" s="74"/>
      <c r="H112" s="74"/>
      <c r="I112" s="102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9.5" customHeight="1">
      <c r="A113" s="74"/>
      <c r="B113" s="74"/>
      <c r="C113" s="74"/>
      <c r="D113" s="74"/>
      <c r="E113" s="74"/>
      <c r="F113" s="74"/>
      <c r="G113" s="74"/>
      <c r="H113" s="74"/>
      <c r="I113" s="102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9.5" customHeight="1">
      <c r="A114" s="74"/>
      <c r="B114" s="74"/>
      <c r="C114" s="74"/>
      <c r="D114" s="74"/>
      <c r="E114" s="74"/>
      <c r="F114" s="74"/>
      <c r="G114" s="74"/>
      <c r="H114" s="74"/>
      <c r="I114" s="102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9.5" customHeight="1">
      <c r="A115" s="74"/>
      <c r="B115" s="74"/>
      <c r="C115" s="74"/>
      <c r="D115" s="74"/>
      <c r="E115" s="74"/>
      <c r="F115" s="74"/>
      <c r="G115" s="74"/>
      <c r="H115" s="74"/>
      <c r="I115" s="102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9.5" customHeight="1">
      <c r="A116" s="74"/>
      <c r="B116" s="74"/>
      <c r="C116" s="74"/>
      <c r="D116" s="74"/>
      <c r="E116" s="74"/>
      <c r="F116" s="74"/>
      <c r="G116" s="74"/>
      <c r="H116" s="74"/>
      <c r="I116" s="102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9.5" customHeight="1">
      <c r="A117" s="74"/>
      <c r="B117" s="74"/>
      <c r="C117" s="74"/>
      <c r="D117" s="74"/>
      <c r="E117" s="74"/>
      <c r="F117" s="74"/>
      <c r="G117" s="74"/>
      <c r="H117" s="74"/>
      <c r="I117" s="102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9.5" customHeight="1">
      <c r="A118" s="74"/>
      <c r="B118" s="74"/>
      <c r="C118" s="74"/>
      <c r="D118" s="74"/>
      <c r="E118" s="74"/>
      <c r="F118" s="74"/>
      <c r="G118" s="74"/>
      <c r="H118" s="74"/>
      <c r="I118" s="102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9.5" customHeight="1">
      <c r="A119" s="74"/>
      <c r="B119" s="74"/>
      <c r="C119" s="74"/>
      <c r="D119" s="74"/>
      <c r="E119" s="74"/>
      <c r="F119" s="74"/>
      <c r="G119" s="74"/>
      <c r="H119" s="74"/>
      <c r="I119" s="102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9.5" customHeight="1">
      <c r="A120" s="74"/>
      <c r="B120" s="74"/>
      <c r="C120" s="74"/>
      <c r="D120" s="74"/>
      <c r="E120" s="74"/>
      <c r="F120" s="74"/>
      <c r="G120" s="74"/>
      <c r="H120" s="74"/>
      <c r="I120" s="102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9.5" customHeight="1">
      <c r="A121" s="74"/>
      <c r="B121" s="74"/>
      <c r="C121" s="74"/>
      <c r="D121" s="74"/>
      <c r="E121" s="74"/>
      <c r="F121" s="74"/>
      <c r="G121" s="74"/>
      <c r="H121" s="74"/>
      <c r="I121" s="102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9.5" customHeight="1">
      <c r="A122" s="74"/>
      <c r="B122" s="74"/>
      <c r="C122" s="74"/>
      <c r="D122" s="74"/>
      <c r="E122" s="74"/>
      <c r="F122" s="74"/>
      <c r="G122" s="74"/>
      <c r="H122" s="74"/>
      <c r="I122" s="102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9.5" customHeight="1">
      <c r="A123" s="74"/>
      <c r="B123" s="74"/>
      <c r="C123" s="74"/>
      <c r="D123" s="74"/>
      <c r="E123" s="74"/>
      <c r="F123" s="74"/>
      <c r="G123" s="74"/>
      <c r="H123" s="74"/>
      <c r="I123" s="102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9.5" customHeight="1">
      <c r="A124" s="74"/>
      <c r="B124" s="74"/>
      <c r="C124" s="74"/>
      <c r="D124" s="74"/>
      <c r="E124" s="74"/>
      <c r="F124" s="74"/>
      <c r="G124" s="74"/>
      <c r="H124" s="74"/>
      <c r="I124" s="102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9.5" customHeight="1">
      <c r="A125" s="74"/>
      <c r="B125" s="74"/>
      <c r="C125" s="74"/>
      <c r="D125" s="74"/>
      <c r="E125" s="74"/>
      <c r="F125" s="74"/>
      <c r="G125" s="74"/>
      <c r="H125" s="74"/>
      <c r="I125" s="102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9.5" customHeight="1">
      <c r="A126" s="74"/>
      <c r="B126" s="74"/>
      <c r="C126" s="74"/>
      <c r="D126" s="74"/>
      <c r="E126" s="74"/>
      <c r="F126" s="74"/>
      <c r="G126" s="74"/>
      <c r="H126" s="74"/>
      <c r="I126" s="102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9.5" customHeight="1">
      <c r="A127" s="74"/>
      <c r="B127" s="74"/>
      <c r="C127" s="74"/>
      <c r="D127" s="74"/>
      <c r="E127" s="74"/>
      <c r="F127" s="74"/>
      <c r="G127" s="74"/>
      <c r="H127" s="74"/>
      <c r="I127" s="102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9.5" customHeight="1">
      <c r="A128" s="74"/>
      <c r="B128" s="74"/>
      <c r="C128" s="74"/>
      <c r="D128" s="74"/>
      <c r="E128" s="74"/>
      <c r="F128" s="74"/>
      <c r="G128" s="74"/>
      <c r="H128" s="74"/>
      <c r="I128" s="102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9.5" customHeight="1">
      <c r="A129" s="74"/>
      <c r="B129" s="74"/>
      <c r="C129" s="74"/>
      <c r="D129" s="74"/>
      <c r="E129" s="74"/>
      <c r="F129" s="74"/>
      <c r="G129" s="74"/>
      <c r="H129" s="74"/>
      <c r="I129" s="102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9.5" customHeight="1">
      <c r="A130" s="74"/>
      <c r="B130" s="74"/>
      <c r="C130" s="74"/>
      <c r="D130" s="74"/>
      <c r="E130" s="74"/>
      <c r="F130" s="74"/>
      <c r="G130" s="74"/>
      <c r="H130" s="74"/>
      <c r="I130" s="102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9.5" customHeight="1">
      <c r="A131" s="74"/>
      <c r="B131" s="74"/>
      <c r="C131" s="74"/>
      <c r="D131" s="74"/>
      <c r="E131" s="74"/>
      <c r="F131" s="74"/>
      <c r="G131" s="74"/>
      <c r="H131" s="74"/>
      <c r="I131" s="102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9.5" customHeight="1">
      <c r="A132" s="74"/>
      <c r="B132" s="74"/>
      <c r="C132" s="74"/>
      <c r="D132" s="74"/>
      <c r="E132" s="74"/>
      <c r="F132" s="74"/>
      <c r="G132" s="74"/>
      <c r="H132" s="74"/>
      <c r="I132" s="102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9.5" customHeight="1">
      <c r="A133" s="74"/>
      <c r="B133" s="74"/>
      <c r="C133" s="74"/>
      <c r="D133" s="74"/>
      <c r="E133" s="74"/>
      <c r="F133" s="74"/>
      <c r="G133" s="74"/>
      <c r="H133" s="74"/>
      <c r="I133" s="102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9.5" customHeight="1">
      <c r="A134" s="74"/>
      <c r="B134" s="74"/>
      <c r="C134" s="74"/>
      <c r="D134" s="74"/>
      <c r="E134" s="74"/>
      <c r="F134" s="74"/>
      <c r="G134" s="74"/>
      <c r="H134" s="74"/>
      <c r="I134" s="102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9.5" customHeight="1">
      <c r="A135" s="74"/>
      <c r="B135" s="74"/>
      <c r="C135" s="74"/>
      <c r="D135" s="74"/>
      <c r="E135" s="74"/>
      <c r="F135" s="74"/>
      <c r="G135" s="74"/>
      <c r="H135" s="74"/>
      <c r="I135" s="102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9.5" customHeight="1">
      <c r="A136" s="74"/>
      <c r="B136" s="74"/>
      <c r="C136" s="74"/>
      <c r="D136" s="74"/>
      <c r="E136" s="74"/>
      <c r="F136" s="74"/>
      <c r="G136" s="74"/>
      <c r="H136" s="74"/>
      <c r="I136" s="102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9.5" customHeight="1">
      <c r="A137" s="74"/>
      <c r="B137" s="74"/>
      <c r="C137" s="74"/>
      <c r="D137" s="74"/>
      <c r="E137" s="74"/>
      <c r="F137" s="74"/>
      <c r="G137" s="74"/>
      <c r="H137" s="74"/>
      <c r="I137" s="102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9.5" customHeight="1">
      <c r="A138" s="74"/>
      <c r="B138" s="74"/>
      <c r="C138" s="74"/>
      <c r="D138" s="74"/>
      <c r="E138" s="74"/>
      <c r="F138" s="74"/>
      <c r="G138" s="74"/>
      <c r="H138" s="74"/>
      <c r="I138" s="102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9.5" customHeight="1">
      <c r="A139" s="74"/>
      <c r="B139" s="74"/>
      <c r="C139" s="74"/>
      <c r="D139" s="74"/>
      <c r="E139" s="74"/>
      <c r="F139" s="74"/>
      <c r="G139" s="74"/>
      <c r="H139" s="74"/>
      <c r="I139" s="102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9.5" customHeight="1">
      <c r="A140" s="74"/>
      <c r="B140" s="74"/>
      <c r="C140" s="74"/>
      <c r="D140" s="74"/>
      <c r="E140" s="74"/>
      <c r="F140" s="74"/>
      <c r="G140" s="74"/>
      <c r="H140" s="74"/>
      <c r="I140" s="102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9.5" customHeight="1">
      <c r="A141" s="74"/>
      <c r="B141" s="74"/>
      <c r="C141" s="74"/>
      <c r="D141" s="74"/>
      <c r="E141" s="74"/>
      <c r="F141" s="74"/>
      <c r="G141" s="74"/>
      <c r="H141" s="74"/>
      <c r="I141" s="102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9.5" customHeight="1">
      <c r="A142" s="74"/>
      <c r="B142" s="74"/>
      <c r="C142" s="74"/>
      <c r="D142" s="74"/>
      <c r="E142" s="74"/>
      <c r="F142" s="74"/>
      <c r="G142" s="74"/>
      <c r="H142" s="74"/>
      <c r="I142" s="102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9.5" customHeight="1">
      <c r="A143" s="74"/>
      <c r="B143" s="74"/>
      <c r="C143" s="74"/>
      <c r="D143" s="74"/>
      <c r="E143" s="74"/>
      <c r="F143" s="74"/>
      <c r="G143" s="74"/>
      <c r="H143" s="74"/>
      <c r="I143" s="102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9.5" customHeight="1">
      <c r="A144" s="74"/>
      <c r="B144" s="74"/>
      <c r="C144" s="74"/>
      <c r="D144" s="74"/>
      <c r="E144" s="74"/>
      <c r="F144" s="74"/>
      <c r="G144" s="74"/>
      <c r="H144" s="74"/>
      <c r="I144" s="102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9.5" customHeight="1">
      <c r="A145" s="74"/>
      <c r="B145" s="74"/>
      <c r="C145" s="74"/>
      <c r="D145" s="74"/>
      <c r="E145" s="74"/>
      <c r="F145" s="74"/>
      <c r="G145" s="74"/>
      <c r="H145" s="74"/>
      <c r="I145" s="102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9.5" customHeight="1">
      <c r="A146" s="74"/>
      <c r="B146" s="74"/>
      <c r="C146" s="74"/>
      <c r="D146" s="74"/>
      <c r="E146" s="74"/>
      <c r="F146" s="74"/>
      <c r="G146" s="74"/>
      <c r="H146" s="74"/>
      <c r="I146" s="102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9.5" customHeight="1">
      <c r="A147" s="74"/>
      <c r="B147" s="74"/>
      <c r="C147" s="74"/>
      <c r="D147" s="74"/>
      <c r="E147" s="74"/>
      <c r="F147" s="74"/>
      <c r="G147" s="74"/>
      <c r="H147" s="74"/>
      <c r="I147" s="102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9.5" customHeight="1">
      <c r="A148" s="74"/>
      <c r="B148" s="74"/>
      <c r="C148" s="74"/>
      <c r="D148" s="74"/>
      <c r="E148" s="74"/>
      <c r="F148" s="74"/>
      <c r="G148" s="74"/>
      <c r="H148" s="74"/>
      <c r="I148" s="102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9.5" customHeight="1">
      <c r="A149" s="74"/>
      <c r="B149" s="74"/>
      <c r="C149" s="74"/>
      <c r="D149" s="74"/>
      <c r="E149" s="74"/>
      <c r="F149" s="74"/>
      <c r="G149" s="74"/>
      <c r="H149" s="74"/>
      <c r="I149" s="102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9.5" customHeight="1">
      <c r="A150" s="74"/>
      <c r="B150" s="74"/>
      <c r="C150" s="74"/>
      <c r="D150" s="74"/>
      <c r="E150" s="74"/>
      <c r="F150" s="74"/>
      <c r="G150" s="74"/>
      <c r="H150" s="74"/>
      <c r="I150" s="102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9.5" customHeight="1">
      <c r="A151" s="74"/>
      <c r="B151" s="74"/>
      <c r="C151" s="74"/>
      <c r="D151" s="74"/>
      <c r="E151" s="74"/>
      <c r="F151" s="74"/>
      <c r="G151" s="74"/>
      <c r="H151" s="74"/>
      <c r="I151" s="102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9.5" customHeight="1">
      <c r="A152" s="74"/>
      <c r="B152" s="74"/>
      <c r="C152" s="74"/>
      <c r="D152" s="74"/>
      <c r="E152" s="74"/>
      <c r="F152" s="74"/>
      <c r="G152" s="74"/>
      <c r="H152" s="74"/>
      <c r="I152" s="102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9.5" customHeight="1">
      <c r="A153" s="74"/>
      <c r="B153" s="74"/>
      <c r="C153" s="74"/>
      <c r="D153" s="74"/>
      <c r="E153" s="74"/>
      <c r="F153" s="74"/>
      <c r="G153" s="74"/>
      <c r="H153" s="74"/>
      <c r="I153" s="102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9.5" customHeight="1">
      <c r="A154" s="74"/>
      <c r="B154" s="74"/>
      <c r="C154" s="74"/>
      <c r="D154" s="74"/>
      <c r="E154" s="74"/>
      <c r="F154" s="74"/>
      <c r="G154" s="74"/>
      <c r="H154" s="74"/>
      <c r="I154" s="102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9.5" customHeight="1">
      <c r="A155" s="74"/>
      <c r="B155" s="74"/>
      <c r="C155" s="74"/>
      <c r="D155" s="74"/>
      <c r="E155" s="74"/>
      <c r="F155" s="74"/>
      <c r="G155" s="74"/>
      <c r="H155" s="74"/>
      <c r="I155" s="102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9.5" customHeight="1">
      <c r="A156" s="74"/>
      <c r="B156" s="74"/>
      <c r="C156" s="74"/>
      <c r="D156" s="74"/>
      <c r="E156" s="74"/>
      <c r="F156" s="74"/>
      <c r="G156" s="74"/>
      <c r="H156" s="74"/>
      <c r="I156" s="102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9.5" customHeight="1">
      <c r="A157" s="74"/>
      <c r="B157" s="74"/>
      <c r="C157" s="74"/>
      <c r="D157" s="74"/>
      <c r="E157" s="74"/>
      <c r="F157" s="74"/>
      <c r="G157" s="74"/>
      <c r="H157" s="74"/>
      <c r="I157" s="102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9.5" customHeight="1">
      <c r="A158" s="74"/>
      <c r="B158" s="74"/>
      <c r="C158" s="74"/>
      <c r="D158" s="74"/>
      <c r="E158" s="74"/>
      <c r="F158" s="74"/>
      <c r="G158" s="74"/>
      <c r="H158" s="74"/>
      <c r="I158" s="102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9.5" customHeight="1">
      <c r="A159" s="74"/>
      <c r="B159" s="74"/>
      <c r="C159" s="74"/>
      <c r="D159" s="74"/>
      <c r="E159" s="74"/>
      <c r="F159" s="74"/>
      <c r="G159" s="74"/>
      <c r="H159" s="74"/>
      <c r="I159" s="102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9.5" customHeight="1">
      <c r="A160" s="74"/>
      <c r="B160" s="74"/>
      <c r="C160" s="74"/>
      <c r="D160" s="74"/>
      <c r="E160" s="74"/>
      <c r="F160" s="74"/>
      <c r="G160" s="74"/>
      <c r="H160" s="74"/>
      <c r="I160" s="102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9.5" customHeight="1">
      <c r="A161" s="74"/>
      <c r="B161" s="74"/>
      <c r="C161" s="74"/>
      <c r="D161" s="74"/>
      <c r="E161" s="74"/>
      <c r="F161" s="74"/>
      <c r="G161" s="74"/>
      <c r="H161" s="74"/>
      <c r="I161" s="102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9.5" customHeight="1">
      <c r="A162" s="74"/>
      <c r="B162" s="74"/>
      <c r="C162" s="74"/>
      <c r="D162" s="74"/>
      <c r="E162" s="74"/>
      <c r="F162" s="74"/>
      <c r="G162" s="74"/>
      <c r="H162" s="74"/>
      <c r="I162" s="102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9.5" customHeight="1">
      <c r="A163" s="74"/>
      <c r="B163" s="74"/>
      <c r="C163" s="74"/>
      <c r="D163" s="74"/>
      <c r="E163" s="74"/>
      <c r="F163" s="74"/>
      <c r="G163" s="74"/>
      <c r="H163" s="74"/>
      <c r="I163" s="102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9.5" customHeight="1">
      <c r="A164" s="74"/>
      <c r="B164" s="74"/>
      <c r="C164" s="74"/>
      <c r="D164" s="74"/>
      <c r="E164" s="74"/>
      <c r="F164" s="74"/>
      <c r="G164" s="74"/>
      <c r="H164" s="74"/>
      <c r="I164" s="102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9.5" customHeight="1">
      <c r="A165" s="74"/>
      <c r="B165" s="74"/>
      <c r="C165" s="74"/>
      <c r="D165" s="74"/>
      <c r="E165" s="74"/>
      <c r="F165" s="74"/>
      <c r="G165" s="74"/>
      <c r="H165" s="74"/>
      <c r="I165" s="102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9.5" customHeight="1">
      <c r="A166" s="74"/>
      <c r="B166" s="74"/>
      <c r="C166" s="74"/>
      <c r="D166" s="74"/>
      <c r="E166" s="74"/>
      <c r="F166" s="74"/>
      <c r="G166" s="74"/>
      <c r="H166" s="74"/>
      <c r="I166" s="102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9.5" customHeight="1">
      <c r="A167" s="74"/>
      <c r="B167" s="74"/>
      <c r="C167" s="74"/>
      <c r="D167" s="74"/>
      <c r="E167" s="74"/>
      <c r="F167" s="74"/>
      <c r="G167" s="74"/>
      <c r="H167" s="74"/>
      <c r="I167" s="102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9.5" customHeight="1">
      <c r="A168" s="74"/>
      <c r="B168" s="74"/>
      <c r="C168" s="74"/>
      <c r="D168" s="74"/>
      <c r="E168" s="74"/>
      <c r="F168" s="74"/>
      <c r="G168" s="74"/>
      <c r="H168" s="74"/>
      <c r="I168" s="102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9.5" customHeight="1">
      <c r="A169" s="74"/>
      <c r="B169" s="74"/>
      <c r="C169" s="74"/>
      <c r="D169" s="74"/>
      <c r="E169" s="74"/>
      <c r="F169" s="74"/>
      <c r="G169" s="74"/>
      <c r="H169" s="74"/>
      <c r="I169" s="102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9.5" customHeight="1">
      <c r="A170" s="74"/>
      <c r="B170" s="74"/>
      <c r="C170" s="74"/>
      <c r="D170" s="74"/>
      <c r="E170" s="74"/>
      <c r="F170" s="74"/>
      <c r="G170" s="74"/>
      <c r="H170" s="74"/>
      <c r="I170" s="102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9.5" customHeight="1">
      <c r="A171" s="74"/>
      <c r="B171" s="74"/>
      <c r="C171" s="74"/>
      <c r="D171" s="74"/>
      <c r="E171" s="74"/>
      <c r="F171" s="74"/>
      <c r="G171" s="74"/>
      <c r="H171" s="74"/>
      <c r="I171" s="102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9.5" customHeight="1">
      <c r="A172" s="74"/>
      <c r="B172" s="74"/>
      <c r="C172" s="74"/>
      <c r="D172" s="74"/>
      <c r="E172" s="74"/>
      <c r="F172" s="74"/>
      <c r="G172" s="74"/>
      <c r="H172" s="74"/>
      <c r="I172" s="102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9.5" customHeight="1">
      <c r="A173" s="74"/>
      <c r="B173" s="74"/>
      <c r="C173" s="74"/>
      <c r="D173" s="74"/>
      <c r="E173" s="74"/>
      <c r="F173" s="74"/>
      <c r="G173" s="74"/>
      <c r="H173" s="74"/>
      <c r="I173" s="102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9.5" customHeight="1">
      <c r="A174" s="74"/>
      <c r="B174" s="74"/>
      <c r="C174" s="74"/>
      <c r="D174" s="74"/>
      <c r="E174" s="74"/>
      <c r="F174" s="74"/>
      <c r="G174" s="74"/>
      <c r="H174" s="74"/>
      <c r="I174" s="102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9.5" customHeight="1">
      <c r="A175" s="74"/>
      <c r="B175" s="74"/>
      <c r="C175" s="74"/>
      <c r="D175" s="74"/>
      <c r="E175" s="74"/>
      <c r="F175" s="74"/>
      <c r="G175" s="74"/>
      <c r="H175" s="74"/>
      <c r="I175" s="102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9.5" customHeight="1">
      <c r="A176" s="74"/>
      <c r="B176" s="74"/>
      <c r="C176" s="74"/>
      <c r="D176" s="74"/>
      <c r="E176" s="74"/>
      <c r="F176" s="74"/>
      <c r="G176" s="74"/>
      <c r="H176" s="74"/>
      <c r="I176" s="102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9.5" customHeight="1">
      <c r="A177" s="74"/>
      <c r="B177" s="74"/>
      <c r="C177" s="74"/>
      <c r="D177" s="74"/>
      <c r="E177" s="74"/>
      <c r="F177" s="74"/>
      <c r="G177" s="74"/>
      <c r="H177" s="74"/>
      <c r="I177" s="102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9.5" customHeight="1">
      <c r="A178" s="74"/>
      <c r="B178" s="74"/>
      <c r="C178" s="74"/>
      <c r="D178" s="74"/>
      <c r="E178" s="74"/>
      <c r="F178" s="74"/>
      <c r="G178" s="74"/>
      <c r="H178" s="74"/>
      <c r="I178" s="102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9.5" customHeight="1">
      <c r="A179" s="74"/>
      <c r="B179" s="74"/>
      <c r="C179" s="74"/>
      <c r="D179" s="74"/>
      <c r="E179" s="74"/>
      <c r="F179" s="74"/>
      <c r="G179" s="74"/>
      <c r="H179" s="74"/>
      <c r="I179" s="102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9.5" customHeight="1">
      <c r="A180" s="74"/>
      <c r="B180" s="74"/>
      <c r="C180" s="74"/>
      <c r="D180" s="74"/>
      <c r="E180" s="74"/>
      <c r="F180" s="74"/>
      <c r="G180" s="74"/>
      <c r="H180" s="74"/>
      <c r="I180" s="102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9.5" customHeight="1">
      <c r="A181" s="74"/>
      <c r="B181" s="74"/>
      <c r="C181" s="74"/>
      <c r="D181" s="74"/>
      <c r="E181" s="74"/>
      <c r="F181" s="74"/>
      <c r="G181" s="74"/>
      <c r="H181" s="74"/>
      <c r="I181" s="102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9.5" customHeight="1">
      <c r="A182" s="74"/>
      <c r="B182" s="74"/>
      <c r="C182" s="74"/>
      <c r="D182" s="74"/>
      <c r="E182" s="74"/>
      <c r="F182" s="74"/>
      <c r="G182" s="74"/>
      <c r="H182" s="74"/>
      <c r="I182" s="102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9.5" customHeight="1">
      <c r="A183" s="74"/>
      <c r="B183" s="74"/>
      <c r="C183" s="74"/>
      <c r="D183" s="74"/>
      <c r="E183" s="74"/>
      <c r="F183" s="74"/>
      <c r="G183" s="74"/>
      <c r="H183" s="74"/>
      <c r="I183" s="102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9.5" customHeight="1">
      <c r="A184" s="74"/>
      <c r="B184" s="74"/>
      <c r="C184" s="74"/>
      <c r="D184" s="74"/>
      <c r="E184" s="74"/>
      <c r="F184" s="74"/>
      <c r="G184" s="74"/>
      <c r="H184" s="74"/>
      <c r="I184" s="102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9.5" customHeight="1">
      <c r="A185" s="74"/>
      <c r="B185" s="74"/>
      <c r="C185" s="74"/>
      <c r="D185" s="74"/>
      <c r="E185" s="74"/>
      <c r="F185" s="74"/>
      <c r="G185" s="74"/>
      <c r="H185" s="74"/>
      <c r="I185" s="102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9.5" customHeight="1">
      <c r="A186" s="74"/>
      <c r="B186" s="74"/>
      <c r="C186" s="74"/>
      <c r="D186" s="74"/>
      <c r="E186" s="74"/>
      <c r="F186" s="74"/>
      <c r="G186" s="74"/>
      <c r="H186" s="74"/>
      <c r="I186" s="102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9.5" customHeight="1">
      <c r="A187" s="74"/>
      <c r="B187" s="74"/>
      <c r="C187" s="74"/>
      <c r="D187" s="74"/>
      <c r="E187" s="74"/>
      <c r="F187" s="74"/>
      <c r="G187" s="74"/>
      <c r="H187" s="74"/>
      <c r="I187" s="102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9.5" customHeight="1">
      <c r="A188" s="74"/>
      <c r="B188" s="74"/>
      <c r="C188" s="74"/>
      <c r="D188" s="74"/>
      <c r="E188" s="74"/>
      <c r="F188" s="74"/>
      <c r="G188" s="74"/>
      <c r="H188" s="74"/>
      <c r="I188" s="102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9.5" customHeight="1">
      <c r="A189" s="74"/>
      <c r="B189" s="74"/>
      <c r="C189" s="74"/>
      <c r="D189" s="74"/>
      <c r="E189" s="74"/>
      <c r="F189" s="74"/>
      <c r="G189" s="74"/>
      <c r="H189" s="74"/>
      <c r="I189" s="102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9.5" customHeight="1">
      <c r="A190" s="74"/>
      <c r="B190" s="74"/>
      <c r="C190" s="74"/>
      <c r="D190" s="74"/>
      <c r="E190" s="74"/>
      <c r="F190" s="74"/>
      <c r="G190" s="74"/>
      <c r="H190" s="74"/>
      <c r="I190" s="102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9.5" customHeight="1">
      <c r="A191" s="74"/>
      <c r="B191" s="74"/>
      <c r="C191" s="74"/>
      <c r="D191" s="74"/>
      <c r="E191" s="74"/>
      <c r="F191" s="74"/>
      <c r="G191" s="74"/>
      <c r="H191" s="74"/>
      <c r="I191" s="102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9.5" customHeight="1">
      <c r="A192" s="74"/>
      <c r="B192" s="74"/>
      <c r="C192" s="74"/>
      <c r="D192" s="74"/>
      <c r="E192" s="74"/>
      <c r="F192" s="74"/>
      <c r="G192" s="74"/>
      <c r="H192" s="74"/>
      <c r="I192" s="102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9.5" customHeight="1">
      <c r="A193" s="74"/>
      <c r="B193" s="74"/>
      <c r="C193" s="74"/>
      <c r="D193" s="74"/>
      <c r="E193" s="74"/>
      <c r="F193" s="74"/>
      <c r="G193" s="74"/>
      <c r="H193" s="74"/>
      <c r="I193" s="102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9.5" customHeight="1">
      <c r="A194" s="74"/>
      <c r="B194" s="74"/>
      <c r="C194" s="74"/>
      <c r="D194" s="74"/>
      <c r="E194" s="74"/>
      <c r="F194" s="74"/>
      <c r="G194" s="74"/>
      <c r="H194" s="74"/>
      <c r="I194" s="102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9.5" customHeight="1">
      <c r="A195" s="74"/>
      <c r="B195" s="74"/>
      <c r="C195" s="74"/>
      <c r="D195" s="74"/>
      <c r="E195" s="74"/>
      <c r="F195" s="74"/>
      <c r="G195" s="74"/>
      <c r="H195" s="74"/>
      <c r="I195" s="102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9.5" customHeight="1">
      <c r="A196" s="74"/>
      <c r="B196" s="74"/>
      <c r="C196" s="74"/>
      <c r="D196" s="74"/>
      <c r="E196" s="74"/>
      <c r="F196" s="74"/>
      <c r="G196" s="74"/>
      <c r="H196" s="74"/>
      <c r="I196" s="102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9.5" customHeight="1">
      <c r="A197" s="74"/>
      <c r="B197" s="74"/>
      <c r="C197" s="74"/>
      <c r="D197" s="74"/>
      <c r="E197" s="74"/>
      <c r="F197" s="74"/>
      <c r="G197" s="74"/>
      <c r="H197" s="74"/>
      <c r="I197" s="102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9.5" customHeight="1">
      <c r="A198" s="74"/>
      <c r="B198" s="74"/>
      <c r="C198" s="74"/>
      <c r="D198" s="74"/>
      <c r="E198" s="74"/>
      <c r="F198" s="74"/>
      <c r="G198" s="74"/>
      <c r="H198" s="74"/>
      <c r="I198" s="102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9.5" customHeight="1">
      <c r="A199" s="74"/>
      <c r="B199" s="74"/>
      <c r="C199" s="74"/>
      <c r="D199" s="74"/>
      <c r="E199" s="74"/>
      <c r="F199" s="74"/>
      <c r="G199" s="74"/>
      <c r="H199" s="74"/>
      <c r="I199" s="102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9.5" customHeight="1">
      <c r="A200" s="74"/>
      <c r="B200" s="74"/>
      <c r="C200" s="74"/>
      <c r="D200" s="74"/>
      <c r="E200" s="74"/>
      <c r="F200" s="74"/>
      <c r="G200" s="74"/>
      <c r="H200" s="74"/>
      <c r="I200" s="102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9.5" customHeight="1">
      <c r="A201" s="74"/>
      <c r="B201" s="74"/>
      <c r="C201" s="74"/>
      <c r="D201" s="74"/>
      <c r="E201" s="74"/>
      <c r="F201" s="74"/>
      <c r="G201" s="74"/>
      <c r="H201" s="74"/>
      <c r="I201" s="102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9.5" customHeight="1">
      <c r="A202" s="74"/>
      <c r="B202" s="74"/>
      <c r="C202" s="74"/>
      <c r="D202" s="74"/>
      <c r="E202" s="74"/>
      <c r="F202" s="74"/>
      <c r="G202" s="74"/>
      <c r="H202" s="74"/>
      <c r="I202" s="102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9.5" customHeight="1">
      <c r="A203" s="74"/>
      <c r="B203" s="74"/>
      <c r="C203" s="74"/>
      <c r="D203" s="74"/>
      <c r="E203" s="74"/>
      <c r="F203" s="74"/>
      <c r="G203" s="74"/>
      <c r="H203" s="74"/>
      <c r="I203" s="102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9.5" customHeight="1">
      <c r="A204" s="74"/>
      <c r="B204" s="74"/>
      <c r="C204" s="74"/>
      <c r="D204" s="74"/>
      <c r="E204" s="74"/>
      <c r="F204" s="74"/>
      <c r="G204" s="74"/>
      <c r="H204" s="74"/>
      <c r="I204" s="102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9.5" customHeight="1">
      <c r="A205" s="74"/>
      <c r="B205" s="74"/>
      <c r="C205" s="74"/>
      <c r="D205" s="74"/>
      <c r="E205" s="74"/>
      <c r="F205" s="74"/>
      <c r="G205" s="74"/>
      <c r="H205" s="74"/>
      <c r="I205" s="102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9.5" customHeight="1">
      <c r="A206" s="74"/>
      <c r="B206" s="74"/>
      <c r="C206" s="74"/>
      <c r="D206" s="74"/>
      <c r="E206" s="74"/>
      <c r="F206" s="74"/>
      <c r="G206" s="74"/>
      <c r="H206" s="74"/>
      <c r="I206" s="102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9.5" customHeight="1">
      <c r="A207" s="74"/>
      <c r="B207" s="74"/>
      <c r="C207" s="74"/>
      <c r="D207" s="74"/>
      <c r="E207" s="74"/>
      <c r="F207" s="74"/>
      <c r="G207" s="74"/>
      <c r="H207" s="74"/>
      <c r="I207" s="102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9.5" customHeight="1">
      <c r="A208" s="74"/>
      <c r="B208" s="74"/>
      <c r="C208" s="74"/>
      <c r="D208" s="74"/>
      <c r="E208" s="74"/>
      <c r="F208" s="74"/>
      <c r="G208" s="74"/>
      <c r="H208" s="74"/>
      <c r="I208" s="102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9.5" customHeight="1">
      <c r="A209" s="74"/>
      <c r="B209" s="74"/>
      <c r="C209" s="74"/>
      <c r="D209" s="74"/>
      <c r="E209" s="74"/>
      <c r="F209" s="74"/>
      <c r="G209" s="74"/>
      <c r="H209" s="74"/>
      <c r="I209" s="102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9.5" customHeight="1">
      <c r="A210" s="74"/>
      <c r="B210" s="74"/>
      <c r="C210" s="74"/>
      <c r="D210" s="74"/>
      <c r="E210" s="74"/>
      <c r="F210" s="74"/>
      <c r="G210" s="74"/>
      <c r="H210" s="74"/>
      <c r="I210" s="102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9.5" customHeight="1">
      <c r="A211" s="74"/>
      <c r="B211" s="74"/>
      <c r="C211" s="74"/>
      <c r="D211" s="74"/>
      <c r="E211" s="74"/>
      <c r="F211" s="74"/>
      <c r="G211" s="74"/>
      <c r="H211" s="74"/>
      <c r="I211" s="102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9.5" customHeight="1">
      <c r="A212" s="74"/>
      <c r="B212" s="74"/>
      <c r="C212" s="74"/>
      <c r="D212" s="74"/>
      <c r="E212" s="74"/>
      <c r="F212" s="74"/>
      <c r="G212" s="74"/>
      <c r="H212" s="74"/>
      <c r="I212" s="102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9.5" customHeight="1">
      <c r="A213" s="74"/>
      <c r="B213" s="74"/>
      <c r="C213" s="74"/>
      <c r="D213" s="74"/>
      <c r="E213" s="74"/>
      <c r="F213" s="74"/>
      <c r="G213" s="74"/>
      <c r="H213" s="74"/>
      <c r="I213" s="102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9.5" customHeight="1">
      <c r="A214" s="74"/>
      <c r="B214" s="74"/>
      <c r="C214" s="74"/>
      <c r="D214" s="74"/>
      <c r="E214" s="74"/>
      <c r="F214" s="74"/>
      <c r="G214" s="74"/>
      <c r="H214" s="74"/>
      <c r="I214" s="102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9.5" customHeight="1">
      <c r="A215" s="74"/>
      <c r="B215" s="74"/>
      <c r="C215" s="74"/>
      <c r="D215" s="74"/>
      <c r="E215" s="74"/>
      <c r="F215" s="74"/>
      <c r="G215" s="74"/>
      <c r="H215" s="74"/>
      <c r="I215" s="102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9.5" customHeight="1">
      <c r="A216" s="74"/>
      <c r="B216" s="74"/>
      <c r="C216" s="74"/>
      <c r="D216" s="74"/>
      <c r="E216" s="74"/>
      <c r="F216" s="74"/>
      <c r="G216" s="74"/>
      <c r="H216" s="74"/>
      <c r="I216" s="102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9.5" customHeight="1">
      <c r="A217" s="74"/>
      <c r="B217" s="74"/>
      <c r="C217" s="74"/>
      <c r="D217" s="74"/>
      <c r="E217" s="74"/>
      <c r="F217" s="74"/>
      <c r="G217" s="74"/>
      <c r="H217" s="74"/>
      <c r="I217" s="102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9.5" customHeight="1">
      <c r="A218" s="74"/>
      <c r="B218" s="74"/>
      <c r="C218" s="74"/>
      <c r="D218" s="74"/>
      <c r="E218" s="74"/>
      <c r="F218" s="74"/>
      <c r="G218" s="74"/>
      <c r="H218" s="74"/>
      <c r="I218" s="102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9.5" customHeight="1">
      <c r="A219" s="74"/>
      <c r="B219" s="74"/>
      <c r="C219" s="74"/>
      <c r="D219" s="74"/>
      <c r="E219" s="74"/>
      <c r="F219" s="74"/>
      <c r="G219" s="74"/>
      <c r="H219" s="74"/>
      <c r="I219" s="102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9.5" customHeight="1">
      <c r="A220" s="74"/>
      <c r="B220" s="74"/>
      <c r="C220" s="74"/>
      <c r="D220" s="74"/>
      <c r="E220" s="74"/>
      <c r="F220" s="74"/>
      <c r="G220" s="74"/>
      <c r="H220" s="74"/>
      <c r="I220" s="102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9.5" customHeight="1">
      <c r="A221" s="74"/>
      <c r="B221" s="74"/>
      <c r="C221" s="74"/>
      <c r="D221" s="74"/>
      <c r="E221" s="74"/>
      <c r="F221" s="74"/>
      <c r="G221" s="74"/>
      <c r="H221" s="74"/>
      <c r="I221" s="102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9.5" customHeight="1">
      <c r="A222" s="74"/>
      <c r="B222" s="74"/>
      <c r="C222" s="74"/>
      <c r="D222" s="74"/>
      <c r="E222" s="74"/>
      <c r="F222" s="74"/>
      <c r="G222" s="74"/>
      <c r="H222" s="74"/>
      <c r="I222" s="102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9.5" customHeight="1">
      <c r="A223" s="74"/>
      <c r="B223" s="74"/>
      <c r="C223" s="74"/>
      <c r="D223" s="74"/>
      <c r="E223" s="74"/>
      <c r="F223" s="74"/>
      <c r="G223" s="74"/>
      <c r="H223" s="74"/>
      <c r="I223" s="102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9.5" customHeight="1">
      <c r="A224" s="74"/>
      <c r="B224" s="74"/>
      <c r="C224" s="74"/>
      <c r="D224" s="74"/>
      <c r="E224" s="74"/>
      <c r="F224" s="74"/>
      <c r="G224" s="74"/>
      <c r="H224" s="74"/>
      <c r="I224" s="102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9.5" customHeight="1">
      <c r="A225" s="74"/>
      <c r="B225" s="74"/>
      <c r="C225" s="74"/>
      <c r="D225" s="74"/>
      <c r="E225" s="74"/>
      <c r="F225" s="74"/>
      <c r="G225" s="74"/>
      <c r="H225" s="74"/>
      <c r="I225" s="102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9.5" customHeight="1">
      <c r="A226" s="74"/>
      <c r="B226" s="74"/>
      <c r="C226" s="74"/>
      <c r="D226" s="74"/>
      <c r="E226" s="74"/>
      <c r="F226" s="74"/>
      <c r="G226" s="74"/>
      <c r="H226" s="74"/>
      <c r="I226" s="102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9.5" customHeight="1">
      <c r="A227" s="74"/>
      <c r="B227" s="74"/>
      <c r="C227" s="74"/>
      <c r="D227" s="74"/>
      <c r="E227" s="74"/>
      <c r="F227" s="74"/>
      <c r="G227" s="74"/>
      <c r="H227" s="74"/>
      <c r="I227" s="102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9.5" customHeight="1">
      <c r="A228" s="74"/>
      <c r="B228" s="74"/>
      <c r="C228" s="74"/>
      <c r="D228" s="74"/>
      <c r="E228" s="74"/>
      <c r="F228" s="74"/>
      <c r="G228" s="74"/>
      <c r="H228" s="74"/>
      <c r="I228" s="102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9.5" customHeight="1">
      <c r="A229" s="74"/>
      <c r="B229" s="74"/>
      <c r="C229" s="74"/>
      <c r="D229" s="74"/>
      <c r="E229" s="74"/>
      <c r="F229" s="74"/>
      <c r="G229" s="74"/>
      <c r="H229" s="74"/>
      <c r="I229" s="102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9.5" customHeight="1">
      <c r="A230" s="74"/>
      <c r="B230" s="74"/>
      <c r="C230" s="74"/>
      <c r="D230" s="74"/>
      <c r="E230" s="74"/>
      <c r="F230" s="74"/>
      <c r="G230" s="74"/>
      <c r="H230" s="74"/>
      <c r="I230" s="102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9.5" customHeight="1">
      <c r="A231" s="74"/>
      <c r="B231" s="74"/>
      <c r="C231" s="74"/>
      <c r="D231" s="74"/>
      <c r="E231" s="74"/>
      <c r="F231" s="74"/>
      <c r="G231" s="74"/>
      <c r="H231" s="74"/>
      <c r="I231" s="102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9.5" customHeight="1">
      <c r="A232" s="74"/>
      <c r="B232" s="74"/>
      <c r="C232" s="74"/>
      <c r="D232" s="74"/>
      <c r="E232" s="74"/>
      <c r="F232" s="74"/>
      <c r="G232" s="74"/>
      <c r="H232" s="74"/>
      <c r="I232" s="102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9.5" customHeight="1">
      <c r="A233" s="74"/>
      <c r="B233" s="74"/>
      <c r="C233" s="74"/>
      <c r="D233" s="74"/>
      <c r="E233" s="74"/>
      <c r="F233" s="74"/>
      <c r="G233" s="74"/>
      <c r="H233" s="74"/>
      <c r="I233" s="102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9.5" customHeight="1">
      <c r="A234" s="74"/>
      <c r="B234" s="74"/>
      <c r="C234" s="74"/>
      <c r="D234" s="74"/>
      <c r="E234" s="74"/>
      <c r="F234" s="74"/>
      <c r="G234" s="74"/>
      <c r="H234" s="74"/>
      <c r="I234" s="102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9.5" customHeight="1">
      <c r="A235" s="74"/>
      <c r="B235" s="74"/>
      <c r="C235" s="74"/>
      <c r="D235" s="74"/>
      <c r="E235" s="74"/>
      <c r="F235" s="74"/>
      <c r="G235" s="74"/>
      <c r="H235" s="74"/>
      <c r="I235" s="102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9.5" customHeight="1">
      <c r="A236" s="74"/>
      <c r="B236" s="74"/>
      <c r="C236" s="74"/>
      <c r="D236" s="74"/>
      <c r="E236" s="74"/>
      <c r="F236" s="74"/>
      <c r="G236" s="74"/>
      <c r="H236" s="74"/>
      <c r="I236" s="102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K2:K3"/>
    <mergeCell ref="L2:L3"/>
    <mergeCell ref="A36:F36"/>
    <mergeCell ref="A1:M1"/>
    <mergeCell ref="A2:A3"/>
    <mergeCell ref="B2:B3"/>
    <mergeCell ref="D2:F2"/>
    <mergeCell ref="G2:G3"/>
    <mergeCell ref="I2:I3"/>
    <mergeCell ref="J2:J3"/>
    <mergeCell ref="M2:M3"/>
  </mergeCells>
  <conditionalFormatting sqref="I2:L2">
    <cfRule type="cellIs" dxfId="5" priority="1" operator="equal">
      <formula>"สั่งซื้อเพิ่ม"</formula>
    </cfRule>
  </conditionalFormatting>
  <pageMargins left="0" right="0" top="0.19685039370078741" bottom="0" header="0" footer="0"/>
  <pageSetup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3CC33"/>
  </sheetPr>
  <dimension ref="A1:Z982"/>
  <sheetViews>
    <sheetView zoomScale="85" zoomScaleNormal="85" workbookViewId="0">
      <selection activeCell="I15" sqref="I15:L15"/>
    </sheetView>
  </sheetViews>
  <sheetFormatPr defaultColWidth="14.453125" defaultRowHeight="15" customHeight="1"/>
  <cols>
    <col min="1" max="1" width="8.6328125" customWidth="1"/>
    <col min="2" max="2" width="22.90625" customWidth="1"/>
    <col min="4" max="6" width="10" customWidth="1"/>
    <col min="12" max="12" width="18.453125" customWidth="1"/>
    <col min="13" max="13" width="43" customWidth="1"/>
    <col min="15" max="15" width="10.6328125" customWidth="1"/>
    <col min="16" max="26" width="8.6328125" customWidth="1"/>
  </cols>
  <sheetData>
    <row r="1" spans="1:26" ht="35.25" customHeight="1">
      <c r="A1" s="478" t="s">
        <v>40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spans="1:26" ht="27" customHeight="1">
      <c r="A2" s="475" t="s">
        <v>4</v>
      </c>
      <c r="B2" s="475" t="s">
        <v>5</v>
      </c>
      <c r="C2" s="28" t="s">
        <v>6</v>
      </c>
      <c r="D2" s="476" t="s">
        <v>7</v>
      </c>
      <c r="E2" s="466"/>
      <c r="F2" s="467"/>
      <c r="G2" s="485" t="s">
        <v>8</v>
      </c>
      <c r="H2" s="75" t="s">
        <v>9</v>
      </c>
      <c r="I2" s="475" t="s">
        <v>10</v>
      </c>
      <c r="J2" s="475" t="s">
        <v>11</v>
      </c>
      <c r="K2" s="475" t="s">
        <v>12</v>
      </c>
      <c r="L2" s="475" t="s">
        <v>13</v>
      </c>
      <c r="M2" s="483" t="s">
        <v>14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7" customHeight="1">
      <c r="A3" s="469"/>
      <c r="B3" s="469"/>
      <c r="C3" s="31" t="s">
        <v>0</v>
      </c>
      <c r="D3" s="31" t="s">
        <v>0</v>
      </c>
      <c r="E3" s="31" t="s">
        <v>1</v>
      </c>
      <c r="F3" s="31" t="s">
        <v>2</v>
      </c>
      <c r="G3" s="469"/>
      <c r="H3" s="76" t="s">
        <v>41</v>
      </c>
      <c r="I3" s="469"/>
      <c r="J3" s="469"/>
      <c r="K3" s="469"/>
      <c r="L3" s="469"/>
      <c r="M3" s="469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7" customHeight="1">
      <c r="A4" s="34"/>
      <c r="B4" s="204" t="s">
        <v>137</v>
      </c>
      <c r="C4" s="154"/>
      <c r="D4" s="107">
        <v>16.2</v>
      </c>
      <c r="E4" s="107">
        <v>252.4</v>
      </c>
      <c r="F4" s="107">
        <v>520.70000000000005</v>
      </c>
      <c r="G4" s="35">
        <v>14</v>
      </c>
      <c r="H4" s="80"/>
      <c r="I4" s="81">
        <f t="shared" ref="I4:I25" si="0">D4*E4*F4*G4/1000000000</f>
        <v>2.9807117424000003E-2</v>
      </c>
      <c r="J4" s="81">
        <f t="shared" ref="J4:J25" si="1">I4*35.315</f>
        <v>1.05263835182856</v>
      </c>
      <c r="K4" s="47">
        <v>24000</v>
      </c>
      <c r="L4" s="81">
        <f t="shared" ref="L4:L25" si="2">I4*K4</f>
        <v>715.37081817600006</v>
      </c>
      <c r="M4" s="40"/>
      <c r="N4" s="155" t="s">
        <v>42</v>
      </c>
      <c r="O4" s="156"/>
      <c r="P4" s="156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 spans="1:26" ht="27" customHeight="1">
      <c r="A5" s="34"/>
      <c r="B5" s="204" t="s">
        <v>137</v>
      </c>
      <c r="D5" s="107">
        <v>16.100000000000001</v>
      </c>
      <c r="E5" s="107">
        <v>254</v>
      </c>
      <c r="F5" s="107">
        <v>668.3</v>
      </c>
      <c r="G5" s="35">
        <v>55</v>
      </c>
      <c r="H5" s="80"/>
      <c r="I5" s="81">
        <f t="shared" si="0"/>
        <v>0.15031203109999999</v>
      </c>
      <c r="J5" s="81">
        <f t="shared" si="1"/>
        <v>5.3082693782964991</v>
      </c>
      <c r="K5" s="47">
        <v>24000</v>
      </c>
      <c r="L5" s="81">
        <f t="shared" si="2"/>
        <v>3607.4887463999999</v>
      </c>
      <c r="M5" s="40"/>
      <c r="N5" s="155" t="s">
        <v>42</v>
      </c>
      <c r="O5" s="156"/>
      <c r="P5" s="156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 spans="1:26" ht="27" customHeight="1">
      <c r="A6" s="34"/>
      <c r="B6" s="204" t="s">
        <v>137</v>
      </c>
      <c r="C6" s="154"/>
      <c r="D6" s="107">
        <v>16.100000000000001</v>
      </c>
      <c r="E6" s="107">
        <v>134.9</v>
      </c>
      <c r="F6" s="107">
        <v>744.5</v>
      </c>
      <c r="G6" s="35">
        <v>15</v>
      </c>
      <c r="H6" s="80"/>
      <c r="I6" s="81">
        <f t="shared" si="0"/>
        <v>2.4254581575000003E-2</v>
      </c>
      <c r="J6" s="81">
        <f t="shared" si="1"/>
        <v>0.85655054832112509</v>
      </c>
      <c r="K6" s="47">
        <v>24000</v>
      </c>
      <c r="L6" s="81">
        <f t="shared" si="2"/>
        <v>582.10995780000007</v>
      </c>
      <c r="M6" s="40"/>
      <c r="N6" s="155" t="s">
        <v>42</v>
      </c>
      <c r="O6" s="156"/>
      <c r="P6" s="156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 spans="1:26" ht="27" customHeight="1">
      <c r="A7" s="34"/>
      <c r="B7" s="204" t="s">
        <v>137</v>
      </c>
      <c r="C7" s="154"/>
      <c r="D7" s="107">
        <v>16.100000000000001</v>
      </c>
      <c r="E7" s="107">
        <v>254</v>
      </c>
      <c r="F7" s="107">
        <v>820.7</v>
      </c>
      <c r="G7" s="35">
        <v>29</v>
      </c>
      <c r="H7" s="80"/>
      <c r="I7" s="81">
        <f t="shared" si="0"/>
        <v>9.7328946820000026E-2</v>
      </c>
      <c r="J7" s="81">
        <f t="shared" si="1"/>
        <v>3.4371717569483007</v>
      </c>
      <c r="K7" s="47">
        <v>24000</v>
      </c>
      <c r="L7" s="81">
        <f t="shared" si="2"/>
        <v>2335.8947236800004</v>
      </c>
      <c r="M7" s="40"/>
      <c r="N7" s="155" t="s">
        <v>42</v>
      </c>
      <c r="O7" s="156"/>
      <c r="P7" s="156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 spans="1:26" ht="27" customHeight="1">
      <c r="A8" s="82"/>
      <c r="B8" s="204" t="s">
        <v>137</v>
      </c>
      <c r="C8" s="154"/>
      <c r="D8" s="107">
        <v>16.100000000000001</v>
      </c>
      <c r="E8" s="209">
        <v>254</v>
      </c>
      <c r="F8" s="209">
        <v>744.5</v>
      </c>
      <c r="G8" s="291">
        <v>28</v>
      </c>
      <c r="H8" s="80"/>
      <c r="I8" s="292">
        <f t="shared" si="0"/>
        <v>8.5247632400000009E-2</v>
      </c>
      <c r="J8" s="292">
        <f t="shared" si="1"/>
        <v>3.0105201382060001</v>
      </c>
      <c r="K8" s="293">
        <v>24000</v>
      </c>
      <c r="L8" s="292">
        <f t="shared" si="2"/>
        <v>2045.9431776000001</v>
      </c>
      <c r="M8" s="40"/>
      <c r="N8" s="155" t="s">
        <v>42</v>
      </c>
      <c r="O8" s="157"/>
      <c r="P8" s="158"/>
      <c r="Q8" s="157"/>
      <c r="R8" s="157"/>
      <c r="S8" s="157"/>
      <c r="T8" s="157"/>
      <c r="U8" s="157"/>
      <c r="V8" s="157"/>
      <c r="W8" s="157"/>
      <c r="X8" s="157"/>
      <c r="Y8" s="157"/>
      <c r="Z8" s="157"/>
    </row>
    <row r="9" spans="1:26" ht="27" customHeight="1">
      <c r="A9" s="82"/>
      <c r="B9" s="204" t="s">
        <v>135</v>
      </c>
      <c r="C9" s="154"/>
      <c r="D9" s="107">
        <v>16.100000000000001</v>
      </c>
      <c r="E9" s="107">
        <v>86</v>
      </c>
      <c r="F9" s="107">
        <v>491</v>
      </c>
      <c r="G9" s="35">
        <v>618</v>
      </c>
      <c r="H9" s="80"/>
      <c r="I9" s="81">
        <f t="shared" si="0"/>
        <v>0.42014025480000006</v>
      </c>
      <c r="J9" s="81">
        <f t="shared" si="1"/>
        <v>14.837253098262002</v>
      </c>
      <c r="K9" s="47">
        <v>24000</v>
      </c>
      <c r="L9" s="81">
        <f t="shared" si="2"/>
        <v>10083.366115200002</v>
      </c>
      <c r="M9" s="40"/>
      <c r="N9" s="155" t="s">
        <v>42</v>
      </c>
      <c r="O9" s="157"/>
      <c r="P9" s="158"/>
      <c r="Q9" s="157"/>
      <c r="R9" s="157"/>
      <c r="S9" s="157"/>
      <c r="T9" s="157"/>
      <c r="U9" s="157"/>
      <c r="V9" s="157"/>
      <c r="W9" s="157"/>
      <c r="X9" s="157"/>
      <c r="Y9" s="157"/>
      <c r="Z9" s="157"/>
    </row>
    <row r="10" spans="1:26" ht="27" customHeight="1">
      <c r="A10" s="82"/>
      <c r="B10" s="204" t="s">
        <v>135</v>
      </c>
      <c r="C10" s="154"/>
      <c r="D10" s="107">
        <v>16.100000000000001</v>
      </c>
      <c r="E10" s="107">
        <v>86</v>
      </c>
      <c r="F10" s="107">
        <v>524</v>
      </c>
      <c r="G10" s="35">
        <v>2016</v>
      </c>
      <c r="H10" s="80"/>
      <c r="I10" s="81">
        <f t="shared" si="0"/>
        <v>1.4626692864000002</v>
      </c>
      <c r="J10" s="81">
        <f t="shared" si="1"/>
        <v>51.654165849216</v>
      </c>
      <c r="K10" s="47">
        <v>24000</v>
      </c>
      <c r="L10" s="81">
        <f t="shared" si="2"/>
        <v>35104.062873600007</v>
      </c>
      <c r="M10" s="40"/>
      <c r="N10" s="155" t="s">
        <v>42</v>
      </c>
      <c r="O10" s="157"/>
      <c r="P10" s="158"/>
      <c r="Q10" s="157"/>
      <c r="R10" s="157"/>
      <c r="S10" s="157"/>
      <c r="T10" s="157"/>
      <c r="U10" s="157"/>
      <c r="V10" s="157"/>
      <c r="W10" s="157"/>
      <c r="X10" s="157"/>
      <c r="Y10" s="157"/>
      <c r="Z10" s="157"/>
    </row>
    <row r="11" spans="1:26" ht="27" customHeight="1">
      <c r="A11" s="82"/>
      <c r="B11" s="204" t="s">
        <v>135</v>
      </c>
      <c r="C11" s="154"/>
      <c r="D11" s="107">
        <v>16.100000000000001</v>
      </c>
      <c r="E11" s="315">
        <v>86</v>
      </c>
      <c r="F11" s="315">
        <v>568</v>
      </c>
      <c r="G11" s="316">
        <v>491</v>
      </c>
      <c r="H11" s="317"/>
      <c r="I11" s="318">
        <f t="shared" si="0"/>
        <v>0.3861483248</v>
      </c>
      <c r="J11" s="318">
        <f t="shared" si="1"/>
        <v>13.636828090311999</v>
      </c>
      <c r="K11" s="319">
        <v>24000</v>
      </c>
      <c r="L11" s="318">
        <f t="shared" si="2"/>
        <v>9267.5597952000007</v>
      </c>
      <c r="M11" s="40"/>
      <c r="N11" s="155" t="s">
        <v>42</v>
      </c>
      <c r="O11" s="157"/>
      <c r="P11" s="158"/>
      <c r="Q11" s="157"/>
      <c r="R11" s="157"/>
      <c r="S11" s="157"/>
      <c r="T11" s="157"/>
      <c r="U11" s="157"/>
      <c r="V11" s="157"/>
      <c r="W11" s="157"/>
      <c r="X11" s="157"/>
      <c r="Y11" s="157"/>
      <c r="Z11" s="157"/>
    </row>
    <row r="12" spans="1:26" ht="27" customHeight="1">
      <c r="A12" s="82"/>
      <c r="B12" s="208"/>
      <c r="C12" s="154"/>
      <c r="D12" s="299"/>
      <c r="E12" s="299"/>
      <c r="F12" s="299"/>
      <c r="G12" s="300"/>
      <c r="H12" s="301"/>
      <c r="I12" s="302">
        <f t="shared" si="0"/>
        <v>0</v>
      </c>
      <c r="J12" s="302">
        <f t="shared" si="1"/>
        <v>0</v>
      </c>
      <c r="K12" s="303">
        <v>24000</v>
      </c>
      <c r="L12" s="302">
        <f t="shared" si="2"/>
        <v>0</v>
      </c>
      <c r="M12" s="40"/>
      <c r="N12" s="155" t="s">
        <v>42</v>
      </c>
      <c r="O12" s="157"/>
      <c r="P12" s="158"/>
      <c r="Q12" s="157"/>
      <c r="R12" s="157"/>
      <c r="S12" s="157"/>
      <c r="T12" s="157"/>
      <c r="U12" s="157"/>
      <c r="V12" s="157"/>
      <c r="W12" s="157"/>
      <c r="X12" s="157"/>
      <c r="Y12" s="157"/>
      <c r="Z12" s="157"/>
    </row>
    <row r="13" spans="1:26" ht="27" customHeight="1">
      <c r="A13" s="82"/>
      <c r="B13" s="208" t="s">
        <v>398</v>
      </c>
      <c r="C13" s="154"/>
      <c r="D13" s="299">
        <v>1000</v>
      </c>
      <c r="E13" s="299">
        <v>1180</v>
      </c>
      <c r="F13" s="299">
        <v>1050</v>
      </c>
      <c r="G13" s="420">
        <v>0.8</v>
      </c>
      <c r="H13" s="301"/>
      <c r="I13" s="302">
        <f>D13*E13*F13*G13/1000000000</f>
        <v>0.99119999999999997</v>
      </c>
      <c r="J13" s="302">
        <f>I13*35.315</f>
        <v>35.004227999999998</v>
      </c>
      <c r="K13" s="303">
        <v>24000</v>
      </c>
      <c r="L13" s="302">
        <f>I13*K13</f>
        <v>23788.799999999999</v>
      </c>
      <c r="M13" s="40"/>
      <c r="N13" s="155" t="s">
        <v>42</v>
      </c>
      <c r="O13" s="157"/>
      <c r="P13" s="158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1:26" ht="27" customHeight="1">
      <c r="A14" s="82"/>
      <c r="B14" s="208" t="s">
        <v>398</v>
      </c>
      <c r="C14" s="154"/>
      <c r="D14" s="299">
        <v>780</v>
      </c>
      <c r="E14" s="299">
        <v>1180</v>
      </c>
      <c r="F14" s="299">
        <v>1190</v>
      </c>
      <c r="G14" s="420">
        <v>0.8</v>
      </c>
      <c r="H14" s="301"/>
      <c r="I14" s="302">
        <f>D14*E14*F14*G14/1000000000</f>
        <v>0.87622080000000002</v>
      </c>
      <c r="J14" s="302">
        <f>I14*35.315</f>
        <v>30.943737551999998</v>
      </c>
      <c r="K14" s="303">
        <v>24000</v>
      </c>
      <c r="L14" s="302">
        <f>I14*K14</f>
        <v>21029.299200000001</v>
      </c>
      <c r="M14" s="40"/>
      <c r="N14" s="155" t="s">
        <v>42</v>
      </c>
      <c r="O14" s="157"/>
      <c r="P14" s="158"/>
      <c r="Q14" s="157"/>
      <c r="R14" s="157"/>
      <c r="S14" s="157"/>
      <c r="T14" s="157"/>
      <c r="U14" s="157"/>
      <c r="V14" s="157"/>
      <c r="W14" s="157"/>
      <c r="X14" s="157"/>
      <c r="Y14" s="157"/>
      <c r="Z14" s="157"/>
    </row>
    <row r="15" spans="1:26" ht="27" customHeight="1">
      <c r="A15" s="34"/>
      <c r="B15" s="204" t="s">
        <v>398</v>
      </c>
      <c r="C15" s="154"/>
      <c r="D15" s="299">
        <v>950</v>
      </c>
      <c r="E15" s="299">
        <v>1190</v>
      </c>
      <c r="F15" s="299">
        <v>1130</v>
      </c>
      <c r="G15" s="420">
        <v>0.8</v>
      </c>
      <c r="H15" s="80"/>
      <c r="I15" s="302">
        <f>D15*E15*F15*G15/1000000000</f>
        <v>1.0219720000000001</v>
      </c>
      <c r="J15" s="302">
        <f>I15*35.315</f>
        <v>36.090941180000002</v>
      </c>
      <c r="K15" s="303">
        <v>24000</v>
      </c>
      <c r="L15" s="302">
        <f>I15*K15</f>
        <v>24527.328000000001</v>
      </c>
      <c r="M15" s="40"/>
      <c r="N15" s="155" t="s">
        <v>42</v>
      </c>
      <c r="O15" s="156"/>
      <c r="P15" s="156"/>
      <c r="Q15" s="157"/>
      <c r="R15" s="157"/>
      <c r="S15" s="157"/>
      <c r="T15" s="157"/>
      <c r="U15" s="157"/>
      <c r="V15" s="157"/>
      <c r="W15" s="157"/>
      <c r="X15" s="157"/>
      <c r="Y15" s="157"/>
      <c r="Z15" s="157"/>
    </row>
    <row r="16" spans="1:26" ht="27" customHeight="1">
      <c r="A16" s="34"/>
      <c r="B16" s="204"/>
      <c r="D16" s="107"/>
      <c r="E16" s="107"/>
      <c r="F16" s="107"/>
      <c r="G16" s="35"/>
      <c r="H16" s="80"/>
      <c r="I16" s="81">
        <f t="shared" si="0"/>
        <v>0</v>
      </c>
      <c r="J16" s="81">
        <f t="shared" si="1"/>
        <v>0</v>
      </c>
      <c r="K16" s="47">
        <v>24000</v>
      </c>
      <c r="L16" s="81">
        <f t="shared" si="2"/>
        <v>0</v>
      </c>
      <c r="M16" s="40"/>
      <c r="N16" s="155" t="s">
        <v>42</v>
      </c>
      <c r="O16" s="156"/>
      <c r="P16" s="156"/>
      <c r="Q16" s="157"/>
      <c r="R16" s="157"/>
      <c r="S16" s="157"/>
      <c r="T16" s="157"/>
      <c r="U16" s="157"/>
      <c r="V16" s="157"/>
      <c r="W16" s="157"/>
      <c r="X16" s="157"/>
      <c r="Y16" s="157"/>
      <c r="Z16" s="157"/>
    </row>
    <row r="17" spans="1:26" ht="27" customHeight="1">
      <c r="A17" s="34"/>
      <c r="B17" s="204"/>
      <c r="C17" s="154"/>
      <c r="D17" s="107"/>
      <c r="E17" s="107"/>
      <c r="F17" s="107"/>
      <c r="G17" s="35"/>
      <c r="H17" s="80"/>
      <c r="I17" s="81">
        <f t="shared" si="0"/>
        <v>0</v>
      </c>
      <c r="J17" s="81">
        <f t="shared" si="1"/>
        <v>0</v>
      </c>
      <c r="K17" s="47">
        <v>24000</v>
      </c>
      <c r="L17" s="81">
        <f t="shared" si="2"/>
        <v>0</v>
      </c>
      <c r="M17" s="40"/>
      <c r="N17" s="155" t="s">
        <v>42</v>
      </c>
      <c r="O17" s="156"/>
      <c r="P17" s="156"/>
      <c r="Q17" s="157"/>
      <c r="R17" s="157"/>
      <c r="S17" s="157"/>
      <c r="T17" s="157"/>
      <c r="U17" s="157"/>
      <c r="V17" s="157"/>
      <c r="W17" s="157"/>
      <c r="X17" s="157"/>
      <c r="Y17" s="157"/>
      <c r="Z17" s="157"/>
    </row>
    <row r="18" spans="1:26" ht="27" customHeight="1">
      <c r="A18" s="34"/>
      <c r="B18" s="204"/>
      <c r="C18" s="154"/>
      <c r="D18" s="107"/>
      <c r="E18" s="107"/>
      <c r="F18" s="107"/>
      <c r="G18" s="35"/>
      <c r="H18" s="80"/>
      <c r="I18" s="81">
        <f t="shared" si="0"/>
        <v>0</v>
      </c>
      <c r="J18" s="81">
        <f t="shared" si="1"/>
        <v>0</v>
      </c>
      <c r="K18" s="47">
        <v>24000</v>
      </c>
      <c r="L18" s="81">
        <f t="shared" si="2"/>
        <v>0</v>
      </c>
      <c r="M18" s="40"/>
      <c r="N18" s="155" t="s">
        <v>42</v>
      </c>
      <c r="O18" s="156"/>
      <c r="P18" s="156"/>
      <c r="Q18" s="157"/>
      <c r="R18" s="157"/>
      <c r="S18" s="157"/>
      <c r="T18" s="157"/>
      <c r="U18" s="157"/>
      <c r="V18" s="157"/>
      <c r="W18" s="157"/>
      <c r="X18" s="157"/>
      <c r="Y18" s="157"/>
      <c r="Z18" s="157"/>
    </row>
    <row r="19" spans="1:26" ht="27" customHeight="1">
      <c r="A19" s="82"/>
      <c r="B19" s="204"/>
      <c r="C19" s="154"/>
      <c r="D19" s="107"/>
      <c r="E19" s="209"/>
      <c r="F19" s="209"/>
      <c r="G19" s="291"/>
      <c r="H19" s="80"/>
      <c r="I19" s="292">
        <f t="shared" si="0"/>
        <v>0</v>
      </c>
      <c r="J19" s="292">
        <f t="shared" si="1"/>
        <v>0</v>
      </c>
      <c r="K19" s="293">
        <v>24000</v>
      </c>
      <c r="L19" s="292">
        <f t="shared" si="2"/>
        <v>0</v>
      </c>
      <c r="M19" s="40"/>
      <c r="N19" s="155" t="s">
        <v>42</v>
      </c>
      <c r="O19" s="157"/>
      <c r="P19" s="158"/>
      <c r="Q19" s="157"/>
      <c r="R19" s="157"/>
      <c r="S19" s="157"/>
      <c r="T19" s="157"/>
      <c r="U19" s="157"/>
      <c r="V19" s="157"/>
      <c r="W19" s="157"/>
      <c r="X19" s="157"/>
      <c r="Y19" s="157"/>
      <c r="Z19" s="157"/>
    </row>
    <row r="20" spans="1:26" ht="27" customHeight="1">
      <c r="A20" s="82"/>
      <c r="B20" s="204"/>
      <c r="C20" s="154"/>
      <c r="D20" s="107"/>
      <c r="E20" s="107"/>
      <c r="F20" s="107"/>
      <c r="G20" s="35"/>
      <c r="H20" s="80"/>
      <c r="I20" s="81">
        <f t="shared" si="0"/>
        <v>0</v>
      </c>
      <c r="J20" s="81">
        <f t="shared" si="1"/>
        <v>0</v>
      </c>
      <c r="K20" s="47">
        <v>24000</v>
      </c>
      <c r="L20" s="81">
        <f t="shared" si="2"/>
        <v>0</v>
      </c>
      <c r="M20" s="40"/>
      <c r="N20" s="155" t="s">
        <v>42</v>
      </c>
      <c r="O20" s="157"/>
      <c r="P20" s="158"/>
      <c r="Q20" s="157"/>
      <c r="R20" s="157"/>
      <c r="S20" s="157"/>
      <c r="T20" s="157"/>
      <c r="U20" s="157"/>
      <c r="V20" s="157"/>
      <c r="W20" s="157"/>
      <c r="X20" s="157"/>
      <c r="Y20" s="157"/>
      <c r="Z20" s="157"/>
    </row>
    <row r="21" spans="1:26" ht="27" customHeight="1">
      <c r="A21" s="82"/>
      <c r="B21" s="204"/>
      <c r="C21" s="154"/>
      <c r="D21" s="107"/>
      <c r="E21" s="107"/>
      <c r="F21" s="107"/>
      <c r="G21" s="35"/>
      <c r="H21" s="80"/>
      <c r="I21" s="81">
        <f t="shared" si="0"/>
        <v>0</v>
      </c>
      <c r="J21" s="81">
        <f t="shared" si="1"/>
        <v>0</v>
      </c>
      <c r="K21" s="47">
        <v>24000</v>
      </c>
      <c r="L21" s="81">
        <f t="shared" si="2"/>
        <v>0</v>
      </c>
      <c r="M21" s="40"/>
      <c r="N21" s="155" t="s">
        <v>42</v>
      </c>
      <c r="O21" s="157"/>
      <c r="P21" s="158"/>
      <c r="Q21" s="157"/>
      <c r="R21" s="157"/>
      <c r="S21" s="157"/>
      <c r="T21" s="157"/>
      <c r="U21" s="157"/>
      <c r="V21" s="157"/>
      <c r="W21" s="157"/>
      <c r="X21" s="157"/>
      <c r="Y21" s="157"/>
      <c r="Z21" s="157"/>
    </row>
    <row r="22" spans="1:26" ht="27" customHeight="1">
      <c r="A22" s="82"/>
      <c r="B22" s="204"/>
      <c r="C22" s="154"/>
      <c r="D22" s="107"/>
      <c r="E22" s="107"/>
      <c r="F22" s="107"/>
      <c r="G22" s="35"/>
      <c r="H22" s="80"/>
      <c r="I22" s="81">
        <f t="shared" si="0"/>
        <v>0</v>
      </c>
      <c r="J22" s="81">
        <f t="shared" si="1"/>
        <v>0</v>
      </c>
      <c r="K22" s="47">
        <v>24000</v>
      </c>
      <c r="L22" s="81">
        <f t="shared" si="2"/>
        <v>0</v>
      </c>
      <c r="M22" s="40"/>
      <c r="N22" s="155" t="s">
        <v>42</v>
      </c>
      <c r="O22" s="157"/>
      <c r="P22" s="158"/>
      <c r="Q22" s="157"/>
      <c r="R22" s="157"/>
      <c r="S22" s="157"/>
      <c r="T22" s="157"/>
      <c r="U22" s="157"/>
      <c r="V22" s="157"/>
      <c r="W22" s="157"/>
      <c r="X22" s="157"/>
      <c r="Y22" s="157"/>
      <c r="Z22" s="157"/>
    </row>
    <row r="23" spans="1:26" ht="27" customHeight="1">
      <c r="A23" s="82"/>
      <c r="B23" s="204"/>
      <c r="C23" s="154"/>
      <c r="D23" s="107"/>
      <c r="E23" s="107"/>
      <c r="F23" s="107"/>
      <c r="G23" s="35"/>
      <c r="H23" s="80"/>
      <c r="I23" s="81">
        <f t="shared" si="0"/>
        <v>0</v>
      </c>
      <c r="J23" s="81">
        <f t="shared" si="1"/>
        <v>0</v>
      </c>
      <c r="K23" s="47">
        <v>24000</v>
      </c>
      <c r="L23" s="81">
        <f t="shared" si="2"/>
        <v>0</v>
      </c>
      <c r="M23" s="40"/>
      <c r="N23" s="155" t="s">
        <v>42</v>
      </c>
      <c r="O23" s="157"/>
      <c r="P23" s="158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24" spans="1:26" ht="27" customHeight="1">
      <c r="A24" s="82"/>
      <c r="B24" s="204"/>
      <c r="C24" s="154"/>
      <c r="D24" s="107"/>
      <c r="E24" s="107"/>
      <c r="F24" s="107"/>
      <c r="G24" s="35"/>
      <c r="H24" s="80"/>
      <c r="I24" s="81">
        <f t="shared" si="0"/>
        <v>0</v>
      </c>
      <c r="J24" s="81">
        <f t="shared" si="1"/>
        <v>0</v>
      </c>
      <c r="K24" s="47">
        <v>24000</v>
      </c>
      <c r="L24" s="81">
        <f t="shared" si="2"/>
        <v>0</v>
      </c>
      <c r="M24" s="40"/>
      <c r="N24" s="155" t="s">
        <v>42</v>
      </c>
      <c r="O24" s="157"/>
      <c r="P24" s="158"/>
      <c r="Q24" s="157"/>
      <c r="R24" s="157"/>
      <c r="S24" s="157"/>
      <c r="T24" s="157"/>
      <c r="U24" s="157"/>
      <c r="V24" s="157"/>
      <c r="W24" s="157"/>
      <c r="X24" s="157"/>
      <c r="Y24" s="157"/>
      <c r="Z24" s="157"/>
    </row>
    <row r="25" spans="1:26" ht="27" customHeight="1">
      <c r="A25" s="82"/>
      <c r="B25" s="204"/>
      <c r="C25" s="154"/>
      <c r="D25" s="107"/>
      <c r="E25" s="107"/>
      <c r="F25" s="107"/>
      <c r="G25" s="35"/>
      <c r="H25" s="80"/>
      <c r="I25" s="81">
        <f t="shared" si="0"/>
        <v>0</v>
      </c>
      <c r="J25" s="81">
        <f t="shared" si="1"/>
        <v>0</v>
      </c>
      <c r="K25" s="47">
        <v>24000</v>
      </c>
      <c r="L25" s="81">
        <f t="shared" si="2"/>
        <v>0</v>
      </c>
      <c r="M25" s="40"/>
      <c r="N25" s="155" t="s">
        <v>42</v>
      </c>
      <c r="O25" s="157"/>
      <c r="P25" s="158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 spans="1:26" ht="36.75" customHeight="1">
      <c r="A26" s="503" t="s">
        <v>18</v>
      </c>
      <c r="B26" s="504"/>
      <c r="C26" s="504"/>
      <c r="D26" s="504"/>
      <c r="E26" s="504"/>
      <c r="F26" s="505"/>
      <c r="G26" s="159">
        <f>SUM(G4:G25)</f>
        <v>3268.4000000000005</v>
      </c>
      <c r="H26" s="160"/>
      <c r="I26" s="161">
        <f>SUM(I4:I25)</f>
        <v>5.5453009753189999</v>
      </c>
      <c r="J26" s="161">
        <f>SUM(J4:J25)</f>
        <v>195.83230394339046</v>
      </c>
      <c r="K26" s="162"/>
      <c r="L26" s="161">
        <f>SUM(L4:L25)</f>
        <v>133087.22340765601</v>
      </c>
      <c r="M26" s="163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spans="1:26" ht="27" customHeight="1">
      <c r="A27" s="50"/>
      <c r="B27" s="50"/>
      <c r="C27" s="50"/>
      <c r="D27" s="165"/>
      <c r="E27" s="165"/>
      <c r="F27" s="165"/>
      <c r="G27" s="50"/>
      <c r="H27" s="166"/>
      <c r="I27" s="167"/>
      <c r="J27" s="168"/>
      <c r="K27" s="168"/>
      <c r="L27" s="168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27" customHeight="1">
      <c r="A28" s="50"/>
      <c r="B28" s="50"/>
      <c r="C28" s="50"/>
      <c r="D28" s="165"/>
      <c r="E28" s="165"/>
      <c r="F28" s="165"/>
      <c r="G28" s="50"/>
      <c r="H28" s="166"/>
      <c r="I28" s="167"/>
      <c r="J28" s="168"/>
      <c r="K28" s="168"/>
      <c r="L28" s="168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27" customHeight="1">
      <c r="A29" s="50"/>
      <c r="B29" s="50"/>
      <c r="C29" s="50"/>
      <c r="D29" s="165"/>
      <c r="E29" s="165"/>
      <c r="F29" s="165"/>
      <c r="G29" s="50"/>
      <c r="H29" s="166"/>
      <c r="I29" s="167"/>
      <c r="J29" s="168"/>
      <c r="K29" s="168"/>
      <c r="L29" s="168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27" customHeight="1">
      <c r="A30" s="50"/>
      <c r="B30" s="50"/>
      <c r="C30" s="50"/>
      <c r="D30" s="165"/>
      <c r="E30" s="165"/>
      <c r="F30" s="165"/>
      <c r="G30" s="50"/>
      <c r="H30" s="166"/>
      <c r="I30" s="167"/>
      <c r="J30" s="168"/>
      <c r="K30" s="168"/>
      <c r="L30" s="168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27" customHeight="1">
      <c r="A31" s="50"/>
      <c r="B31" s="50"/>
      <c r="C31" s="50"/>
      <c r="D31" s="165"/>
      <c r="E31" s="165"/>
      <c r="F31" s="165"/>
      <c r="G31" s="50"/>
      <c r="H31" s="166"/>
      <c r="I31" s="167"/>
      <c r="J31" s="168"/>
      <c r="K31" s="168"/>
      <c r="L31" s="168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27" customHeight="1">
      <c r="A32" s="50"/>
      <c r="B32" s="50"/>
      <c r="C32" s="50"/>
      <c r="D32" s="165"/>
      <c r="E32" s="165"/>
      <c r="F32" s="165"/>
      <c r="G32" s="50"/>
      <c r="H32" s="166"/>
      <c r="I32" s="167"/>
      <c r="J32" s="168"/>
      <c r="K32" s="168"/>
      <c r="L32" s="168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27" customHeight="1">
      <c r="A33" s="50"/>
      <c r="B33" s="50"/>
      <c r="C33" s="50"/>
      <c r="D33" s="165"/>
      <c r="E33" s="165"/>
      <c r="F33" s="165"/>
      <c r="G33" s="50"/>
      <c r="H33" s="166"/>
      <c r="I33" s="169"/>
      <c r="J33" s="170"/>
      <c r="K33" s="17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27" customHeight="1">
      <c r="A34" s="50"/>
      <c r="B34" s="50"/>
      <c r="C34" s="50"/>
      <c r="D34" s="165"/>
      <c r="E34" s="165"/>
      <c r="F34" s="165"/>
      <c r="G34" s="50"/>
      <c r="H34" s="166"/>
      <c r="I34" s="169"/>
      <c r="J34" s="170"/>
      <c r="K34" s="17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27" customHeight="1">
      <c r="A35" s="50"/>
      <c r="B35" s="50"/>
      <c r="C35" s="50"/>
      <c r="D35" s="165"/>
      <c r="E35" s="165"/>
      <c r="F35" s="165"/>
      <c r="G35" s="50"/>
      <c r="H35" s="166"/>
      <c r="I35" s="169"/>
      <c r="J35" s="170"/>
      <c r="K35" s="17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27" customHeight="1">
      <c r="A36" s="50"/>
      <c r="B36" s="50"/>
      <c r="C36" s="50"/>
      <c r="D36" s="165"/>
      <c r="E36" s="165"/>
      <c r="F36" s="165"/>
      <c r="G36" s="50"/>
      <c r="H36" s="166"/>
      <c r="I36" s="169"/>
      <c r="J36" s="170"/>
      <c r="K36" s="17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27" customHeight="1">
      <c r="A37" s="50"/>
      <c r="B37" s="50"/>
      <c r="C37" s="50"/>
      <c r="D37" s="165"/>
      <c r="E37" s="165"/>
      <c r="F37" s="165"/>
      <c r="G37" s="50"/>
      <c r="H37" s="166"/>
      <c r="I37" s="169"/>
      <c r="J37" s="170"/>
      <c r="K37" s="17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27" customHeight="1">
      <c r="A38" s="50"/>
      <c r="B38" s="50"/>
      <c r="C38" s="50"/>
      <c r="D38" s="165"/>
      <c r="E38" s="165"/>
      <c r="F38" s="165"/>
      <c r="G38" s="50"/>
      <c r="H38" s="166"/>
      <c r="I38" s="169"/>
      <c r="J38" s="170"/>
      <c r="K38" s="17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27" customHeight="1">
      <c r="A39" s="50"/>
      <c r="B39" s="50"/>
      <c r="C39" s="50"/>
      <c r="D39" s="165"/>
      <c r="E39" s="165"/>
      <c r="F39" s="165"/>
      <c r="G39" s="50"/>
      <c r="H39" s="166"/>
      <c r="I39" s="169"/>
      <c r="J39" s="170"/>
      <c r="K39" s="17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27" customHeight="1">
      <c r="A40" s="50"/>
      <c r="B40" s="50"/>
      <c r="C40" s="50"/>
      <c r="D40" s="165"/>
      <c r="E40" s="165"/>
      <c r="F40" s="165"/>
      <c r="G40" s="50"/>
      <c r="H40" s="166"/>
      <c r="I40" s="169"/>
      <c r="J40" s="170"/>
      <c r="K40" s="17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27" customHeight="1">
      <c r="A41" s="50"/>
      <c r="B41" s="50"/>
      <c r="C41" s="50"/>
      <c r="D41" s="165"/>
      <c r="E41" s="165"/>
      <c r="F41" s="165"/>
      <c r="G41" s="50"/>
      <c r="H41" s="166"/>
      <c r="I41" s="169"/>
      <c r="J41" s="170"/>
      <c r="K41" s="17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27" customHeight="1">
      <c r="A42" s="50"/>
      <c r="B42" s="50"/>
      <c r="C42" s="50"/>
      <c r="D42" s="165"/>
      <c r="E42" s="165"/>
      <c r="F42" s="165"/>
      <c r="G42" s="50"/>
      <c r="H42" s="166"/>
      <c r="I42" s="169"/>
      <c r="J42" s="170"/>
      <c r="K42" s="17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9.5" customHeight="1">
      <c r="A43" s="50"/>
      <c r="B43" s="50"/>
      <c r="C43" s="50"/>
      <c r="D43" s="165"/>
      <c r="E43" s="165"/>
      <c r="F43" s="165"/>
      <c r="G43" s="50"/>
      <c r="H43" s="166"/>
      <c r="I43" s="169"/>
      <c r="J43" s="170"/>
      <c r="K43" s="17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9.5" customHeight="1">
      <c r="A44" s="50"/>
      <c r="B44" s="50"/>
      <c r="C44" s="50"/>
      <c r="D44" s="165"/>
      <c r="E44" s="165"/>
      <c r="F44" s="165"/>
      <c r="G44" s="50"/>
      <c r="H44" s="166"/>
      <c r="I44" s="169"/>
      <c r="J44" s="170"/>
      <c r="K44" s="17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9.5" customHeight="1">
      <c r="A45" s="50"/>
      <c r="B45" s="50"/>
      <c r="C45" s="50"/>
      <c r="D45" s="165"/>
      <c r="E45" s="165"/>
      <c r="F45" s="165"/>
      <c r="G45" s="50"/>
      <c r="H45" s="166"/>
      <c r="I45" s="169"/>
      <c r="J45" s="170"/>
      <c r="K45" s="17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9.5" customHeight="1">
      <c r="A46" s="50"/>
      <c r="B46" s="50"/>
      <c r="C46" s="50"/>
      <c r="D46" s="165"/>
      <c r="E46" s="165"/>
      <c r="F46" s="165"/>
      <c r="G46" s="50"/>
      <c r="H46" s="166"/>
      <c r="I46" s="169"/>
      <c r="J46" s="170"/>
      <c r="K46" s="17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9.5" customHeight="1">
      <c r="A47" s="50"/>
      <c r="B47" s="50"/>
      <c r="C47" s="50"/>
      <c r="D47" s="165"/>
      <c r="E47" s="165"/>
      <c r="F47" s="165"/>
      <c r="G47" s="50"/>
      <c r="H47" s="166"/>
      <c r="I47" s="169"/>
      <c r="J47" s="170"/>
      <c r="K47" s="17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9.5" customHeight="1">
      <c r="A48" s="50"/>
      <c r="B48" s="50"/>
      <c r="C48" s="50"/>
      <c r="D48" s="165"/>
      <c r="E48" s="165"/>
      <c r="F48" s="165"/>
      <c r="G48" s="50"/>
      <c r="H48" s="166"/>
      <c r="I48" s="169"/>
      <c r="J48" s="170"/>
      <c r="K48" s="17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9.5" customHeight="1">
      <c r="A49" s="50"/>
      <c r="B49" s="50"/>
      <c r="C49" s="50"/>
      <c r="D49" s="165"/>
      <c r="E49" s="165"/>
      <c r="F49" s="165"/>
      <c r="G49" s="50"/>
      <c r="H49" s="166"/>
      <c r="I49" s="169"/>
      <c r="J49" s="170"/>
      <c r="K49" s="17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9.5" customHeight="1">
      <c r="A50" s="50"/>
      <c r="B50" s="50"/>
      <c r="C50" s="50"/>
      <c r="D50" s="165"/>
      <c r="E50" s="165"/>
      <c r="F50" s="165"/>
      <c r="G50" s="50"/>
      <c r="H50" s="166"/>
      <c r="I50" s="169"/>
      <c r="J50" s="170"/>
      <c r="K50" s="17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9.5" customHeight="1">
      <c r="A51" s="50"/>
      <c r="B51" s="50"/>
      <c r="C51" s="50"/>
      <c r="D51" s="165"/>
      <c r="E51" s="165"/>
      <c r="F51" s="165"/>
      <c r="G51" s="50"/>
      <c r="H51" s="166"/>
      <c r="I51" s="169"/>
      <c r="J51" s="170"/>
      <c r="K51" s="17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9.5" customHeight="1">
      <c r="A52" s="50"/>
      <c r="B52" s="50"/>
      <c r="C52" s="50"/>
      <c r="D52" s="165"/>
      <c r="E52" s="165"/>
      <c r="F52" s="165"/>
      <c r="G52" s="50"/>
      <c r="H52" s="166"/>
      <c r="I52" s="169"/>
      <c r="J52" s="170"/>
      <c r="K52" s="17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9.5" customHeight="1">
      <c r="A53" s="50"/>
      <c r="B53" s="50"/>
      <c r="C53" s="50"/>
      <c r="D53" s="165"/>
      <c r="E53" s="165"/>
      <c r="F53" s="165"/>
      <c r="G53" s="50"/>
      <c r="H53" s="166"/>
      <c r="I53" s="169"/>
      <c r="J53" s="170"/>
      <c r="K53" s="17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9.5" customHeight="1">
      <c r="A54" s="50"/>
      <c r="B54" s="50"/>
      <c r="C54" s="50"/>
      <c r="D54" s="165"/>
      <c r="E54" s="165"/>
      <c r="F54" s="165"/>
      <c r="G54" s="50"/>
      <c r="H54" s="166"/>
      <c r="I54" s="169"/>
      <c r="J54" s="170"/>
      <c r="K54" s="17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9.5" customHeight="1">
      <c r="A55" s="50"/>
      <c r="B55" s="50"/>
      <c r="C55" s="50"/>
      <c r="D55" s="165"/>
      <c r="E55" s="165"/>
      <c r="F55" s="165"/>
      <c r="G55" s="50"/>
      <c r="H55" s="166"/>
      <c r="I55" s="169"/>
      <c r="J55" s="170"/>
      <c r="K55" s="17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9.5" customHeight="1">
      <c r="A56" s="50"/>
      <c r="B56" s="50"/>
      <c r="C56" s="50"/>
      <c r="D56" s="165"/>
      <c r="E56" s="165"/>
      <c r="F56" s="165"/>
      <c r="G56" s="50"/>
      <c r="H56" s="166"/>
      <c r="I56" s="169"/>
      <c r="J56" s="170"/>
      <c r="K56" s="17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9.5" customHeight="1">
      <c r="A57" s="50"/>
      <c r="B57" s="50"/>
      <c r="C57" s="50"/>
      <c r="D57" s="165"/>
      <c r="E57" s="165"/>
      <c r="F57" s="165"/>
      <c r="G57" s="50"/>
      <c r="H57" s="166"/>
      <c r="I57" s="169"/>
      <c r="J57" s="170"/>
      <c r="K57" s="17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9.5" customHeight="1">
      <c r="A58" s="50"/>
      <c r="B58" s="50"/>
      <c r="C58" s="50"/>
      <c r="D58" s="165"/>
      <c r="E58" s="165"/>
      <c r="F58" s="165"/>
      <c r="G58" s="50"/>
      <c r="H58" s="166"/>
      <c r="I58" s="169"/>
      <c r="J58" s="170"/>
      <c r="K58" s="17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9.5" customHeight="1">
      <c r="A59" s="50"/>
      <c r="B59" s="50"/>
      <c r="C59" s="50"/>
      <c r="D59" s="165"/>
      <c r="E59" s="165"/>
      <c r="F59" s="165"/>
      <c r="G59" s="50"/>
      <c r="H59" s="166"/>
      <c r="I59" s="169"/>
      <c r="J59" s="170"/>
      <c r="K59" s="17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9.5" customHeight="1">
      <c r="A60" s="50"/>
      <c r="B60" s="50"/>
      <c r="C60" s="50"/>
      <c r="D60" s="165"/>
      <c r="E60" s="165"/>
      <c r="F60" s="165"/>
      <c r="G60" s="50"/>
      <c r="H60" s="166"/>
      <c r="I60" s="169"/>
      <c r="J60" s="170"/>
      <c r="K60" s="17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9.5" customHeight="1">
      <c r="A61" s="50"/>
      <c r="B61" s="50"/>
      <c r="C61" s="50"/>
      <c r="D61" s="165"/>
      <c r="E61" s="165"/>
      <c r="F61" s="165"/>
      <c r="G61" s="50"/>
      <c r="H61" s="166"/>
      <c r="I61" s="169"/>
      <c r="J61" s="170"/>
      <c r="K61" s="17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9.5" customHeight="1">
      <c r="A62" s="50"/>
      <c r="B62" s="50"/>
      <c r="C62" s="50"/>
      <c r="D62" s="165"/>
      <c r="E62" s="165"/>
      <c r="F62" s="165"/>
      <c r="G62" s="50"/>
      <c r="H62" s="166"/>
      <c r="I62" s="169"/>
      <c r="J62" s="170"/>
      <c r="K62" s="17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9.5" customHeight="1">
      <c r="A63" s="50"/>
      <c r="B63" s="50"/>
      <c r="C63" s="50"/>
      <c r="D63" s="165"/>
      <c r="E63" s="165"/>
      <c r="F63" s="165"/>
      <c r="G63" s="50"/>
      <c r="H63" s="166"/>
      <c r="I63" s="169"/>
      <c r="J63" s="170"/>
      <c r="K63" s="17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9.5" customHeight="1">
      <c r="A64" s="50"/>
      <c r="B64" s="50"/>
      <c r="C64" s="50"/>
      <c r="D64" s="165"/>
      <c r="E64" s="165"/>
      <c r="F64" s="165"/>
      <c r="G64" s="50"/>
      <c r="H64" s="166"/>
      <c r="I64" s="169"/>
      <c r="J64" s="170"/>
      <c r="K64" s="17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9.5" customHeight="1">
      <c r="A65" s="50"/>
      <c r="B65" s="50"/>
      <c r="C65" s="50"/>
      <c r="D65" s="165"/>
      <c r="E65" s="165"/>
      <c r="F65" s="165"/>
      <c r="G65" s="50"/>
      <c r="H65" s="166"/>
      <c r="I65" s="169"/>
      <c r="J65" s="170"/>
      <c r="K65" s="17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9.5" customHeight="1">
      <c r="A66" s="50"/>
      <c r="B66" s="50"/>
      <c r="C66" s="50"/>
      <c r="D66" s="165"/>
      <c r="E66" s="165"/>
      <c r="F66" s="165"/>
      <c r="G66" s="50"/>
      <c r="H66" s="166"/>
      <c r="I66" s="169"/>
      <c r="J66" s="170"/>
      <c r="K66" s="17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9.5" customHeight="1">
      <c r="A67" s="50"/>
      <c r="B67" s="50"/>
      <c r="C67" s="50"/>
      <c r="D67" s="165"/>
      <c r="E67" s="165"/>
      <c r="F67" s="165"/>
      <c r="G67" s="50"/>
      <c r="H67" s="166"/>
      <c r="I67" s="169"/>
      <c r="J67" s="170"/>
      <c r="K67" s="17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9.5" customHeight="1">
      <c r="A68" s="50"/>
      <c r="B68" s="50"/>
      <c r="C68" s="50"/>
      <c r="D68" s="165"/>
      <c r="E68" s="165"/>
      <c r="F68" s="165"/>
      <c r="G68" s="50"/>
      <c r="H68" s="166"/>
      <c r="I68" s="169"/>
      <c r="J68" s="170"/>
      <c r="K68" s="17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9.5" customHeight="1">
      <c r="A69" s="50"/>
      <c r="B69" s="50"/>
      <c r="C69" s="50"/>
      <c r="D69" s="165"/>
      <c r="E69" s="165"/>
      <c r="F69" s="165"/>
      <c r="G69" s="50"/>
      <c r="H69" s="166"/>
      <c r="I69" s="169"/>
      <c r="J69" s="170"/>
      <c r="K69" s="17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9.5" customHeight="1">
      <c r="A70" s="50"/>
      <c r="B70" s="50"/>
      <c r="C70" s="50"/>
      <c r="D70" s="165"/>
      <c r="E70" s="165"/>
      <c r="F70" s="165"/>
      <c r="G70" s="50"/>
      <c r="H70" s="166"/>
      <c r="I70" s="169"/>
      <c r="J70" s="170"/>
      <c r="K70" s="17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9.5" customHeight="1">
      <c r="A71" s="50"/>
      <c r="B71" s="50"/>
      <c r="C71" s="50"/>
      <c r="D71" s="165"/>
      <c r="E71" s="165"/>
      <c r="F71" s="165"/>
      <c r="G71" s="50"/>
      <c r="H71" s="166"/>
      <c r="I71" s="169"/>
      <c r="J71" s="170"/>
      <c r="K71" s="17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9.5" customHeight="1">
      <c r="A72" s="50"/>
      <c r="B72" s="50"/>
      <c r="C72" s="50"/>
      <c r="D72" s="165"/>
      <c r="E72" s="165"/>
      <c r="F72" s="165"/>
      <c r="G72" s="50"/>
      <c r="H72" s="166"/>
      <c r="I72" s="169"/>
      <c r="J72" s="170"/>
      <c r="K72" s="17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9.5" customHeight="1">
      <c r="A73" s="50"/>
      <c r="B73" s="50"/>
      <c r="C73" s="50"/>
      <c r="D73" s="165"/>
      <c r="E73" s="165"/>
      <c r="F73" s="165"/>
      <c r="G73" s="50"/>
      <c r="H73" s="166"/>
      <c r="I73" s="169"/>
      <c r="J73" s="170"/>
      <c r="K73" s="17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9.5" customHeight="1">
      <c r="A74" s="50"/>
      <c r="B74" s="50"/>
      <c r="C74" s="50"/>
      <c r="D74" s="165"/>
      <c r="E74" s="165"/>
      <c r="F74" s="165"/>
      <c r="G74" s="50"/>
      <c r="H74" s="166"/>
      <c r="I74" s="169"/>
      <c r="J74" s="170"/>
      <c r="K74" s="17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9.5" customHeight="1">
      <c r="A75" s="50"/>
      <c r="B75" s="50"/>
      <c r="C75" s="50"/>
      <c r="D75" s="165"/>
      <c r="E75" s="165"/>
      <c r="F75" s="165"/>
      <c r="G75" s="50"/>
      <c r="H75" s="166"/>
      <c r="I75" s="169"/>
      <c r="J75" s="170"/>
      <c r="K75" s="17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9.5" customHeight="1">
      <c r="A76" s="50"/>
      <c r="B76" s="50"/>
      <c r="C76" s="50"/>
      <c r="D76" s="165"/>
      <c r="E76" s="165"/>
      <c r="F76" s="165"/>
      <c r="G76" s="50"/>
      <c r="H76" s="166"/>
      <c r="I76" s="169"/>
      <c r="J76" s="170"/>
      <c r="K76" s="17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9.5" customHeight="1">
      <c r="A77" s="50"/>
      <c r="B77" s="50"/>
      <c r="C77" s="50"/>
      <c r="D77" s="165"/>
      <c r="E77" s="165"/>
      <c r="F77" s="165"/>
      <c r="G77" s="50"/>
      <c r="H77" s="166"/>
      <c r="I77" s="169"/>
      <c r="J77" s="170"/>
      <c r="K77" s="17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9.5" customHeight="1">
      <c r="A78" s="50"/>
      <c r="B78" s="50"/>
      <c r="C78" s="50"/>
      <c r="D78" s="165"/>
      <c r="E78" s="165"/>
      <c r="F78" s="165"/>
      <c r="G78" s="50"/>
      <c r="H78" s="166"/>
      <c r="I78" s="169"/>
      <c r="J78" s="170"/>
      <c r="K78" s="17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9.5" customHeight="1">
      <c r="A79" s="50"/>
      <c r="B79" s="50"/>
      <c r="C79" s="50"/>
      <c r="D79" s="165"/>
      <c r="E79" s="165"/>
      <c r="F79" s="165"/>
      <c r="G79" s="50"/>
      <c r="H79" s="166"/>
      <c r="I79" s="169"/>
      <c r="J79" s="170"/>
      <c r="K79" s="17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9.5" customHeight="1">
      <c r="A80" s="50"/>
      <c r="B80" s="50"/>
      <c r="C80" s="50"/>
      <c r="D80" s="165"/>
      <c r="E80" s="165"/>
      <c r="F80" s="165"/>
      <c r="G80" s="50"/>
      <c r="H80" s="166"/>
      <c r="I80" s="169"/>
      <c r="J80" s="170"/>
      <c r="K80" s="17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9.5" customHeight="1">
      <c r="A81" s="50"/>
      <c r="B81" s="50"/>
      <c r="C81" s="50"/>
      <c r="D81" s="165"/>
      <c r="E81" s="165"/>
      <c r="F81" s="165"/>
      <c r="G81" s="50"/>
      <c r="H81" s="166"/>
      <c r="I81" s="169"/>
      <c r="J81" s="170"/>
      <c r="K81" s="17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9.5" customHeight="1">
      <c r="A82" s="50"/>
      <c r="B82" s="50"/>
      <c r="C82" s="50"/>
      <c r="D82" s="165"/>
      <c r="E82" s="165"/>
      <c r="F82" s="165"/>
      <c r="G82" s="50"/>
      <c r="H82" s="166"/>
      <c r="I82" s="169"/>
      <c r="J82" s="170"/>
      <c r="K82" s="17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9.5" customHeight="1">
      <c r="A83" s="50"/>
      <c r="B83" s="50"/>
      <c r="C83" s="50"/>
      <c r="D83" s="165"/>
      <c r="E83" s="165"/>
      <c r="F83" s="165"/>
      <c r="G83" s="50"/>
      <c r="H83" s="166"/>
      <c r="I83" s="169"/>
      <c r="J83" s="170"/>
      <c r="K83" s="17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9.5" customHeight="1">
      <c r="A84" s="50"/>
      <c r="B84" s="50"/>
      <c r="C84" s="50"/>
      <c r="D84" s="165"/>
      <c r="E84" s="165"/>
      <c r="F84" s="165"/>
      <c r="G84" s="50"/>
      <c r="H84" s="166"/>
      <c r="I84" s="169"/>
      <c r="J84" s="170"/>
      <c r="K84" s="17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9.5" customHeight="1">
      <c r="A85" s="50"/>
      <c r="B85" s="50"/>
      <c r="C85" s="50"/>
      <c r="D85" s="165"/>
      <c r="E85" s="165"/>
      <c r="F85" s="165"/>
      <c r="G85" s="50"/>
      <c r="H85" s="166"/>
      <c r="I85" s="169"/>
      <c r="J85" s="170"/>
      <c r="K85" s="17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9.5" customHeight="1">
      <c r="A86" s="50"/>
      <c r="B86" s="50"/>
      <c r="C86" s="50"/>
      <c r="D86" s="165"/>
      <c r="E86" s="165"/>
      <c r="F86" s="165"/>
      <c r="G86" s="50"/>
      <c r="H86" s="166"/>
      <c r="I86" s="169"/>
      <c r="J86" s="170"/>
      <c r="K86" s="17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9.5" customHeight="1">
      <c r="A87" s="50"/>
      <c r="B87" s="50"/>
      <c r="C87" s="50"/>
      <c r="D87" s="165"/>
      <c r="E87" s="165"/>
      <c r="F87" s="165"/>
      <c r="G87" s="50"/>
      <c r="H87" s="166"/>
      <c r="I87" s="169"/>
      <c r="J87" s="170"/>
      <c r="K87" s="17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9.5" customHeight="1">
      <c r="A88" s="50"/>
      <c r="B88" s="50"/>
      <c r="C88" s="50"/>
      <c r="D88" s="165"/>
      <c r="E88" s="165"/>
      <c r="F88" s="165"/>
      <c r="G88" s="50"/>
      <c r="H88" s="166"/>
      <c r="I88" s="169"/>
      <c r="J88" s="170"/>
      <c r="K88" s="17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9.5" customHeight="1">
      <c r="A89" s="50"/>
      <c r="B89" s="50"/>
      <c r="C89" s="50"/>
      <c r="D89" s="165"/>
      <c r="E89" s="165"/>
      <c r="F89" s="165"/>
      <c r="G89" s="50"/>
      <c r="H89" s="166"/>
      <c r="I89" s="169"/>
      <c r="J89" s="170"/>
      <c r="K89" s="17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9.5" customHeight="1">
      <c r="A90" s="50"/>
      <c r="B90" s="50"/>
      <c r="C90" s="50"/>
      <c r="D90" s="165"/>
      <c r="E90" s="165"/>
      <c r="F90" s="165"/>
      <c r="G90" s="50"/>
      <c r="H90" s="166"/>
      <c r="I90" s="169"/>
      <c r="J90" s="170"/>
      <c r="K90" s="17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9.5" customHeight="1">
      <c r="A91" s="50"/>
      <c r="B91" s="50"/>
      <c r="C91" s="50"/>
      <c r="D91" s="165"/>
      <c r="E91" s="165"/>
      <c r="F91" s="165"/>
      <c r="G91" s="50"/>
      <c r="H91" s="166"/>
      <c r="I91" s="169"/>
      <c r="J91" s="170"/>
      <c r="K91" s="17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9.5" customHeight="1">
      <c r="A92" s="50"/>
      <c r="B92" s="50"/>
      <c r="C92" s="50"/>
      <c r="D92" s="165"/>
      <c r="E92" s="165"/>
      <c r="F92" s="165"/>
      <c r="G92" s="50"/>
      <c r="H92" s="166"/>
      <c r="I92" s="169"/>
      <c r="J92" s="170"/>
      <c r="K92" s="17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9.5" customHeight="1">
      <c r="A93" s="50"/>
      <c r="B93" s="50"/>
      <c r="C93" s="50"/>
      <c r="D93" s="165"/>
      <c r="E93" s="165"/>
      <c r="F93" s="165"/>
      <c r="G93" s="50"/>
      <c r="H93" s="166"/>
      <c r="I93" s="169"/>
      <c r="J93" s="170"/>
      <c r="K93" s="17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9.5" customHeight="1">
      <c r="A94" s="50"/>
      <c r="B94" s="50"/>
      <c r="C94" s="50"/>
      <c r="D94" s="165"/>
      <c r="E94" s="165"/>
      <c r="F94" s="165"/>
      <c r="G94" s="50"/>
      <c r="H94" s="166"/>
      <c r="I94" s="169"/>
      <c r="J94" s="170"/>
      <c r="K94" s="17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9.5" customHeight="1">
      <c r="A95" s="50"/>
      <c r="B95" s="50"/>
      <c r="C95" s="50"/>
      <c r="D95" s="165"/>
      <c r="E95" s="165"/>
      <c r="F95" s="165"/>
      <c r="G95" s="50"/>
      <c r="H95" s="166"/>
      <c r="I95" s="169"/>
      <c r="J95" s="170"/>
      <c r="K95" s="17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9.5" customHeight="1">
      <c r="A96" s="50"/>
      <c r="B96" s="50"/>
      <c r="C96" s="50"/>
      <c r="D96" s="165"/>
      <c r="E96" s="165"/>
      <c r="F96" s="165"/>
      <c r="G96" s="50"/>
      <c r="H96" s="166"/>
      <c r="I96" s="169"/>
      <c r="J96" s="170"/>
      <c r="K96" s="17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9.5" customHeight="1">
      <c r="A97" s="50"/>
      <c r="B97" s="50"/>
      <c r="C97" s="50"/>
      <c r="D97" s="165"/>
      <c r="E97" s="165"/>
      <c r="F97" s="165"/>
      <c r="G97" s="50"/>
      <c r="H97" s="166"/>
      <c r="I97" s="169"/>
      <c r="J97" s="170"/>
      <c r="K97" s="17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9.5" customHeight="1">
      <c r="A98" s="50"/>
      <c r="B98" s="50"/>
      <c r="C98" s="50"/>
      <c r="D98" s="165"/>
      <c r="E98" s="165"/>
      <c r="F98" s="165"/>
      <c r="G98" s="50"/>
      <c r="H98" s="166"/>
      <c r="I98" s="169"/>
      <c r="J98" s="170"/>
      <c r="K98" s="17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9.5" customHeight="1">
      <c r="A99" s="50"/>
      <c r="B99" s="50"/>
      <c r="C99" s="50"/>
      <c r="D99" s="165"/>
      <c r="E99" s="165"/>
      <c r="F99" s="165"/>
      <c r="G99" s="50"/>
      <c r="H99" s="166"/>
      <c r="I99" s="169"/>
      <c r="J99" s="170"/>
      <c r="K99" s="17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9.5" customHeight="1">
      <c r="A100" s="50"/>
      <c r="B100" s="50"/>
      <c r="C100" s="50"/>
      <c r="D100" s="165"/>
      <c r="E100" s="165"/>
      <c r="F100" s="165"/>
      <c r="G100" s="50"/>
      <c r="H100" s="166"/>
      <c r="I100" s="169"/>
      <c r="J100" s="170"/>
      <c r="K100" s="17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9.5" customHeight="1">
      <c r="A101" s="50"/>
      <c r="B101" s="50"/>
      <c r="C101" s="50"/>
      <c r="D101" s="165"/>
      <c r="E101" s="165"/>
      <c r="F101" s="165"/>
      <c r="G101" s="50"/>
      <c r="H101" s="166"/>
      <c r="I101" s="169"/>
      <c r="J101" s="170"/>
      <c r="K101" s="17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9.5" customHeight="1">
      <c r="A102" s="50"/>
      <c r="B102" s="50"/>
      <c r="C102" s="50"/>
      <c r="D102" s="165"/>
      <c r="E102" s="165"/>
      <c r="F102" s="165"/>
      <c r="G102" s="50"/>
      <c r="H102" s="166"/>
      <c r="I102" s="169"/>
      <c r="J102" s="170"/>
      <c r="K102" s="17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9.5" customHeight="1">
      <c r="A103" s="50"/>
      <c r="B103" s="50"/>
      <c r="C103" s="50"/>
      <c r="D103" s="165"/>
      <c r="E103" s="165"/>
      <c r="F103" s="165"/>
      <c r="G103" s="50"/>
      <c r="H103" s="166"/>
      <c r="I103" s="169"/>
      <c r="J103" s="170"/>
      <c r="K103" s="17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9.5" customHeight="1">
      <c r="A104" s="50"/>
      <c r="B104" s="50"/>
      <c r="C104" s="50"/>
      <c r="D104" s="165"/>
      <c r="E104" s="165"/>
      <c r="F104" s="165"/>
      <c r="G104" s="50"/>
      <c r="H104" s="166"/>
      <c r="I104" s="169"/>
      <c r="J104" s="170"/>
      <c r="K104" s="17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9.5" customHeight="1">
      <c r="A105" s="50"/>
      <c r="B105" s="50"/>
      <c r="C105" s="50"/>
      <c r="D105" s="165"/>
      <c r="E105" s="165"/>
      <c r="F105" s="165"/>
      <c r="G105" s="50"/>
      <c r="H105" s="166"/>
      <c r="I105" s="169"/>
      <c r="J105" s="170"/>
      <c r="K105" s="17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9.5" customHeight="1">
      <c r="A106" s="50"/>
      <c r="B106" s="50"/>
      <c r="C106" s="50"/>
      <c r="D106" s="165"/>
      <c r="E106" s="165"/>
      <c r="F106" s="165"/>
      <c r="G106" s="50"/>
      <c r="H106" s="166"/>
      <c r="I106" s="169"/>
      <c r="J106" s="170"/>
      <c r="K106" s="17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9.5" customHeight="1">
      <c r="A107" s="50"/>
      <c r="B107" s="50"/>
      <c r="C107" s="50"/>
      <c r="D107" s="165"/>
      <c r="E107" s="165"/>
      <c r="F107" s="165"/>
      <c r="G107" s="50"/>
      <c r="H107" s="166"/>
      <c r="I107" s="169"/>
      <c r="J107" s="170"/>
      <c r="K107" s="17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9.5" customHeight="1">
      <c r="A108" s="50"/>
      <c r="B108" s="50"/>
      <c r="C108" s="50"/>
      <c r="D108" s="165"/>
      <c r="E108" s="165"/>
      <c r="F108" s="165"/>
      <c r="G108" s="50"/>
      <c r="H108" s="166"/>
      <c r="I108" s="169"/>
      <c r="J108" s="170"/>
      <c r="K108" s="17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9.5" customHeight="1">
      <c r="A109" s="50"/>
      <c r="B109" s="50"/>
      <c r="C109" s="50"/>
      <c r="D109" s="165"/>
      <c r="E109" s="165"/>
      <c r="F109" s="165"/>
      <c r="G109" s="50"/>
      <c r="H109" s="166"/>
      <c r="I109" s="169"/>
      <c r="J109" s="170"/>
      <c r="K109" s="17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9.5" customHeight="1">
      <c r="A110" s="50"/>
      <c r="B110" s="50"/>
      <c r="C110" s="50"/>
      <c r="D110" s="165"/>
      <c r="E110" s="165"/>
      <c r="F110" s="165"/>
      <c r="G110" s="50"/>
      <c r="H110" s="166"/>
      <c r="I110" s="169"/>
      <c r="J110" s="170"/>
      <c r="K110" s="17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9.5" customHeight="1">
      <c r="A111" s="50"/>
      <c r="B111" s="50"/>
      <c r="C111" s="50"/>
      <c r="D111" s="165"/>
      <c r="E111" s="165"/>
      <c r="F111" s="165"/>
      <c r="G111" s="50"/>
      <c r="H111" s="166"/>
      <c r="I111" s="169"/>
      <c r="J111" s="170"/>
      <c r="K111" s="17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9.5" customHeight="1">
      <c r="A112" s="50"/>
      <c r="B112" s="50"/>
      <c r="C112" s="50"/>
      <c r="D112" s="165"/>
      <c r="E112" s="165"/>
      <c r="F112" s="165"/>
      <c r="G112" s="50"/>
      <c r="H112" s="166"/>
      <c r="I112" s="169"/>
      <c r="J112" s="170"/>
      <c r="K112" s="17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9.5" customHeight="1">
      <c r="A113" s="50"/>
      <c r="B113" s="50"/>
      <c r="C113" s="50"/>
      <c r="D113" s="165"/>
      <c r="E113" s="165"/>
      <c r="F113" s="165"/>
      <c r="G113" s="50"/>
      <c r="H113" s="166"/>
      <c r="I113" s="169"/>
      <c r="J113" s="170"/>
      <c r="K113" s="17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9.5" customHeight="1">
      <c r="A114" s="50"/>
      <c r="B114" s="50"/>
      <c r="C114" s="50"/>
      <c r="D114" s="165"/>
      <c r="E114" s="165"/>
      <c r="F114" s="165"/>
      <c r="G114" s="50"/>
      <c r="H114" s="166"/>
      <c r="I114" s="169"/>
      <c r="J114" s="170"/>
      <c r="K114" s="17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9.5" customHeight="1">
      <c r="A115" s="50"/>
      <c r="B115" s="50"/>
      <c r="C115" s="50"/>
      <c r="D115" s="165"/>
      <c r="E115" s="165"/>
      <c r="F115" s="165"/>
      <c r="G115" s="50"/>
      <c r="H115" s="166"/>
      <c r="I115" s="169"/>
      <c r="J115" s="170"/>
      <c r="K115" s="17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9.5" customHeight="1">
      <c r="A116" s="50"/>
      <c r="B116" s="50"/>
      <c r="C116" s="50"/>
      <c r="D116" s="165"/>
      <c r="E116" s="165"/>
      <c r="F116" s="165"/>
      <c r="G116" s="50"/>
      <c r="H116" s="166"/>
      <c r="I116" s="169"/>
      <c r="J116" s="170"/>
      <c r="K116" s="17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9.5" customHeight="1">
      <c r="A117" s="50"/>
      <c r="B117" s="50"/>
      <c r="C117" s="50"/>
      <c r="D117" s="165"/>
      <c r="E117" s="165"/>
      <c r="F117" s="165"/>
      <c r="G117" s="50"/>
      <c r="H117" s="166"/>
      <c r="I117" s="169"/>
      <c r="J117" s="170"/>
      <c r="K117" s="17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9.5" customHeight="1">
      <c r="A118" s="50"/>
      <c r="B118" s="50"/>
      <c r="C118" s="50"/>
      <c r="D118" s="165"/>
      <c r="E118" s="165"/>
      <c r="F118" s="165"/>
      <c r="G118" s="50"/>
      <c r="H118" s="166"/>
      <c r="I118" s="169"/>
      <c r="J118" s="170"/>
      <c r="K118" s="17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9.5" customHeight="1">
      <c r="A119" s="50"/>
      <c r="B119" s="50"/>
      <c r="C119" s="50"/>
      <c r="D119" s="165"/>
      <c r="E119" s="165"/>
      <c r="F119" s="165"/>
      <c r="G119" s="50"/>
      <c r="H119" s="166"/>
      <c r="I119" s="169"/>
      <c r="J119" s="170"/>
      <c r="K119" s="17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9.5" customHeight="1">
      <c r="A120" s="50"/>
      <c r="B120" s="50"/>
      <c r="C120" s="50"/>
      <c r="D120" s="165"/>
      <c r="E120" s="165"/>
      <c r="F120" s="165"/>
      <c r="G120" s="50"/>
      <c r="H120" s="166"/>
      <c r="I120" s="169"/>
      <c r="J120" s="170"/>
      <c r="K120" s="17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9.5" customHeight="1">
      <c r="A121" s="50"/>
      <c r="B121" s="50"/>
      <c r="C121" s="50"/>
      <c r="D121" s="165"/>
      <c r="E121" s="165"/>
      <c r="F121" s="165"/>
      <c r="G121" s="50"/>
      <c r="H121" s="166"/>
      <c r="I121" s="169"/>
      <c r="J121" s="170"/>
      <c r="K121" s="17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9.5" customHeight="1">
      <c r="A122" s="50"/>
      <c r="B122" s="50"/>
      <c r="C122" s="50"/>
      <c r="D122" s="165"/>
      <c r="E122" s="165"/>
      <c r="F122" s="165"/>
      <c r="G122" s="50"/>
      <c r="H122" s="166"/>
      <c r="I122" s="169"/>
      <c r="J122" s="170"/>
      <c r="K122" s="17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9.5" customHeight="1">
      <c r="A123" s="50"/>
      <c r="B123" s="50"/>
      <c r="C123" s="50"/>
      <c r="D123" s="165"/>
      <c r="E123" s="165"/>
      <c r="F123" s="165"/>
      <c r="G123" s="50"/>
      <c r="H123" s="166"/>
      <c r="I123" s="169"/>
      <c r="J123" s="170"/>
      <c r="K123" s="17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9.5" customHeight="1">
      <c r="A124" s="50"/>
      <c r="B124" s="50"/>
      <c r="C124" s="50"/>
      <c r="D124" s="165"/>
      <c r="E124" s="165"/>
      <c r="F124" s="165"/>
      <c r="G124" s="50"/>
      <c r="H124" s="166"/>
      <c r="I124" s="169"/>
      <c r="J124" s="170"/>
      <c r="K124" s="17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9.5" customHeight="1">
      <c r="A125" s="50"/>
      <c r="B125" s="50"/>
      <c r="C125" s="50"/>
      <c r="D125" s="165"/>
      <c r="E125" s="165"/>
      <c r="F125" s="165"/>
      <c r="G125" s="50"/>
      <c r="H125" s="166"/>
      <c r="I125" s="169"/>
      <c r="J125" s="170"/>
      <c r="K125" s="17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9.5" customHeight="1">
      <c r="A126" s="50"/>
      <c r="B126" s="50"/>
      <c r="C126" s="50"/>
      <c r="D126" s="165"/>
      <c r="E126" s="165"/>
      <c r="F126" s="165"/>
      <c r="G126" s="50"/>
      <c r="H126" s="166"/>
      <c r="I126" s="169"/>
      <c r="J126" s="170"/>
      <c r="K126" s="17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9.5" customHeight="1">
      <c r="A127" s="50"/>
      <c r="B127" s="50"/>
      <c r="C127" s="50"/>
      <c r="D127" s="165"/>
      <c r="E127" s="165"/>
      <c r="F127" s="165"/>
      <c r="G127" s="50"/>
      <c r="H127" s="166"/>
      <c r="I127" s="169"/>
      <c r="J127" s="170"/>
      <c r="K127" s="17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9.5" customHeight="1">
      <c r="A128" s="50"/>
      <c r="B128" s="50"/>
      <c r="C128" s="50"/>
      <c r="D128" s="165"/>
      <c r="E128" s="165"/>
      <c r="F128" s="165"/>
      <c r="G128" s="50"/>
      <c r="H128" s="166"/>
      <c r="I128" s="169"/>
      <c r="J128" s="170"/>
      <c r="K128" s="17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9.5" customHeight="1">
      <c r="A129" s="50"/>
      <c r="B129" s="50"/>
      <c r="C129" s="50"/>
      <c r="D129" s="165"/>
      <c r="E129" s="165"/>
      <c r="F129" s="165"/>
      <c r="G129" s="50"/>
      <c r="H129" s="166"/>
      <c r="I129" s="169"/>
      <c r="J129" s="170"/>
      <c r="K129" s="17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9.5" customHeight="1">
      <c r="A130" s="50"/>
      <c r="B130" s="50"/>
      <c r="C130" s="50"/>
      <c r="D130" s="165"/>
      <c r="E130" s="165"/>
      <c r="F130" s="165"/>
      <c r="G130" s="50"/>
      <c r="H130" s="166"/>
      <c r="I130" s="169"/>
      <c r="J130" s="170"/>
      <c r="K130" s="17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9.5" customHeight="1">
      <c r="A131" s="50"/>
      <c r="B131" s="50"/>
      <c r="C131" s="50"/>
      <c r="D131" s="165"/>
      <c r="E131" s="165"/>
      <c r="F131" s="165"/>
      <c r="G131" s="50"/>
      <c r="H131" s="166"/>
      <c r="I131" s="169"/>
      <c r="J131" s="170"/>
      <c r="K131" s="17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9.5" customHeight="1">
      <c r="A132" s="50"/>
      <c r="B132" s="50"/>
      <c r="C132" s="50"/>
      <c r="D132" s="165"/>
      <c r="E132" s="165"/>
      <c r="F132" s="165"/>
      <c r="G132" s="50"/>
      <c r="H132" s="166"/>
      <c r="I132" s="169"/>
      <c r="J132" s="170"/>
      <c r="K132" s="17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9.5" customHeight="1">
      <c r="A133" s="50"/>
      <c r="B133" s="50"/>
      <c r="C133" s="50"/>
      <c r="D133" s="165"/>
      <c r="E133" s="165"/>
      <c r="F133" s="165"/>
      <c r="G133" s="50"/>
      <c r="H133" s="166"/>
      <c r="I133" s="169"/>
      <c r="J133" s="170"/>
      <c r="K133" s="17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9.5" customHeight="1">
      <c r="A134" s="50"/>
      <c r="B134" s="50"/>
      <c r="C134" s="50"/>
      <c r="D134" s="165"/>
      <c r="E134" s="165"/>
      <c r="F134" s="165"/>
      <c r="G134" s="50"/>
      <c r="H134" s="166"/>
      <c r="I134" s="169"/>
      <c r="J134" s="170"/>
      <c r="K134" s="17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9.5" customHeight="1">
      <c r="A135" s="50"/>
      <c r="B135" s="50"/>
      <c r="C135" s="50"/>
      <c r="D135" s="165"/>
      <c r="E135" s="165"/>
      <c r="F135" s="165"/>
      <c r="G135" s="50"/>
      <c r="H135" s="166"/>
      <c r="I135" s="169"/>
      <c r="J135" s="170"/>
      <c r="K135" s="17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9.5" customHeight="1">
      <c r="A136" s="50"/>
      <c r="B136" s="50"/>
      <c r="C136" s="50"/>
      <c r="D136" s="165"/>
      <c r="E136" s="165"/>
      <c r="F136" s="165"/>
      <c r="G136" s="50"/>
      <c r="H136" s="166"/>
      <c r="I136" s="169"/>
      <c r="J136" s="170"/>
      <c r="K136" s="17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9.5" customHeight="1">
      <c r="A137" s="50"/>
      <c r="B137" s="50"/>
      <c r="C137" s="50"/>
      <c r="D137" s="165"/>
      <c r="E137" s="165"/>
      <c r="F137" s="165"/>
      <c r="G137" s="50"/>
      <c r="H137" s="166"/>
      <c r="I137" s="169"/>
      <c r="J137" s="170"/>
      <c r="K137" s="17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9.5" customHeight="1">
      <c r="A138" s="50"/>
      <c r="B138" s="50"/>
      <c r="C138" s="50"/>
      <c r="D138" s="165"/>
      <c r="E138" s="165"/>
      <c r="F138" s="165"/>
      <c r="G138" s="50"/>
      <c r="H138" s="166"/>
      <c r="I138" s="169"/>
      <c r="J138" s="170"/>
      <c r="K138" s="17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9.5" customHeight="1">
      <c r="A139" s="50"/>
      <c r="B139" s="50"/>
      <c r="C139" s="50"/>
      <c r="D139" s="165"/>
      <c r="E139" s="165"/>
      <c r="F139" s="165"/>
      <c r="G139" s="50"/>
      <c r="H139" s="166"/>
      <c r="I139" s="169"/>
      <c r="J139" s="170"/>
      <c r="K139" s="17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9.5" customHeight="1">
      <c r="A140" s="50"/>
      <c r="B140" s="50"/>
      <c r="C140" s="50"/>
      <c r="D140" s="165"/>
      <c r="E140" s="165"/>
      <c r="F140" s="165"/>
      <c r="G140" s="50"/>
      <c r="H140" s="166"/>
      <c r="I140" s="169"/>
      <c r="J140" s="170"/>
      <c r="K140" s="17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9.5" customHeight="1">
      <c r="A141" s="50"/>
      <c r="B141" s="50"/>
      <c r="C141" s="50"/>
      <c r="D141" s="165"/>
      <c r="E141" s="165"/>
      <c r="F141" s="165"/>
      <c r="G141" s="50"/>
      <c r="H141" s="166"/>
      <c r="I141" s="169"/>
      <c r="J141" s="170"/>
      <c r="K141" s="17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9.5" customHeight="1">
      <c r="A142" s="50"/>
      <c r="B142" s="50"/>
      <c r="C142" s="50"/>
      <c r="D142" s="165"/>
      <c r="E142" s="165"/>
      <c r="F142" s="165"/>
      <c r="G142" s="50"/>
      <c r="H142" s="166"/>
      <c r="I142" s="169"/>
      <c r="J142" s="170"/>
      <c r="K142" s="17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9.5" customHeight="1">
      <c r="A143" s="50"/>
      <c r="B143" s="50"/>
      <c r="C143" s="50"/>
      <c r="D143" s="165"/>
      <c r="E143" s="165"/>
      <c r="F143" s="165"/>
      <c r="G143" s="50"/>
      <c r="H143" s="166"/>
      <c r="I143" s="169"/>
      <c r="J143" s="170"/>
      <c r="K143" s="17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9.5" customHeight="1">
      <c r="A144" s="50"/>
      <c r="B144" s="50"/>
      <c r="C144" s="50"/>
      <c r="D144" s="165"/>
      <c r="E144" s="165"/>
      <c r="F144" s="165"/>
      <c r="G144" s="50"/>
      <c r="H144" s="166"/>
      <c r="I144" s="169"/>
      <c r="J144" s="170"/>
      <c r="K144" s="17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9.5" customHeight="1">
      <c r="A145" s="50"/>
      <c r="B145" s="50"/>
      <c r="C145" s="50"/>
      <c r="D145" s="165"/>
      <c r="E145" s="165"/>
      <c r="F145" s="165"/>
      <c r="G145" s="50"/>
      <c r="H145" s="166"/>
      <c r="I145" s="169"/>
      <c r="J145" s="170"/>
      <c r="K145" s="17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9.5" customHeight="1">
      <c r="A146" s="50"/>
      <c r="B146" s="50"/>
      <c r="C146" s="50"/>
      <c r="D146" s="165"/>
      <c r="E146" s="165"/>
      <c r="F146" s="165"/>
      <c r="G146" s="50"/>
      <c r="H146" s="166"/>
      <c r="I146" s="169"/>
      <c r="J146" s="170"/>
      <c r="K146" s="17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9.5" customHeight="1">
      <c r="A147" s="50"/>
      <c r="B147" s="50"/>
      <c r="C147" s="50"/>
      <c r="D147" s="165"/>
      <c r="E147" s="165"/>
      <c r="F147" s="165"/>
      <c r="G147" s="50"/>
      <c r="H147" s="166"/>
      <c r="I147" s="169"/>
      <c r="J147" s="170"/>
      <c r="K147" s="17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9.5" customHeight="1">
      <c r="A148" s="50"/>
      <c r="B148" s="50"/>
      <c r="C148" s="50"/>
      <c r="D148" s="165"/>
      <c r="E148" s="165"/>
      <c r="F148" s="165"/>
      <c r="G148" s="50"/>
      <c r="H148" s="166"/>
      <c r="I148" s="169"/>
      <c r="J148" s="170"/>
      <c r="K148" s="17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9.5" customHeight="1">
      <c r="A149" s="50"/>
      <c r="B149" s="50"/>
      <c r="C149" s="50"/>
      <c r="D149" s="165"/>
      <c r="E149" s="165"/>
      <c r="F149" s="165"/>
      <c r="G149" s="50"/>
      <c r="H149" s="166"/>
      <c r="I149" s="169"/>
      <c r="J149" s="170"/>
      <c r="K149" s="17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9.5" customHeight="1">
      <c r="A150" s="50"/>
      <c r="B150" s="50"/>
      <c r="C150" s="50"/>
      <c r="D150" s="165"/>
      <c r="E150" s="165"/>
      <c r="F150" s="165"/>
      <c r="G150" s="50"/>
      <c r="H150" s="166"/>
      <c r="I150" s="169"/>
      <c r="J150" s="170"/>
      <c r="K150" s="17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9.5" customHeight="1">
      <c r="A151" s="50"/>
      <c r="B151" s="50"/>
      <c r="C151" s="50"/>
      <c r="D151" s="165"/>
      <c r="E151" s="165"/>
      <c r="F151" s="165"/>
      <c r="G151" s="50"/>
      <c r="H151" s="166"/>
      <c r="I151" s="169"/>
      <c r="J151" s="170"/>
      <c r="K151" s="17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9.5" customHeight="1">
      <c r="A152" s="50"/>
      <c r="B152" s="50"/>
      <c r="C152" s="50"/>
      <c r="D152" s="165"/>
      <c r="E152" s="165"/>
      <c r="F152" s="165"/>
      <c r="G152" s="50"/>
      <c r="H152" s="166"/>
      <c r="I152" s="169"/>
      <c r="J152" s="170"/>
      <c r="K152" s="17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9.5" customHeight="1">
      <c r="A153" s="50"/>
      <c r="B153" s="50"/>
      <c r="C153" s="50"/>
      <c r="D153" s="165"/>
      <c r="E153" s="165"/>
      <c r="F153" s="165"/>
      <c r="G153" s="50"/>
      <c r="H153" s="166"/>
      <c r="I153" s="169"/>
      <c r="J153" s="170"/>
      <c r="K153" s="17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9.5" customHeight="1">
      <c r="A154" s="50"/>
      <c r="B154" s="50"/>
      <c r="C154" s="50"/>
      <c r="D154" s="165"/>
      <c r="E154" s="165"/>
      <c r="F154" s="165"/>
      <c r="G154" s="50"/>
      <c r="H154" s="166"/>
      <c r="I154" s="169"/>
      <c r="J154" s="170"/>
      <c r="K154" s="17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9.5" customHeight="1">
      <c r="A155" s="50"/>
      <c r="B155" s="50"/>
      <c r="C155" s="50"/>
      <c r="D155" s="165"/>
      <c r="E155" s="165"/>
      <c r="F155" s="165"/>
      <c r="G155" s="50"/>
      <c r="H155" s="166"/>
      <c r="I155" s="169"/>
      <c r="J155" s="170"/>
      <c r="K155" s="17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9.5" customHeight="1">
      <c r="A156" s="50"/>
      <c r="B156" s="50"/>
      <c r="C156" s="50"/>
      <c r="D156" s="165"/>
      <c r="E156" s="165"/>
      <c r="F156" s="165"/>
      <c r="G156" s="50"/>
      <c r="H156" s="166"/>
      <c r="I156" s="169"/>
      <c r="J156" s="170"/>
      <c r="K156" s="17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9.5" customHeight="1">
      <c r="A157" s="50"/>
      <c r="B157" s="50"/>
      <c r="C157" s="50"/>
      <c r="D157" s="165"/>
      <c r="E157" s="165"/>
      <c r="F157" s="165"/>
      <c r="G157" s="50"/>
      <c r="H157" s="166"/>
      <c r="I157" s="169"/>
      <c r="J157" s="170"/>
      <c r="K157" s="17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9.5" customHeight="1">
      <c r="A158" s="50"/>
      <c r="B158" s="50"/>
      <c r="C158" s="50"/>
      <c r="D158" s="165"/>
      <c r="E158" s="165"/>
      <c r="F158" s="165"/>
      <c r="G158" s="50"/>
      <c r="H158" s="166"/>
      <c r="I158" s="169"/>
      <c r="J158" s="170"/>
      <c r="K158" s="17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9.5" customHeight="1">
      <c r="A159" s="50"/>
      <c r="B159" s="50"/>
      <c r="C159" s="50"/>
      <c r="D159" s="165"/>
      <c r="E159" s="165"/>
      <c r="F159" s="165"/>
      <c r="G159" s="50"/>
      <c r="H159" s="166"/>
      <c r="I159" s="169"/>
      <c r="J159" s="170"/>
      <c r="K159" s="17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9.5" customHeight="1">
      <c r="A160" s="50"/>
      <c r="B160" s="50"/>
      <c r="C160" s="50"/>
      <c r="D160" s="165"/>
      <c r="E160" s="165"/>
      <c r="F160" s="165"/>
      <c r="G160" s="50"/>
      <c r="H160" s="166"/>
      <c r="I160" s="169"/>
      <c r="J160" s="170"/>
      <c r="K160" s="17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9.5" customHeight="1">
      <c r="A161" s="50"/>
      <c r="B161" s="50"/>
      <c r="C161" s="50"/>
      <c r="D161" s="165"/>
      <c r="E161" s="165"/>
      <c r="F161" s="165"/>
      <c r="G161" s="50"/>
      <c r="H161" s="166"/>
      <c r="I161" s="169"/>
      <c r="J161" s="170"/>
      <c r="K161" s="17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9.5" customHeight="1">
      <c r="A162" s="50"/>
      <c r="B162" s="50"/>
      <c r="C162" s="50"/>
      <c r="D162" s="165"/>
      <c r="E162" s="165"/>
      <c r="F162" s="165"/>
      <c r="G162" s="50"/>
      <c r="H162" s="166"/>
      <c r="I162" s="169"/>
      <c r="J162" s="170"/>
      <c r="K162" s="17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9.5" customHeight="1">
      <c r="A163" s="50"/>
      <c r="B163" s="50"/>
      <c r="C163" s="50"/>
      <c r="D163" s="165"/>
      <c r="E163" s="165"/>
      <c r="F163" s="165"/>
      <c r="G163" s="50"/>
      <c r="H163" s="166"/>
      <c r="I163" s="169"/>
      <c r="J163" s="170"/>
      <c r="K163" s="17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9.5" customHeight="1">
      <c r="A164" s="50"/>
      <c r="B164" s="50"/>
      <c r="C164" s="50"/>
      <c r="D164" s="165"/>
      <c r="E164" s="165"/>
      <c r="F164" s="165"/>
      <c r="G164" s="50"/>
      <c r="H164" s="166"/>
      <c r="I164" s="169"/>
      <c r="J164" s="170"/>
      <c r="K164" s="17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9.5" customHeight="1">
      <c r="A165" s="50"/>
      <c r="B165" s="50"/>
      <c r="C165" s="50"/>
      <c r="D165" s="165"/>
      <c r="E165" s="165"/>
      <c r="F165" s="165"/>
      <c r="G165" s="50"/>
      <c r="H165" s="166"/>
      <c r="I165" s="169"/>
      <c r="J165" s="170"/>
      <c r="K165" s="17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9.5" customHeight="1">
      <c r="A166" s="50"/>
      <c r="B166" s="50"/>
      <c r="C166" s="50"/>
      <c r="D166" s="165"/>
      <c r="E166" s="165"/>
      <c r="F166" s="165"/>
      <c r="G166" s="50"/>
      <c r="H166" s="166"/>
      <c r="I166" s="169"/>
      <c r="J166" s="170"/>
      <c r="K166" s="17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9.5" customHeight="1">
      <c r="A167" s="50"/>
      <c r="B167" s="50"/>
      <c r="C167" s="50"/>
      <c r="D167" s="165"/>
      <c r="E167" s="165"/>
      <c r="F167" s="165"/>
      <c r="G167" s="50"/>
      <c r="H167" s="166"/>
      <c r="I167" s="169"/>
      <c r="J167" s="170"/>
      <c r="K167" s="17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9.5" customHeight="1">
      <c r="A168" s="50"/>
      <c r="B168" s="50"/>
      <c r="C168" s="50"/>
      <c r="D168" s="165"/>
      <c r="E168" s="165"/>
      <c r="F168" s="165"/>
      <c r="G168" s="50"/>
      <c r="H168" s="166"/>
      <c r="I168" s="169"/>
      <c r="J168" s="170"/>
      <c r="K168" s="17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9.5" customHeight="1">
      <c r="A169" s="50"/>
      <c r="B169" s="50"/>
      <c r="C169" s="50"/>
      <c r="D169" s="165"/>
      <c r="E169" s="165"/>
      <c r="F169" s="165"/>
      <c r="G169" s="50"/>
      <c r="H169" s="166"/>
      <c r="I169" s="169"/>
      <c r="J169" s="170"/>
      <c r="K169" s="17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9.5" customHeight="1">
      <c r="A170" s="50"/>
      <c r="B170" s="50"/>
      <c r="C170" s="50"/>
      <c r="D170" s="165"/>
      <c r="E170" s="165"/>
      <c r="F170" s="165"/>
      <c r="G170" s="50"/>
      <c r="H170" s="166"/>
      <c r="I170" s="169"/>
      <c r="J170" s="170"/>
      <c r="K170" s="17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9.5" customHeight="1">
      <c r="A171" s="50"/>
      <c r="B171" s="50"/>
      <c r="C171" s="50"/>
      <c r="D171" s="165"/>
      <c r="E171" s="165"/>
      <c r="F171" s="165"/>
      <c r="G171" s="50"/>
      <c r="H171" s="166"/>
      <c r="I171" s="169"/>
      <c r="J171" s="170"/>
      <c r="K171" s="17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9.5" customHeight="1">
      <c r="A172" s="50"/>
      <c r="B172" s="50"/>
      <c r="C172" s="50"/>
      <c r="D172" s="165"/>
      <c r="E172" s="165"/>
      <c r="F172" s="165"/>
      <c r="G172" s="50"/>
      <c r="H172" s="166"/>
      <c r="I172" s="169"/>
      <c r="J172" s="170"/>
      <c r="K172" s="17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9.5" customHeight="1">
      <c r="A173" s="50"/>
      <c r="B173" s="50"/>
      <c r="C173" s="50"/>
      <c r="D173" s="165"/>
      <c r="E173" s="165"/>
      <c r="F173" s="165"/>
      <c r="G173" s="50"/>
      <c r="H173" s="166"/>
      <c r="I173" s="169"/>
      <c r="J173" s="170"/>
      <c r="K173" s="17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9.5" customHeight="1">
      <c r="A174" s="50"/>
      <c r="B174" s="50"/>
      <c r="C174" s="50"/>
      <c r="D174" s="165"/>
      <c r="E174" s="165"/>
      <c r="F174" s="165"/>
      <c r="G174" s="50"/>
      <c r="H174" s="166"/>
      <c r="I174" s="169"/>
      <c r="J174" s="170"/>
      <c r="K174" s="17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9.5" customHeight="1">
      <c r="A175" s="50"/>
      <c r="B175" s="50"/>
      <c r="C175" s="50"/>
      <c r="D175" s="165"/>
      <c r="E175" s="165"/>
      <c r="F175" s="165"/>
      <c r="G175" s="50"/>
      <c r="H175" s="166"/>
      <c r="I175" s="169"/>
      <c r="J175" s="170"/>
      <c r="K175" s="17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9.5" customHeight="1">
      <c r="A176" s="50"/>
      <c r="B176" s="50"/>
      <c r="C176" s="50"/>
      <c r="D176" s="165"/>
      <c r="E176" s="165"/>
      <c r="F176" s="165"/>
      <c r="G176" s="50"/>
      <c r="H176" s="166"/>
      <c r="I176" s="169"/>
      <c r="J176" s="170"/>
      <c r="K176" s="17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9.5" customHeight="1">
      <c r="A177" s="50"/>
      <c r="B177" s="50"/>
      <c r="C177" s="50"/>
      <c r="D177" s="165"/>
      <c r="E177" s="165"/>
      <c r="F177" s="165"/>
      <c r="G177" s="50"/>
      <c r="H177" s="166"/>
      <c r="I177" s="169"/>
      <c r="J177" s="170"/>
      <c r="K177" s="17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9.5" customHeight="1">
      <c r="A178" s="50"/>
      <c r="B178" s="50"/>
      <c r="C178" s="50"/>
      <c r="D178" s="165"/>
      <c r="E178" s="165"/>
      <c r="F178" s="165"/>
      <c r="G178" s="50"/>
      <c r="H178" s="166"/>
      <c r="I178" s="169"/>
      <c r="J178" s="170"/>
      <c r="K178" s="17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9.5" customHeight="1">
      <c r="A179" s="50"/>
      <c r="B179" s="50"/>
      <c r="C179" s="50"/>
      <c r="D179" s="165"/>
      <c r="E179" s="165"/>
      <c r="F179" s="165"/>
      <c r="G179" s="50"/>
      <c r="H179" s="166"/>
      <c r="I179" s="169"/>
      <c r="J179" s="170"/>
      <c r="K179" s="17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9.5" customHeight="1">
      <c r="A180" s="50"/>
      <c r="B180" s="50"/>
      <c r="C180" s="50"/>
      <c r="D180" s="165"/>
      <c r="E180" s="165"/>
      <c r="F180" s="165"/>
      <c r="G180" s="50"/>
      <c r="H180" s="166"/>
      <c r="I180" s="169"/>
      <c r="J180" s="170"/>
      <c r="K180" s="17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9.5" customHeight="1">
      <c r="A181" s="50"/>
      <c r="B181" s="50"/>
      <c r="C181" s="50"/>
      <c r="D181" s="165"/>
      <c r="E181" s="165"/>
      <c r="F181" s="165"/>
      <c r="G181" s="50"/>
      <c r="H181" s="166"/>
      <c r="I181" s="169"/>
      <c r="J181" s="170"/>
      <c r="K181" s="17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9.5" customHeight="1">
      <c r="A182" s="50"/>
      <c r="B182" s="50"/>
      <c r="C182" s="50"/>
      <c r="D182" s="165"/>
      <c r="E182" s="165"/>
      <c r="F182" s="165"/>
      <c r="G182" s="50"/>
      <c r="H182" s="166"/>
      <c r="I182" s="169"/>
      <c r="J182" s="170"/>
      <c r="K182" s="17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9.5" customHeight="1">
      <c r="A183" s="50"/>
      <c r="B183" s="50"/>
      <c r="C183" s="50"/>
      <c r="D183" s="165"/>
      <c r="E183" s="165"/>
      <c r="F183" s="165"/>
      <c r="G183" s="50"/>
      <c r="H183" s="166"/>
      <c r="I183" s="169"/>
      <c r="J183" s="170"/>
      <c r="K183" s="17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9.5" customHeight="1">
      <c r="A184" s="50"/>
      <c r="B184" s="50"/>
      <c r="C184" s="50"/>
      <c r="D184" s="165"/>
      <c r="E184" s="165"/>
      <c r="F184" s="165"/>
      <c r="G184" s="50"/>
      <c r="H184" s="166"/>
      <c r="I184" s="169"/>
      <c r="J184" s="170"/>
      <c r="K184" s="17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9.5" customHeight="1">
      <c r="A185" s="50"/>
      <c r="B185" s="50"/>
      <c r="C185" s="50"/>
      <c r="D185" s="165"/>
      <c r="E185" s="165"/>
      <c r="F185" s="165"/>
      <c r="G185" s="50"/>
      <c r="H185" s="166"/>
      <c r="I185" s="169"/>
      <c r="J185" s="170"/>
      <c r="K185" s="17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9.5" customHeight="1">
      <c r="A186" s="50"/>
      <c r="B186" s="50"/>
      <c r="C186" s="50"/>
      <c r="D186" s="165"/>
      <c r="E186" s="165"/>
      <c r="F186" s="165"/>
      <c r="G186" s="50"/>
      <c r="H186" s="166"/>
      <c r="I186" s="169"/>
      <c r="J186" s="170"/>
      <c r="K186" s="17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9.5" customHeight="1">
      <c r="A187" s="50"/>
      <c r="B187" s="50"/>
      <c r="C187" s="50"/>
      <c r="D187" s="165"/>
      <c r="E187" s="165"/>
      <c r="F187" s="165"/>
      <c r="G187" s="50"/>
      <c r="H187" s="166"/>
      <c r="I187" s="169"/>
      <c r="J187" s="170"/>
      <c r="K187" s="17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9.5" customHeight="1">
      <c r="A188" s="50"/>
      <c r="B188" s="50"/>
      <c r="C188" s="50"/>
      <c r="D188" s="165"/>
      <c r="E188" s="165"/>
      <c r="F188" s="165"/>
      <c r="G188" s="50"/>
      <c r="H188" s="166"/>
      <c r="I188" s="169"/>
      <c r="J188" s="170"/>
      <c r="K188" s="17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9.5" customHeight="1">
      <c r="A189" s="50"/>
      <c r="B189" s="50"/>
      <c r="C189" s="50"/>
      <c r="D189" s="165"/>
      <c r="E189" s="165"/>
      <c r="F189" s="165"/>
      <c r="G189" s="50"/>
      <c r="H189" s="166"/>
      <c r="I189" s="169"/>
      <c r="J189" s="170"/>
      <c r="K189" s="17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9.5" customHeight="1">
      <c r="A190" s="50"/>
      <c r="B190" s="50"/>
      <c r="C190" s="50"/>
      <c r="D190" s="165"/>
      <c r="E190" s="165"/>
      <c r="F190" s="165"/>
      <c r="G190" s="50"/>
      <c r="H190" s="166"/>
      <c r="I190" s="169"/>
      <c r="J190" s="170"/>
      <c r="K190" s="17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9.5" customHeight="1">
      <c r="A191" s="50"/>
      <c r="B191" s="50"/>
      <c r="C191" s="50"/>
      <c r="D191" s="165"/>
      <c r="E191" s="165"/>
      <c r="F191" s="165"/>
      <c r="G191" s="50"/>
      <c r="H191" s="166"/>
      <c r="I191" s="169"/>
      <c r="J191" s="170"/>
      <c r="K191" s="17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9.5" customHeight="1">
      <c r="A192" s="50"/>
      <c r="B192" s="50"/>
      <c r="C192" s="50"/>
      <c r="D192" s="165"/>
      <c r="E192" s="165"/>
      <c r="F192" s="165"/>
      <c r="G192" s="50"/>
      <c r="H192" s="166"/>
      <c r="I192" s="169"/>
      <c r="J192" s="170"/>
      <c r="K192" s="17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9.5" customHeight="1">
      <c r="A193" s="50"/>
      <c r="B193" s="50"/>
      <c r="C193" s="50"/>
      <c r="D193" s="165"/>
      <c r="E193" s="165"/>
      <c r="F193" s="165"/>
      <c r="G193" s="50"/>
      <c r="H193" s="166"/>
      <c r="I193" s="169"/>
      <c r="J193" s="170"/>
      <c r="K193" s="17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9.5" customHeight="1">
      <c r="A194" s="50"/>
      <c r="B194" s="50"/>
      <c r="C194" s="50"/>
      <c r="D194" s="165"/>
      <c r="E194" s="165"/>
      <c r="F194" s="165"/>
      <c r="G194" s="50"/>
      <c r="H194" s="166"/>
      <c r="I194" s="169"/>
      <c r="J194" s="170"/>
      <c r="K194" s="17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9.5" customHeight="1">
      <c r="A195" s="50"/>
      <c r="B195" s="50"/>
      <c r="C195" s="50"/>
      <c r="D195" s="165"/>
      <c r="E195" s="165"/>
      <c r="F195" s="165"/>
      <c r="G195" s="50"/>
      <c r="H195" s="166"/>
      <c r="I195" s="169"/>
      <c r="J195" s="170"/>
      <c r="K195" s="17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9.5" customHeight="1">
      <c r="A196" s="50"/>
      <c r="B196" s="50"/>
      <c r="C196" s="50"/>
      <c r="D196" s="165"/>
      <c r="E196" s="165"/>
      <c r="F196" s="165"/>
      <c r="G196" s="50"/>
      <c r="H196" s="166"/>
      <c r="I196" s="169"/>
      <c r="J196" s="170"/>
      <c r="K196" s="17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9.5" customHeight="1">
      <c r="A197" s="50"/>
      <c r="B197" s="50"/>
      <c r="C197" s="50"/>
      <c r="D197" s="165"/>
      <c r="E197" s="165"/>
      <c r="F197" s="165"/>
      <c r="G197" s="50"/>
      <c r="H197" s="166"/>
      <c r="I197" s="169"/>
      <c r="J197" s="170"/>
      <c r="K197" s="17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9.5" customHeight="1">
      <c r="A198" s="50"/>
      <c r="B198" s="50"/>
      <c r="C198" s="50"/>
      <c r="D198" s="165"/>
      <c r="E198" s="165"/>
      <c r="F198" s="165"/>
      <c r="G198" s="50"/>
      <c r="H198" s="166"/>
      <c r="I198" s="169"/>
      <c r="J198" s="170"/>
      <c r="K198" s="17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9.5" customHeight="1">
      <c r="A199" s="50"/>
      <c r="B199" s="50"/>
      <c r="C199" s="50"/>
      <c r="D199" s="165"/>
      <c r="E199" s="165"/>
      <c r="F199" s="165"/>
      <c r="G199" s="50"/>
      <c r="H199" s="166"/>
      <c r="I199" s="169"/>
      <c r="J199" s="170"/>
      <c r="K199" s="17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9.5" customHeight="1">
      <c r="A200" s="50"/>
      <c r="B200" s="50"/>
      <c r="C200" s="50"/>
      <c r="D200" s="165"/>
      <c r="E200" s="165"/>
      <c r="F200" s="165"/>
      <c r="G200" s="50"/>
      <c r="H200" s="166"/>
      <c r="I200" s="169"/>
      <c r="J200" s="170"/>
      <c r="K200" s="17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9.5" customHeight="1">
      <c r="A201" s="50"/>
      <c r="B201" s="50"/>
      <c r="C201" s="50"/>
      <c r="D201" s="165"/>
      <c r="E201" s="165"/>
      <c r="F201" s="165"/>
      <c r="G201" s="50"/>
      <c r="H201" s="166"/>
      <c r="I201" s="169"/>
      <c r="J201" s="170"/>
      <c r="K201" s="17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9.5" customHeight="1">
      <c r="A202" s="50"/>
      <c r="B202" s="50"/>
      <c r="C202" s="50"/>
      <c r="D202" s="165"/>
      <c r="E202" s="165"/>
      <c r="F202" s="165"/>
      <c r="G202" s="50"/>
      <c r="H202" s="166"/>
      <c r="I202" s="169"/>
      <c r="J202" s="170"/>
      <c r="K202" s="17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9.5" customHeight="1">
      <c r="A203" s="50"/>
      <c r="B203" s="50"/>
      <c r="C203" s="50"/>
      <c r="D203" s="165"/>
      <c r="E203" s="165"/>
      <c r="F203" s="165"/>
      <c r="G203" s="50"/>
      <c r="H203" s="166"/>
      <c r="I203" s="169"/>
      <c r="J203" s="170"/>
      <c r="K203" s="17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9.5" customHeight="1">
      <c r="A204" s="50"/>
      <c r="B204" s="50"/>
      <c r="C204" s="50"/>
      <c r="D204" s="165"/>
      <c r="E204" s="165"/>
      <c r="F204" s="165"/>
      <c r="G204" s="50"/>
      <c r="H204" s="166"/>
      <c r="I204" s="169"/>
      <c r="J204" s="170"/>
      <c r="K204" s="17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9.5" customHeight="1">
      <c r="A205" s="50"/>
      <c r="B205" s="50"/>
      <c r="C205" s="50"/>
      <c r="D205" s="165"/>
      <c r="E205" s="165"/>
      <c r="F205" s="165"/>
      <c r="G205" s="50"/>
      <c r="H205" s="166"/>
      <c r="I205" s="169"/>
      <c r="J205" s="170"/>
      <c r="K205" s="17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9.5" customHeight="1">
      <c r="A206" s="50"/>
      <c r="B206" s="50"/>
      <c r="C206" s="50"/>
      <c r="D206" s="165"/>
      <c r="E206" s="165"/>
      <c r="F206" s="165"/>
      <c r="G206" s="50"/>
      <c r="H206" s="166"/>
      <c r="I206" s="169"/>
      <c r="J206" s="170"/>
      <c r="K206" s="17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9.5" customHeight="1">
      <c r="A207" s="50"/>
      <c r="B207" s="50"/>
      <c r="C207" s="50"/>
      <c r="D207" s="165"/>
      <c r="E207" s="165"/>
      <c r="F207" s="165"/>
      <c r="G207" s="50"/>
      <c r="H207" s="166"/>
      <c r="I207" s="169"/>
      <c r="J207" s="170"/>
      <c r="K207" s="17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9.5" customHeight="1">
      <c r="A208" s="50"/>
      <c r="B208" s="50"/>
      <c r="C208" s="50"/>
      <c r="D208" s="165"/>
      <c r="E208" s="165"/>
      <c r="F208" s="165"/>
      <c r="G208" s="50"/>
      <c r="H208" s="166"/>
      <c r="I208" s="169"/>
      <c r="J208" s="170"/>
      <c r="K208" s="17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9.5" customHeight="1">
      <c r="A209" s="50"/>
      <c r="B209" s="50"/>
      <c r="C209" s="50"/>
      <c r="D209" s="165"/>
      <c r="E209" s="165"/>
      <c r="F209" s="165"/>
      <c r="G209" s="50"/>
      <c r="H209" s="166"/>
      <c r="I209" s="169"/>
      <c r="J209" s="170"/>
      <c r="K209" s="17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9.5" customHeight="1">
      <c r="A210" s="50"/>
      <c r="B210" s="50"/>
      <c r="C210" s="50"/>
      <c r="D210" s="165"/>
      <c r="E210" s="165"/>
      <c r="F210" s="165"/>
      <c r="G210" s="50"/>
      <c r="H210" s="166"/>
      <c r="I210" s="169"/>
      <c r="J210" s="170"/>
      <c r="K210" s="17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9.5" customHeight="1">
      <c r="A211" s="50"/>
      <c r="B211" s="50"/>
      <c r="C211" s="50"/>
      <c r="D211" s="165"/>
      <c r="E211" s="165"/>
      <c r="F211" s="165"/>
      <c r="G211" s="50"/>
      <c r="H211" s="166"/>
      <c r="I211" s="169"/>
      <c r="J211" s="170"/>
      <c r="K211" s="17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9.5" customHeight="1">
      <c r="A212" s="50"/>
      <c r="B212" s="50"/>
      <c r="C212" s="50"/>
      <c r="D212" s="165"/>
      <c r="E212" s="165"/>
      <c r="F212" s="165"/>
      <c r="G212" s="50"/>
      <c r="H212" s="166"/>
      <c r="I212" s="169"/>
      <c r="J212" s="170"/>
      <c r="K212" s="17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9.5" customHeight="1">
      <c r="A213" s="50"/>
      <c r="B213" s="50"/>
      <c r="C213" s="50"/>
      <c r="D213" s="165"/>
      <c r="E213" s="165"/>
      <c r="F213" s="165"/>
      <c r="G213" s="50"/>
      <c r="H213" s="166"/>
      <c r="I213" s="169"/>
      <c r="J213" s="170"/>
      <c r="K213" s="17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9.5" customHeight="1">
      <c r="A214" s="50"/>
      <c r="B214" s="50"/>
      <c r="C214" s="50"/>
      <c r="D214" s="165"/>
      <c r="E214" s="165"/>
      <c r="F214" s="165"/>
      <c r="G214" s="50"/>
      <c r="H214" s="166"/>
      <c r="I214" s="169"/>
      <c r="J214" s="170"/>
      <c r="K214" s="17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9.5" customHeight="1">
      <c r="A215" s="50"/>
      <c r="B215" s="50"/>
      <c r="C215" s="50"/>
      <c r="D215" s="165"/>
      <c r="E215" s="165"/>
      <c r="F215" s="165"/>
      <c r="G215" s="50"/>
      <c r="H215" s="166"/>
      <c r="I215" s="169"/>
      <c r="J215" s="170"/>
      <c r="K215" s="17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9.5" customHeight="1">
      <c r="A216" s="50"/>
      <c r="B216" s="50"/>
      <c r="C216" s="50"/>
      <c r="D216" s="165"/>
      <c r="E216" s="165"/>
      <c r="F216" s="165"/>
      <c r="G216" s="50"/>
      <c r="H216" s="166"/>
      <c r="I216" s="169"/>
      <c r="J216" s="170"/>
      <c r="K216" s="17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9.5" customHeight="1">
      <c r="A217" s="50"/>
      <c r="B217" s="50"/>
      <c r="C217" s="50"/>
      <c r="D217" s="165"/>
      <c r="E217" s="165"/>
      <c r="F217" s="165"/>
      <c r="G217" s="50"/>
      <c r="H217" s="166"/>
      <c r="I217" s="169"/>
      <c r="J217" s="170"/>
      <c r="K217" s="17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9.5" customHeight="1">
      <c r="A218" s="50"/>
      <c r="B218" s="50"/>
      <c r="C218" s="50"/>
      <c r="D218" s="165"/>
      <c r="E218" s="165"/>
      <c r="F218" s="165"/>
      <c r="G218" s="50"/>
      <c r="H218" s="166"/>
      <c r="I218" s="169"/>
      <c r="J218" s="170"/>
      <c r="K218" s="17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9.5" customHeight="1">
      <c r="A219" s="50"/>
      <c r="B219" s="50"/>
      <c r="C219" s="50"/>
      <c r="D219" s="165"/>
      <c r="E219" s="165"/>
      <c r="F219" s="165"/>
      <c r="G219" s="50"/>
      <c r="H219" s="166"/>
      <c r="I219" s="169"/>
      <c r="J219" s="170"/>
      <c r="K219" s="17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9.5" customHeight="1">
      <c r="A220" s="50"/>
      <c r="B220" s="50"/>
      <c r="C220" s="50"/>
      <c r="D220" s="165"/>
      <c r="E220" s="165"/>
      <c r="F220" s="165"/>
      <c r="G220" s="50"/>
      <c r="H220" s="166"/>
      <c r="I220" s="169"/>
      <c r="J220" s="170"/>
      <c r="K220" s="17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9.5" customHeight="1">
      <c r="A221" s="50"/>
      <c r="B221" s="50"/>
      <c r="C221" s="50"/>
      <c r="D221" s="165"/>
      <c r="E221" s="165"/>
      <c r="F221" s="165"/>
      <c r="G221" s="50"/>
      <c r="H221" s="166"/>
      <c r="I221" s="169"/>
      <c r="J221" s="170"/>
      <c r="K221" s="17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9.5" customHeight="1">
      <c r="A222" s="50"/>
      <c r="B222" s="50"/>
      <c r="C222" s="50"/>
      <c r="D222" s="165"/>
      <c r="E222" s="165"/>
      <c r="F222" s="165"/>
      <c r="G222" s="50"/>
      <c r="H222" s="166"/>
      <c r="I222" s="169"/>
      <c r="J222" s="170"/>
      <c r="K222" s="17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9.5" customHeight="1">
      <c r="A223" s="50"/>
      <c r="B223" s="50"/>
      <c r="C223" s="50"/>
      <c r="D223" s="165"/>
      <c r="E223" s="165"/>
      <c r="F223" s="165"/>
      <c r="G223" s="50"/>
      <c r="H223" s="166"/>
      <c r="I223" s="169"/>
      <c r="J223" s="170"/>
      <c r="K223" s="17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9.5" customHeight="1">
      <c r="A224" s="50"/>
      <c r="B224" s="50"/>
      <c r="C224" s="50"/>
      <c r="D224" s="165"/>
      <c r="E224" s="165"/>
      <c r="F224" s="165"/>
      <c r="G224" s="50"/>
      <c r="H224" s="166"/>
      <c r="I224" s="169"/>
      <c r="J224" s="170"/>
      <c r="K224" s="17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9.5" customHeight="1">
      <c r="A225" s="50"/>
      <c r="B225" s="50"/>
      <c r="C225" s="50"/>
      <c r="D225" s="165"/>
      <c r="E225" s="165"/>
      <c r="F225" s="165"/>
      <c r="G225" s="50"/>
      <c r="H225" s="166"/>
      <c r="I225" s="169"/>
      <c r="J225" s="170"/>
      <c r="K225" s="17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9.5" customHeight="1">
      <c r="A226" s="50"/>
      <c r="B226" s="50"/>
      <c r="C226" s="50"/>
      <c r="D226" s="165"/>
      <c r="E226" s="165"/>
      <c r="F226" s="165"/>
      <c r="G226" s="50"/>
      <c r="H226" s="166"/>
      <c r="I226" s="169"/>
      <c r="J226" s="170"/>
      <c r="K226" s="17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1">
    <mergeCell ref="K2:K3"/>
    <mergeCell ref="L2:L3"/>
    <mergeCell ref="A26:F26"/>
    <mergeCell ref="A1:M1"/>
    <mergeCell ref="A2:A3"/>
    <mergeCell ref="B2:B3"/>
    <mergeCell ref="D2:F2"/>
    <mergeCell ref="G2:G3"/>
    <mergeCell ref="I2:I3"/>
    <mergeCell ref="J2:J3"/>
    <mergeCell ref="M2:M3"/>
  </mergeCells>
  <conditionalFormatting sqref="I2:L2">
    <cfRule type="cellIs" dxfId="4" priority="1" operator="equal">
      <formula>"สั่งซื้อเพิ่ม"</formula>
    </cfRule>
  </conditionalFormatting>
  <pageMargins left="0" right="0" top="0.19685039370078741" bottom="0" header="0" footer="0"/>
  <pageSetup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CC00"/>
  </sheetPr>
  <dimension ref="A1:Z987"/>
  <sheetViews>
    <sheetView topLeftCell="A14" zoomScale="70" zoomScaleNormal="70" workbookViewId="0">
      <selection activeCell="G32" sqref="G32"/>
    </sheetView>
  </sheetViews>
  <sheetFormatPr defaultColWidth="14.453125" defaultRowHeight="15" customHeight="1"/>
  <cols>
    <col min="1" max="1" width="8.6328125" customWidth="1"/>
    <col min="2" max="2" width="23.6328125" customWidth="1"/>
    <col min="3" max="3" width="11.453125" customWidth="1"/>
    <col min="4" max="4" width="10.08984375" customWidth="1"/>
    <col min="5" max="5" width="10.453125" customWidth="1"/>
    <col min="6" max="6" width="10.08984375" customWidth="1"/>
    <col min="7" max="7" width="19.36328125" customWidth="1"/>
    <col min="12" max="12" width="18.453125" customWidth="1"/>
    <col min="13" max="13" width="24.453125" customWidth="1"/>
    <col min="14" max="26" width="8.6328125" customWidth="1"/>
  </cols>
  <sheetData>
    <row r="1" spans="1:26" ht="39" customHeight="1">
      <c r="A1" s="488" t="s">
        <v>43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spans="1:26" ht="31.5" customHeight="1">
      <c r="A2" s="475" t="s">
        <v>4</v>
      </c>
      <c r="B2" s="475" t="s">
        <v>5</v>
      </c>
      <c r="C2" s="28" t="s">
        <v>6</v>
      </c>
      <c r="D2" s="476" t="s">
        <v>7</v>
      </c>
      <c r="E2" s="466"/>
      <c r="F2" s="467"/>
      <c r="G2" s="485" t="s">
        <v>8</v>
      </c>
      <c r="H2" s="75" t="s">
        <v>9</v>
      </c>
      <c r="I2" s="475" t="s">
        <v>10</v>
      </c>
      <c r="J2" s="475" t="s">
        <v>11</v>
      </c>
      <c r="K2" s="475" t="s">
        <v>12</v>
      </c>
      <c r="L2" s="475" t="s">
        <v>13</v>
      </c>
      <c r="M2" s="483" t="s">
        <v>14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31.5" customHeight="1">
      <c r="A3" s="469"/>
      <c r="B3" s="469"/>
      <c r="C3" s="31" t="s">
        <v>0</v>
      </c>
      <c r="D3" s="31" t="s">
        <v>0</v>
      </c>
      <c r="E3" s="31" t="s">
        <v>1</v>
      </c>
      <c r="F3" s="31" t="s">
        <v>2</v>
      </c>
      <c r="G3" s="469"/>
      <c r="H3" s="76" t="s">
        <v>44</v>
      </c>
      <c r="I3" s="469"/>
      <c r="J3" s="469"/>
      <c r="K3" s="469"/>
      <c r="L3" s="469"/>
      <c r="M3" s="469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31.5" customHeight="1">
      <c r="A4" s="34"/>
      <c r="B4" s="204"/>
      <c r="C4" s="154"/>
      <c r="D4" s="107">
        <v>15.8</v>
      </c>
      <c r="E4" s="107">
        <v>85.75</v>
      </c>
      <c r="F4" s="107">
        <v>520.70000000000005</v>
      </c>
      <c r="G4" s="35">
        <v>660</v>
      </c>
      <c r="H4" s="173"/>
      <c r="I4" s="174">
        <f t="shared" ref="I4:I36" si="0">D4*E4*F4*G4/1000000000</f>
        <v>0.46561046070000012</v>
      </c>
      <c r="J4" s="174">
        <f t="shared" ref="J4:J36" si="1">I4*35.315</f>
        <v>16.443033419620502</v>
      </c>
      <c r="K4" s="47">
        <v>28000</v>
      </c>
      <c r="L4" s="81">
        <f t="shared" ref="L4:L36" si="2">I4*K4</f>
        <v>13037.092899600004</v>
      </c>
      <c r="M4" s="175" t="s">
        <v>45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31.5" customHeight="1">
      <c r="A5" s="34"/>
      <c r="B5" s="204"/>
      <c r="D5" s="107">
        <v>15.8</v>
      </c>
      <c r="E5" s="107">
        <v>161.9</v>
      </c>
      <c r="F5" s="107">
        <v>444.5</v>
      </c>
      <c r="G5" s="35">
        <v>47</v>
      </c>
      <c r="H5" s="173"/>
      <c r="I5" s="174">
        <f t="shared" si="0"/>
        <v>5.3440874829999999E-2</v>
      </c>
      <c r="J5" s="174">
        <f t="shared" si="1"/>
        <v>1.8872644946214499</v>
      </c>
      <c r="K5" s="47">
        <v>28000</v>
      </c>
      <c r="L5" s="81">
        <f t="shared" si="2"/>
        <v>1496.34449524</v>
      </c>
      <c r="M5" s="175" t="s">
        <v>45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31.5" customHeight="1">
      <c r="A6" s="34"/>
      <c r="B6" s="204"/>
      <c r="C6" s="154"/>
      <c r="D6" s="107">
        <v>15.8</v>
      </c>
      <c r="E6" s="107">
        <v>161.9</v>
      </c>
      <c r="F6" s="107">
        <v>981</v>
      </c>
      <c r="G6" s="35">
        <v>115</v>
      </c>
      <c r="H6" s="173"/>
      <c r="I6" s="174">
        <f t="shared" si="0"/>
        <v>0.28858302629999999</v>
      </c>
      <c r="J6" s="174">
        <f t="shared" si="1"/>
        <v>10.191309573784499</v>
      </c>
      <c r="K6" s="47">
        <v>28000</v>
      </c>
      <c r="L6" s="81">
        <f t="shared" si="2"/>
        <v>8080.3247363999999</v>
      </c>
      <c r="M6" s="175" t="s">
        <v>45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31.5" customHeight="1">
      <c r="A7" s="34"/>
      <c r="B7" s="204"/>
      <c r="C7" s="154"/>
      <c r="D7" s="107">
        <v>15.8</v>
      </c>
      <c r="E7" s="107">
        <v>161.9</v>
      </c>
      <c r="F7" s="107">
        <v>447.6</v>
      </c>
      <c r="G7" s="35">
        <v>60</v>
      </c>
      <c r="H7" s="173"/>
      <c r="I7" s="174">
        <f t="shared" si="0"/>
        <v>6.8698185120000005E-2</v>
      </c>
      <c r="J7" s="174">
        <f t="shared" si="1"/>
        <v>2.4260764075128001</v>
      </c>
      <c r="K7" s="47">
        <v>28000</v>
      </c>
      <c r="L7" s="81">
        <f t="shared" si="2"/>
        <v>1923.5491833600001</v>
      </c>
      <c r="M7" s="175" t="s">
        <v>45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31.5" customHeight="1">
      <c r="A8" s="34"/>
      <c r="B8" s="204"/>
      <c r="C8" s="154"/>
      <c r="D8" s="107">
        <v>15.8</v>
      </c>
      <c r="E8" s="107">
        <v>85.75</v>
      </c>
      <c r="F8" s="209">
        <v>520.70000000000005</v>
      </c>
      <c r="G8" s="291">
        <v>30</v>
      </c>
      <c r="H8" s="173"/>
      <c r="I8" s="174">
        <f t="shared" si="0"/>
        <v>2.1164111850000004E-2</v>
      </c>
      <c r="J8" s="174">
        <f t="shared" si="1"/>
        <v>0.74741060998275011</v>
      </c>
      <c r="K8" s="47">
        <v>28000</v>
      </c>
      <c r="L8" s="81">
        <f t="shared" si="2"/>
        <v>592.5951318000001</v>
      </c>
      <c r="M8" s="175" t="s">
        <v>45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31.5" customHeight="1">
      <c r="A9" s="34"/>
      <c r="B9" s="204"/>
      <c r="C9" s="154"/>
      <c r="D9" s="107">
        <v>15.8</v>
      </c>
      <c r="E9" s="107">
        <v>85.75</v>
      </c>
      <c r="F9" s="107">
        <v>371</v>
      </c>
      <c r="G9" s="35">
        <v>173</v>
      </c>
      <c r="H9" s="173"/>
      <c r="I9" s="174">
        <f t="shared" si="0"/>
        <v>8.6958337550000014E-2</v>
      </c>
      <c r="J9" s="174">
        <f t="shared" si="1"/>
        <v>3.0709336905782503</v>
      </c>
      <c r="K9" s="47">
        <v>28000</v>
      </c>
      <c r="L9" s="81">
        <f t="shared" si="2"/>
        <v>2434.8334514000003</v>
      </c>
      <c r="M9" s="175" t="s">
        <v>45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31.5" customHeight="1">
      <c r="A10" s="34"/>
      <c r="B10" s="204"/>
      <c r="C10" s="154"/>
      <c r="D10" s="107">
        <v>15.8</v>
      </c>
      <c r="E10" s="107">
        <v>85.75</v>
      </c>
      <c r="F10" s="107">
        <v>828.7</v>
      </c>
      <c r="G10" s="35">
        <v>27</v>
      </c>
      <c r="H10" s="173"/>
      <c r="I10" s="174">
        <f t="shared" si="0"/>
        <v>3.0314633265000002E-2</v>
      </c>
      <c r="J10" s="174">
        <f t="shared" si="1"/>
        <v>1.0705612737534751</v>
      </c>
      <c r="K10" s="47">
        <v>28000</v>
      </c>
      <c r="L10" s="81">
        <f t="shared" si="2"/>
        <v>848.80973142000005</v>
      </c>
      <c r="M10" s="175" t="s">
        <v>45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31.5" customHeight="1">
      <c r="A11" s="34"/>
      <c r="B11" s="204"/>
      <c r="C11" s="154"/>
      <c r="D11" s="107">
        <v>15.8</v>
      </c>
      <c r="E11" s="107">
        <v>85.75</v>
      </c>
      <c r="F11" s="107">
        <v>730.3</v>
      </c>
      <c r="G11" s="35">
        <v>83</v>
      </c>
      <c r="H11" s="173"/>
      <c r="I11" s="174">
        <f t="shared" si="0"/>
        <v>8.2124097265000001E-2</v>
      </c>
      <c r="J11" s="174">
        <f t="shared" si="1"/>
        <v>2.9002124949134749</v>
      </c>
      <c r="K11" s="47">
        <v>28000</v>
      </c>
      <c r="L11" s="81">
        <f t="shared" si="2"/>
        <v>2299.4747234199999</v>
      </c>
      <c r="M11" s="175" t="s">
        <v>45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31.5" customHeight="1">
      <c r="A12" s="34"/>
      <c r="B12" s="204"/>
      <c r="C12" s="154"/>
      <c r="D12" s="107">
        <v>15.8</v>
      </c>
      <c r="E12" s="107">
        <v>85.75</v>
      </c>
      <c r="F12" s="107">
        <v>981.2</v>
      </c>
      <c r="G12" s="35">
        <v>146</v>
      </c>
      <c r="H12" s="173"/>
      <c r="I12" s="174">
        <f t="shared" si="0"/>
        <v>0.19408930772000002</v>
      </c>
      <c r="J12" s="174">
        <f t="shared" si="1"/>
        <v>6.8542639021317999</v>
      </c>
      <c r="K12" s="47">
        <v>28000</v>
      </c>
      <c r="L12" s="81">
        <f t="shared" si="2"/>
        <v>5434.5006161600004</v>
      </c>
      <c r="M12" s="175" t="s">
        <v>45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31.5" customHeight="1">
      <c r="A13" s="34"/>
      <c r="B13" s="204"/>
      <c r="C13" s="154"/>
      <c r="D13" s="107">
        <v>15.8</v>
      </c>
      <c r="E13" s="107">
        <v>85.75</v>
      </c>
      <c r="F13" s="107">
        <v>444.5</v>
      </c>
      <c r="G13" s="35">
        <v>66</v>
      </c>
      <c r="H13" s="173"/>
      <c r="I13" s="174">
        <f t="shared" si="0"/>
        <v>3.9747234450000002E-2</v>
      </c>
      <c r="J13" s="174">
        <f t="shared" si="1"/>
        <v>1.4036735846017501</v>
      </c>
      <c r="K13" s="47">
        <v>28000</v>
      </c>
      <c r="L13" s="81">
        <f t="shared" si="2"/>
        <v>1112.9225646</v>
      </c>
      <c r="M13" s="175" t="s">
        <v>45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31.5" customHeight="1">
      <c r="A14" s="34"/>
      <c r="B14" s="204"/>
      <c r="C14" s="154"/>
      <c r="D14" s="107">
        <v>16</v>
      </c>
      <c r="E14" s="107">
        <v>86</v>
      </c>
      <c r="F14" s="107">
        <v>491</v>
      </c>
      <c r="G14" s="35">
        <v>618</v>
      </c>
      <c r="H14" s="173"/>
      <c r="I14" s="174">
        <f t="shared" si="0"/>
        <v>0.41753068799999998</v>
      </c>
      <c r="J14" s="174">
        <f t="shared" si="1"/>
        <v>14.745096246719999</v>
      </c>
      <c r="K14" s="47">
        <v>28000</v>
      </c>
      <c r="L14" s="81">
        <f t="shared" si="2"/>
        <v>11690.859263999999</v>
      </c>
      <c r="M14" s="175" t="s">
        <v>45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31.5" customHeight="1">
      <c r="A15" s="34"/>
      <c r="B15" s="204"/>
      <c r="C15" s="6"/>
      <c r="D15" s="107">
        <v>16</v>
      </c>
      <c r="E15" s="6">
        <v>85.7</v>
      </c>
      <c r="F15" s="6">
        <v>286.7</v>
      </c>
      <c r="G15" s="172">
        <v>17</v>
      </c>
      <c r="H15" s="173"/>
      <c r="I15" s="174">
        <f t="shared" si="0"/>
        <v>6.6830916799999994E-3</v>
      </c>
      <c r="J15" s="174">
        <f t="shared" si="1"/>
        <v>0.23601338267919997</v>
      </c>
      <c r="K15" s="47">
        <v>28000</v>
      </c>
      <c r="L15" s="81">
        <f t="shared" si="2"/>
        <v>187.12656703999997</v>
      </c>
      <c r="M15" s="175" t="s">
        <v>45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31.5" customHeight="1">
      <c r="A16" s="34"/>
      <c r="B16" s="204"/>
      <c r="C16" s="6"/>
      <c r="D16" s="107">
        <v>16</v>
      </c>
      <c r="E16" s="6">
        <v>85.7</v>
      </c>
      <c r="F16" s="6">
        <v>362.99</v>
      </c>
      <c r="G16" s="172">
        <v>34</v>
      </c>
      <c r="H16" s="173"/>
      <c r="I16" s="174">
        <f t="shared" si="0"/>
        <v>1.6922884192000002E-2</v>
      </c>
      <c r="J16" s="174">
        <f t="shared" si="1"/>
        <v>0.59763165524048001</v>
      </c>
      <c r="K16" s="47">
        <v>28000</v>
      </c>
      <c r="L16" s="81">
        <f t="shared" si="2"/>
        <v>473.84075737600006</v>
      </c>
      <c r="M16" s="175" t="s">
        <v>45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31.5" customHeight="1">
      <c r="A17" s="34"/>
      <c r="B17" s="204"/>
      <c r="C17" s="6"/>
      <c r="D17" s="107">
        <v>16</v>
      </c>
      <c r="E17" s="6">
        <v>233.38</v>
      </c>
      <c r="F17" s="6">
        <v>516.26</v>
      </c>
      <c r="G17" s="172">
        <v>47</v>
      </c>
      <c r="H17" s="173"/>
      <c r="I17" s="174">
        <f t="shared" si="0"/>
        <v>9.0604538617599997E-2</v>
      </c>
      <c r="J17" s="174">
        <f t="shared" si="1"/>
        <v>3.1996992812805436</v>
      </c>
      <c r="K17" s="47">
        <v>28000</v>
      </c>
      <c r="L17" s="81">
        <f t="shared" si="2"/>
        <v>2536.9270812927998</v>
      </c>
      <c r="M17" s="175" t="s">
        <v>45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31.5" customHeight="1">
      <c r="A18" s="34"/>
      <c r="B18" s="204"/>
      <c r="C18" s="6"/>
      <c r="D18" s="107">
        <v>15.8</v>
      </c>
      <c r="E18" s="6">
        <v>204.8</v>
      </c>
      <c r="F18" s="6">
        <v>363.5</v>
      </c>
      <c r="G18" s="172">
        <v>60</v>
      </c>
      <c r="H18" s="173"/>
      <c r="I18" s="174">
        <f t="shared" si="0"/>
        <v>7.057367040000001E-2</v>
      </c>
      <c r="J18" s="174">
        <f t="shared" si="1"/>
        <v>2.4923091701760001</v>
      </c>
      <c r="K18" s="47">
        <v>28000</v>
      </c>
      <c r="L18" s="81">
        <f t="shared" si="2"/>
        <v>1976.0627712000003</v>
      </c>
      <c r="M18" s="175" t="s">
        <v>45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31.5" customHeight="1">
      <c r="A19" s="34"/>
      <c r="B19" s="204"/>
      <c r="C19" s="6"/>
      <c r="D19" s="107">
        <v>15.8</v>
      </c>
      <c r="E19" s="6">
        <v>85.7</v>
      </c>
      <c r="F19" s="6">
        <v>376.2</v>
      </c>
      <c r="G19" s="172">
        <v>205</v>
      </c>
      <c r="H19" s="173"/>
      <c r="I19" s="174">
        <f t="shared" si="0"/>
        <v>0.10442646126000001</v>
      </c>
      <c r="J19" s="174">
        <f t="shared" si="1"/>
        <v>3.6878204793968998</v>
      </c>
      <c r="K19" s="47">
        <v>28000</v>
      </c>
      <c r="L19" s="81">
        <f t="shared" si="2"/>
        <v>2923.9409152800004</v>
      </c>
      <c r="M19" s="175" t="s">
        <v>45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31.5" customHeight="1">
      <c r="A20" s="34"/>
      <c r="B20" s="204"/>
      <c r="C20" s="6"/>
      <c r="D20" s="107">
        <v>15.8</v>
      </c>
      <c r="E20" s="6">
        <v>85.7</v>
      </c>
      <c r="F20" s="6">
        <v>566.70000000000005</v>
      </c>
      <c r="G20" s="172">
        <v>17</v>
      </c>
      <c r="H20" s="173"/>
      <c r="I20" s="174">
        <f t="shared" si="0"/>
        <v>1.3044878634000003E-2</v>
      </c>
      <c r="J20" s="174">
        <f t="shared" si="1"/>
        <v>0.46067988895971007</v>
      </c>
      <c r="K20" s="47">
        <v>28000</v>
      </c>
      <c r="L20" s="81">
        <f t="shared" si="2"/>
        <v>365.25660175200011</v>
      </c>
      <c r="M20" s="175" t="s">
        <v>45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31.5" customHeight="1">
      <c r="A21" s="34"/>
      <c r="B21" s="204"/>
      <c r="C21" s="6"/>
      <c r="D21" s="107">
        <v>15.8</v>
      </c>
      <c r="E21" s="6">
        <v>85.7</v>
      </c>
      <c r="F21" s="6">
        <v>477.8</v>
      </c>
      <c r="G21" s="172">
        <v>211</v>
      </c>
      <c r="H21" s="173"/>
      <c r="I21" s="174">
        <f t="shared" si="0"/>
        <v>0.13651064214800004</v>
      </c>
      <c r="J21" s="174">
        <f t="shared" si="1"/>
        <v>4.8208733274566216</v>
      </c>
      <c r="K21" s="47">
        <v>28000</v>
      </c>
      <c r="L21" s="81">
        <f t="shared" si="2"/>
        <v>3822.297980144001</v>
      </c>
      <c r="M21" s="175" t="s">
        <v>45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31.5" customHeight="1">
      <c r="A22" s="34"/>
      <c r="B22" s="204"/>
      <c r="C22" s="6"/>
      <c r="D22" s="107">
        <v>15.8</v>
      </c>
      <c r="E22" s="6">
        <v>84.1</v>
      </c>
      <c r="F22" s="6">
        <v>444.5</v>
      </c>
      <c r="G22" s="172">
        <v>590</v>
      </c>
      <c r="H22" s="173"/>
      <c r="I22" s="174">
        <f t="shared" si="0"/>
        <v>0.34847919889999995</v>
      </c>
      <c r="J22" s="174">
        <f t="shared" si="1"/>
        <v>12.306542909153498</v>
      </c>
      <c r="K22" s="47">
        <v>28000</v>
      </c>
      <c r="L22" s="81">
        <f t="shared" si="2"/>
        <v>9757.417569199999</v>
      </c>
      <c r="M22" s="175" t="s">
        <v>45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31.5" customHeight="1">
      <c r="A23" s="34"/>
      <c r="B23" s="204"/>
      <c r="C23" s="6"/>
      <c r="D23" s="107">
        <v>15.8</v>
      </c>
      <c r="E23" s="6">
        <v>252.4</v>
      </c>
      <c r="F23" s="6">
        <v>520.70000000000005</v>
      </c>
      <c r="G23" s="172">
        <v>189</v>
      </c>
      <c r="H23" s="173"/>
      <c r="I23" s="174">
        <f t="shared" si="0"/>
        <v>0.39246037941599998</v>
      </c>
      <c r="J23" s="174">
        <f t="shared" si="1"/>
        <v>13.859738299076039</v>
      </c>
      <c r="K23" s="47">
        <v>28000</v>
      </c>
      <c r="L23" s="81">
        <f t="shared" si="2"/>
        <v>10988.890623648</v>
      </c>
      <c r="M23" s="175" t="s">
        <v>45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31.5" customHeight="1">
      <c r="A24" s="34"/>
      <c r="B24" s="204"/>
      <c r="C24" s="6"/>
      <c r="D24" s="107">
        <v>15.8</v>
      </c>
      <c r="E24" s="6">
        <v>134.9</v>
      </c>
      <c r="F24" s="6">
        <v>744.5</v>
      </c>
      <c r="G24" s="172">
        <v>15</v>
      </c>
      <c r="H24" s="173"/>
      <c r="I24" s="174">
        <f t="shared" si="0"/>
        <v>2.3802632849999998E-2</v>
      </c>
      <c r="J24" s="174">
        <f t="shared" si="1"/>
        <v>0.84058997909774991</v>
      </c>
      <c r="K24" s="47">
        <v>28000</v>
      </c>
      <c r="L24" s="81">
        <f t="shared" si="2"/>
        <v>666.47371979999991</v>
      </c>
      <c r="M24" s="175" t="s">
        <v>45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31.5" customHeight="1">
      <c r="A25" s="34"/>
      <c r="B25" s="204"/>
      <c r="C25" s="6"/>
      <c r="D25" s="107">
        <v>15.8</v>
      </c>
      <c r="E25" s="6">
        <v>254</v>
      </c>
      <c r="F25" s="6">
        <v>668</v>
      </c>
      <c r="G25" s="172">
        <v>55</v>
      </c>
      <c r="H25" s="173"/>
      <c r="I25" s="174">
        <f t="shared" si="0"/>
        <v>0.14744496800000001</v>
      </c>
      <c r="J25" s="174">
        <f t="shared" si="1"/>
        <v>5.20701904492</v>
      </c>
      <c r="K25" s="47">
        <v>28000</v>
      </c>
      <c r="L25" s="81">
        <f t="shared" si="2"/>
        <v>4128.4591040000005</v>
      </c>
      <c r="M25" s="175" t="s">
        <v>45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31.5" customHeight="1">
      <c r="A26" s="34"/>
      <c r="B26" s="204"/>
      <c r="C26" s="6"/>
      <c r="D26" s="107">
        <v>15.8</v>
      </c>
      <c r="E26" s="6">
        <v>254</v>
      </c>
      <c r="F26" s="6">
        <v>820</v>
      </c>
      <c r="G26" s="172">
        <v>142</v>
      </c>
      <c r="H26" s="173"/>
      <c r="I26" s="174">
        <f t="shared" si="0"/>
        <v>0.46729700800000001</v>
      </c>
      <c r="J26" s="174">
        <f t="shared" si="1"/>
        <v>16.502593837519999</v>
      </c>
      <c r="K26" s="47">
        <v>28000</v>
      </c>
      <c r="L26" s="81">
        <f t="shared" si="2"/>
        <v>13084.316224</v>
      </c>
      <c r="M26" s="175" t="s">
        <v>45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31.5" customHeight="1">
      <c r="A27" s="34"/>
      <c r="B27" s="204"/>
      <c r="C27" s="6"/>
      <c r="D27" s="107">
        <v>15.8</v>
      </c>
      <c r="E27" s="6">
        <v>254</v>
      </c>
      <c r="F27" s="6">
        <v>744</v>
      </c>
      <c r="G27" s="172">
        <v>94</v>
      </c>
      <c r="H27" s="173"/>
      <c r="I27" s="174">
        <f t="shared" si="0"/>
        <v>0.28066715520000007</v>
      </c>
      <c r="J27" s="174">
        <f t="shared" si="1"/>
        <v>9.9117605858880022</v>
      </c>
      <c r="K27" s="47">
        <v>28000</v>
      </c>
      <c r="L27" s="81">
        <f t="shared" si="2"/>
        <v>7858.6803456000025</v>
      </c>
      <c r="M27" s="175" t="s">
        <v>45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31.5" customHeight="1">
      <c r="A28" s="34"/>
      <c r="B28" s="204"/>
      <c r="C28" s="6"/>
      <c r="D28" s="107">
        <v>15.8</v>
      </c>
      <c r="E28" s="6">
        <v>85</v>
      </c>
      <c r="F28" s="6">
        <v>744</v>
      </c>
      <c r="G28" s="172">
        <v>35</v>
      </c>
      <c r="H28" s="173"/>
      <c r="I28" s="174">
        <f t="shared" si="0"/>
        <v>3.4971719999999998E-2</v>
      </c>
      <c r="J28" s="174">
        <f t="shared" si="1"/>
        <v>1.2350262917999999</v>
      </c>
      <c r="K28" s="47">
        <v>28000</v>
      </c>
      <c r="L28" s="81">
        <f t="shared" si="2"/>
        <v>979.20815999999991</v>
      </c>
      <c r="M28" s="175" t="s">
        <v>45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31.5" customHeight="1">
      <c r="A29" s="34"/>
      <c r="B29" s="204"/>
      <c r="C29" s="6"/>
      <c r="D29" s="107">
        <v>15.8</v>
      </c>
      <c r="E29" s="6">
        <v>204</v>
      </c>
      <c r="F29" s="6">
        <v>820</v>
      </c>
      <c r="G29" s="172">
        <v>28</v>
      </c>
      <c r="H29" s="173"/>
      <c r="I29" s="174">
        <f t="shared" si="0"/>
        <v>7.4004671999999994E-2</v>
      </c>
      <c r="J29" s="174">
        <f t="shared" si="1"/>
        <v>2.6134749916799995</v>
      </c>
      <c r="K29" s="47">
        <v>28000</v>
      </c>
      <c r="L29" s="81">
        <f t="shared" si="2"/>
        <v>2072.1308159999999</v>
      </c>
      <c r="M29" s="175" t="s">
        <v>45</v>
      </c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31.5" customHeight="1">
      <c r="A30" s="34"/>
      <c r="B30" s="204"/>
      <c r="C30" s="6"/>
      <c r="D30" s="107">
        <v>15.8</v>
      </c>
      <c r="E30" s="6">
        <v>203</v>
      </c>
      <c r="F30" s="6">
        <v>520</v>
      </c>
      <c r="G30" s="172">
        <v>273</v>
      </c>
      <c r="H30" s="173"/>
      <c r="I30" s="174">
        <f t="shared" si="0"/>
        <v>0.45532250400000002</v>
      </c>
      <c r="J30" s="174">
        <f t="shared" si="1"/>
        <v>16.07971422876</v>
      </c>
      <c r="K30" s="47">
        <v>28000</v>
      </c>
      <c r="L30" s="81">
        <f t="shared" si="2"/>
        <v>12749.030112</v>
      </c>
      <c r="M30" s="175" t="s">
        <v>45</v>
      </c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31.5" customHeight="1">
      <c r="A31" s="34"/>
      <c r="B31" s="201"/>
      <c r="C31" s="6"/>
      <c r="D31" s="107">
        <v>15.8</v>
      </c>
      <c r="E31" s="6">
        <v>134</v>
      </c>
      <c r="F31" s="6">
        <v>439</v>
      </c>
      <c r="G31" s="172">
        <v>437</v>
      </c>
      <c r="H31" s="173"/>
      <c r="I31" s="174">
        <f t="shared" si="0"/>
        <v>0.40616999960000011</v>
      </c>
      <c r="J31" s="174">
        <f t="shared" si="1"/>
        <v>14.343893535874003</v>
      </c>
      <c r="K31" s="47">
        <v>28000</v>
      </c>
      <c r="L31" s="81">
        <f t="shared" si="2"/>
        <v>11372.759988800002</v>
      </c>
      <c r="M31" s="175" t="s">
        <v>45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31.5" customHeight="1">
      <c r="A32" s="34"/>
      <c r="B32" s="171"/>
      <c r="C32" s="6"/>
      <c r="D32" s="6"/>
      <c r="E32" s="6"/>
      <c r="F32" s="6"/>
      <c r="G32" s="172"/>
      <c r="H32" s="173"/>
      <c r="I32" s="174">
        <f t="shared" si="0"/>
        <v>0</v>
      </c>
      <c r="J32" s="174">
        <f t="shared" si="1"/>
        <v>0</v>
      </c>
      <c r="K32" s="47">
        <v>28000</v>
      </c>
      <c r="L32" s="81">
        <f t="shared" si="2"/>
        <v>0</v>
      </c>
      <c r="M32" s="175" t="s">
        <v>45</v>
      </c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31.5" customHeight="1">
      <c r="A33" s="34"/>
      <c r="B33" s="171"/>
      <c r="C33" s="6"/>
      <c r="D33" s="6"/>
      <c r="E33" s="6"/>
      <c r="F33" s="6"/>
      <c r="G33" s="172"/>
      <c r="H33" s="173"/>
      <c r="I33" s="174">
        <f t="shared" si="0"/>
        <v>0</v>
      </c>
      <c r="J33" s="174">
        <f t="shared" si="1"/>
        <v>0</v>
      </c>
      <c r="K33" s="47">
        <v>28000</v>
      </c>
      <c r="L33" s="81">
        <f t="shared" si="2"/>
        <v>0</v>
      </c>
      <c r="M33" s="175" t="s">
        <v>45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31.5" customHeight="1">
      <c r="A34" s="34"/>
      <c r="B34" s="171"/>
      <c r="C34" s="6"/>
      <c r="D34" s="6"/>
      <c r="E34" s="6"/>
      <c r="F34" s="6"/>
      <c r="G34" s="172"/>
      <c r="H34" s="173"/>
      <c r="I34" s="174">
        <f t="shared" si="0"/>
        <v>0</v>
      </c>
      <c r="J34" s="174">
        <f t="shared" si="1"/>
        <v>0</v>
      </c>
      <c r="K34" s="47">
        <v>28000</v>
      </c>
      <c r="L34" s="81">
        <f t="shared" si="2"/>
        <v>0</v>
      </c>
      <c r="M34" s="175" t="s">
        <v>45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31.5" customHeight="1">
      <c r="A35" s="34"/>
      <c r="B35" s="171"/>
      <c r="C35" s="6"/>
      <c r="D35" s="6"/>
      <c r="E35" s="6"/>
      <c r="F35" s="6"/>
      <c r="G35" s="172"/>
      <c r="H35" s="173"/>
      <c r="I35" s="174">
        <f t="shared" si="0"/>
        <v>0</v>
      </c>
      <c r="J35" s="174">
        <f t="shared" si="1"/>
        <v>0</v>
      </c>
      <c r="K35" s="47">
        <v>28000</v>
      </c>
      <c r="L35" s="81">
        <f t="shared" si="2"/>
        <v>0</v>
      </c>
      <c r="M35" s="175" t="s">
        <v>45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31.5" customHeight="1">
      <c r="A36" s="34"/>
      <c r="B36" s="171"/>
      <c r="C36" s="6"/>
      <c r="D36" s="6"/>
      <c r="E36" s="6"/>
      <c r="F36" s="6"/>
      <c r="G36" s="172"/>
      <c r="H36" s="173"/>
      <c r="I36" s="174">
        <f t="shared" si="0"/>
        <v>0</v>
      </c>
      <c r="J36" s="174">
        <f t="shared" si="1"/>
        <v>0</v>
      </c>
      <c r="K36" s="47">
        <v>28000</v>
      </c>
      <c r="L36" s="81">
        <f t="shared" si="2"/>
        <v>0</v>
      </c>
      <c r="M36" s="175" t="s">
        <v>45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27" customHeight="1">
      <c r="A37" s="506" t="s">
        <v>18</v>
      </c>
      <c r="B37" s="466"/>
      <c r="C37" s="466"/>
      <c r="D37" s="466"/>
      <c r="E37" s="466"/>
      <c r="F37" s="467"/>
      <c r="G37" s="176">
        <f>SUM(G4:G36)</f>
        <v>4474</v>
      </c>
      <c r="H37" s="177"/>
      <c r="I37" s="178">
        <f>SUM(I4:I36)</f>
        <v>4.8176473619476008</v>
      </c>
      <c r="J37" s="178">
        <f>SUM(J4:J36)</f>
        <v>170.13521658717946</v>
      </c>
      <c r="K37" s="84"/>
      <c r="L37" s="84">
        <f>SUM(L4:L36)</f>
        <v>134894.12613453279</v>
      </c>
      <c r="M37" s="113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27" customHeight="1">
      <c r="A38" s="74"/>
      <c r="B38" s="74"/>
      <c r="C38" s="74"/>
      <c r="D38" s="74"/>
      <c r="E38" s="74"/>
      <c r="F38" s="74"/>
      <c r="G38" s="74"/>
      <c r="H38" s="74"/>
      <c r="I38" s="179"/>
      <c r="J38" s="180"/>
      <c r="K38" s="180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27" customHeight="1">
      <c r="A39" s="74"/>
      <c r="B39" s="74"/>
      <c r="C39" s="74"/>
      <c r="D39" s="74"/>
      <c r="E39" s="74"/>
      <c r="F39" s="74"/>
      <c r="G39" s="74"/>
      <c r="H39" s="74"/>
      <c r="I39" s="179"/>
      <c r="J39" s="180"/>
      <c r="K39" s="180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27" customHeight="1">
      <c r="A40" s="74"/>
      <c r="B40" s="74"/>
      <c r="C40" s="74"/>
      <c r="D40" s="74"/>
      <c r="E40" s="74"/>
      <c r="F40" s="74"/>
      <c r="G40" s="74"/>
      <c r="H40" s="74"/>
      <c r="I40" s="179"/>
      <c r="J40" s="180"/>
      <c r="K40" s="180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27" customHeight="1">
      <c r="A41" s="74"/>
      <c r="B41" s="74"/>
      <c r="C41" s="74"/>
      <c r="D41" s="74"/>
      <c r="E41" s="74"/>
      <c r="F41" s="74"/>
      <c r="G41" s="74"/>
      <c r="H41" s="74"/>
      <c r="I41" s="179"/>
      <c r="J41" s="180"/>
      <c r="K41" s="180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9.5" customHeight="1">
      <c r="A42" s="74"/>
      <c r="B42" s="74"/>
      <c r="C42" s="74"/>
      <c r="D42" s="74"/>
      <c r="E42" s="74"/>
      <c r="F42" s="74"/>
      <c r="G42" s="74"/>
      <c r="H42" s="74"/>
      <c r="I42" s="179"/>
      <c r="J42" s="180"/>
      <c r="K42" s="180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9.5" customHeight="1">
      <c r="A43" s="74"/>
      <c r="B43" s="74"/>
      <c r="C43" s="74"/>
      <c r="D43" s="74"/>
      <c r="E43" s="74"/>
      <c r="F43" s="74"/>
      <c r="G43" s="74"/>
      <c r="H43" s="74"/>
      <c r="I43" s="179"/>
      <c r="J43" s="180"/>
      <c r="K43" s="180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9.5" customHeight="1">
      <c r="A44" s="74"/>
      <c r="B44" s="74"/>
      <c r="C44" s="74"/>
      <c r="D44" s="74"/>
      <c r="E44" s="74"/>
      <c r="F44" s="74"/>
      <c r="G44" s="74"/>
      <c r="H44" s="74"/>
      <c r="I44" s="179"/>
      <c r="J44" s="180"/>
      <c r="K44" s="180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9.5" customHeight="1">
      <c r="A45" s="74"/>
      <c r="B45" s="74"/>
      <c r="C45" s="74"/>
      <c r="D45" s="74"/>
      <c r="E45" s="74"/>
      <c r="F45" s="74"/>
      <c r="G45" s="74"/>
      <c r="H45" s="74"/>
      <c r="I45" s="179"/>
      <c r="J45" s="180"/>
      <c r="K45" s="180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9.5" customHeight="1">
      <c r="A46" s="74"/>
      <c r="B46" s="74"/>
      <c r="C46" s="74"/>
      <c r="D46" s="74"/>
      <c r="E46" s="74"/>
      <c r="F46" s="74"/>
      <c r="G46" s="74"/>
      <c r="H46" s="74"/>
      <c r="I46" s="179"/>
      <c r="J46" s="180"/>
      <c r="K46" s="180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9.5" customHeight="1">
      <c r="A47" s="74"/>
      <c r="B47" s="74"/>
      <c r="C47" s="74"/>
      <c r="D47" s="74"/>
      <c r="E47" s="74"/>
      <c r="F47" s="74"/>
      <c r="G47" s="74"/>
      <c r="H47" s="74"/>
      <c r="I47" s="179"/>
      <c r="J47" s="180"/>
      <c r="K47" s="180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9.5" customHeight="1">
      <c r="A48" s="74"/>
      <c r="B48" s="74"/>
      <c r="C48" s="74"/>
      <c r="D48" s="74"/>
      <c r="E48" s="74"/>
      <c r="F48" s="74"/>
      <c r="G48" s="74"/>
      <c r="H48" s="74"/>
      <c r="I48" s="179"/>
      <c r="J48" s="180"/>
      <c r="K48" s="180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9.5" customHeight="1">
      <c r="A49" s="74"/>
      <c r="B49" s="74"/>
      <c r="C49" s="74"/>
      <c r="D49" s="74"/>
      <c r="E49" s="74"/>
      <c r="F49" s="74"/>
      <c r="G49" s="74"/>
      <c r="H49" s="74"/>
      <c r="I49" s="179"/>
      <c r="J49" s="180"/>
      <c r="K49" s="180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9.5" customHeight="1">
      <c r="A50" s="74"/>
      <c r="B50" s="74"/>
      <c r="C50" s="74"/>
      <c r="D50" s="74"/>
      <c r="E50" s="74"/>
      <c r="F50" s="74"/>
      <c r="G50" s="74"/>
      <c r="H50" s="74"/>
      <c r="I50" s="179"/>
      <c r="J50" s="180"/>
      <c r="K50" s="180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9.5" customHeight="1">
      <c r="A51" s="74"/>
      <c r="B51" s="74"/>
      <c r="C51" s="74"/>
      <c r="D51" s="74"/>
      <c r="E51" s="74"/>
      <c r="F51" s="74"/>
      <c r="G51" s="74"/>
      <c r="H51" s="74"/>
      <c r="I51" s="179"/>
      <c r="J51" s="180"/>
      <c r="K51" s="180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9.5" customHeight="1">
      <c r="A52" s="74"/>
      <c r="B52" s="74"/>
      <c r="C52" s="74"/>
      <c r="D52" s="74"/>
      <c r="E52" s="74"/>
      <c r="F52" s="74"/>
      <c r="G52" s="74"/>
      <c r="H52" s="74"/>
      <c r="I52" s="179"/>
      <c r="J52" s="180"/>
      <c r="K52" s="180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9.5" customHeight="1">
      <c r="A53" s="74"/>
      <c r="B53" s="74"/>
      <c r="C53" s="74"/>
      <c r="D53" s="74"/>
      <c r="E53" s="74"/>
      <c r="F53" s="74"/>
      <c r="G53" s="74"/>
      <c r="H53" s="74"/>
      <c r="I53" s="179"/>
      <c r="J53" s="180"/>
      <c r="K53" s="180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9.5" customHeight="1">
      <c r="A54" s="74"/>
      <c r="B54" s="74"/>
      <c r="C54" s="74"/>
      <c r="D54" s="74"/>
      <c r="E54" s="74"/>
      <c r="F54" s="74"/>
      <c r="G54" s="74"/>
      <c r="H54" s="74"/>
      <c r="I54" s="179"/>
      <c r="J54" s="180"/>
      <c r="K54" s="180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9.5" customHeight="1">
      <c r="A55" s="74"/>
      <c r="B55" s="74"/>
      <c r="C55" s="74"/>
      <c r="D55" s="74"/>
      <c r="E55" s="74"/>
      <c r="F55" s="74"/>
      <c r="G55" s="74"/>
      <c r="H55" s="74"/>
      <c r="I55" s="179"/>
      <c r="J55" s="180"/>
      <c r="K55" s="180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9.5" customHeight="1">
      <c r="A56" s="74"/>
      <c r="B56" s="74"/>
      <c r="C56" s="74"/>
      <c r="D56" s="74"/>
      <c r="E56" s="74"/>
      <c r="F56" s="74"/>
      <c r="G56" s="74"/>
      <c r="H56" s="74"/>
      <c r="I56" s="179"/>
      <c r="J56" s="180"/>
      <c r="K56" s="180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9.5" customHeight="1">
      <c r="A57" s="74"/>
      <c r="B57" s="74"/>
      <c r="C57" s="74"/>
      <c r="D57" s="74"/>
      <c r="E57" s="74"/>
      <c r="F57" s="74"/>
      <c r="G57" s="74"/>
      <c r="H57" s="74"/>
      <c r="I57" s="179"/>
      <c r="J57" s="180"/>
      <c r="K57" s="180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9.5" customHeight="1">
      <c r="A58" s="74"/>
      <c r="B58" s="74"/>
      <c r="C58" s="74"/>
      <c r="D58" s="74"/>
      <c r="E58" s="74"/>
      <c r="F58" s="74"/>
      <c r="G58" s="74"/>
      <c r="H58" s="74"/>
      <c r="I58" s="179"/>
      <c r="J58" s="180"/>
      <c r="K58" s="180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9.5" customHeight="1">
      <c r="A59" s="74"/>
      <c r="B59" s="74"/>
      <c r="C59" s="74"/>
      <c r="D59" s="74"/>
      <c r="E59" s="74"/>
      <c r="F59" s="74"/>
      <c r="G59" s="74"/>
      <c r="H59" s="74"/>
      <c r="I59" s="179"/>
      <c r="J59" s="180"/>
      <c r="K59" s="180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9.5" customHeight="1">
      <c r="A60" s="74"/>
      <c r="B60" s="74"/>
      <c r="C60" s="74"/>
      <c r="D60" s="74"/>
      <c r="E60" s="74"/>
      <c r="F60" s="74"/>
      <c r="G60" s="74"/>
      <c r="H60" s="74"/>
      <c r="I60" s="179"/>
      <c r="J60" s="180"/>
      <c r="K60" s="180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9.5" customHeight="1">
      <c r="A61" s="74"/>
      <c r="B61" s="74"/>
      <c r="C61" s="74"/>
      <c r="D61" s="74"/>
      <c r="E61" s="74"/>
      <c r="F61" s="74"/>
      <c r="G61" s="74"/>
      <c r="H61" s="74"/>
      <c r="I61" s="179"/>
      <c r="J61" s="180"/>
      <c r="K61" s="180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9.5" customHeight="1">
      <c r="A62" s="74"/>
      <c r="B62" s="74"/>
      <c r="C62" s="74"/>
      <c r="D62" s="74"/>
      <c r="E62" s="74"/>
      <c r="F62" s="74"/>
      <c r="G62" s="74"/>
      <c r="H62" s="74"/>
      <c r="I62" s="179"/>
      <c r="J62" s="180"/>
      <c r="K62" s="180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9.5" customHeight="1">
      <c r="A63" s="74"/>
      <c r="B63" s="74"/>
      <c r="C63" s="74"/>
      <c r="D63" s="74"/>
      <c r="E63" s="74"/>
      <c r="F63" s="74"/>
      <c r="G63" s="74"/>
      <c r="H63" s="74"/>
      <c r="I63" s="179"/>
      <c r="J63" s="180"/>
      <c r="K63" s="180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9.5" customHeight="1">
      <c r="A64" s="74"/>
      <c r="B64" s="74"/>
      <c r="C64" s="74"/>
      <c r="D64" s="74"/>
      <c r="E64" s="74"/>
      <c r="F64" s="74"/>
      <c r="G64" s="74"/>
      <c r="H64" s="74"/>
      <c r="I64" s="179"/>
      <c r="J64" s="180"/>
      <c r="K64" s="180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9.5" customHeight="1">
      <c r="A65" s="74"/>
      <c r="B65" s="74"/>
      <c r="C65" s="74"/>
      <c r="D65" s="74"/>
      <c r="E65" s="74"/>
      <c r="F65" s="74"/>
      <c r="G65" s="74"/>
      <c r="H65" s="74"/>
      <c r="I65" s="179"/>
      <c r="J65" s="180"/>
      <c r="K65" s="180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9.5" customHeight="1">
      <c r="A66" s="74"/>
      <c r="B66" s="74"/>
      <c r="C66" s="74"/>
      <c r="D66" s="74"/>
      <c r="E66" s="74"/>
      <c r="F66" s="74"/>
      <c r="G66" s="74"/>
      <c r="H66" s="74"/>
      <c r="I66" s="179"/>
      <c r="J66" s="180"/>
      <c r="K66" s="180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9.5" customHeight="1">
      <c r="A67" s="74"/>
      <c r="B67" s="74"/>
      <c r="C67" s="74"/>
      <c r="D67" s="74"/>
      <c r="E67" s="74"/>
      <c r="F67" s="74"/>
      <c r="G67" s="74"/>
      <c r="H67" s="74"/>
      <c r="I67" s="179"/>
      <c r="J67" s="180"/>
      <c r="K67" s="180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9.5" customHeight="1">
      <c r="A68" s="74"/>
      <c r="B68" s="74"/>
      <c r="C68" s="74"/>
      <c r="D68" s="74"/>
      <c r="E68" s="74"/>
      <c r="F68" s="74"/>
      <c r="G68" s="74"/>
      <c r="H68" s="74"/>
      <c r="I68" s="179"/>
      <c r="J68" s="180"/>
      <c r="K68" s="180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9.5" customHeight="1">
      <c r="A69" s="74"/>
      <c r="B69" s="74"/>
      <c r="C69" s="74"/>
      <c r="D69" s="74"/>
      <c r="E69" s="74"/>
      <c r="F69" s="74"/>
      <c r="G69" s="74"/>
      <c r="H69" s="74"/>
      <c r="I69" s="179"/>
      <c r="J69" s="180"/>
      <c r="K69" s="180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9.5" customHeight="1">
      <c r="A70" s="74"/>
      <c r="B70" s="74"/>
      <c r="C70" s="74"/>
      <c r="D70" s="74"/>
      <c r="E70" s="74"/>
      <c r="F70" s="74"/>
      <c r="G70" s="74"/>
      <c r="H70" s="74"/>
      <c r="I70" s="179"/>
      <c r="J70" s="180"/>
      <c r="K70" s="180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9.5" customHeight="1">
      <c r="A71" s="74"/>
      <c r="B71" s="74"/>
      <c r="C71" s="74"/>
      <c r="D71" s="74"/>
      <c r="E71" s="74"/>
      <c r="F71" s="74"/>
      <c r="G71" s="74"/>
      <c r="H71" s="74"/>
      <c r="I71" s="179"/>
      <c r="J71" s="180"/>
      <c r="K71" s="180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9.5" customHeight="1">
      <c r="A72" s="74"/>
      <c r="B72" s="74"/>
      <c r="C72" s="74"/>
      <c r="D72" s="74"/>
      <c r="E72" s="74"/>
      <c r="F72" s="74"/>
      <c r="G72" s="74"/>
      <c r="H72" s="74"/>
      <c r="I72" s="179"/>
      <c r="J72" s="180"/>
      <c r="K72" s="180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9.5" customHeight="1">
      <c r="A73" s="74"/>
      <c r="B73" s="74"/>
      <c r="C73" s="74"/>
      <c r="D73" s="74"/>
      <c r="E73" s="74"/>
      <c r="F73" s="74"/>
      <c r="G73" s="74"/>
      <c r="H73" s="74"/>
      <c r="I73" s="179"/>
      <c r="J73" s="180"/>
      <c r="K73" s="180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9.5" customHeight="1">
      <c r="A74" s="74"/>
      <c r="B74" s="74"/>
      <c r="C74" s="74"/>
      <c r="D74" s="74"/>
      <c r="E74" s="74"/>
      <c r="F74" s="74"/>
      <c r="G74" s="74"/>
      <c r="H74" s="74"/>
      <c r="I74" s="179"/>
      <c r="J74" s="180"/>
      <c r="K74" s="180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9.5" customHeight="1">
      <c r="A75" s="74"/>
      <c r="B75" s="74"/>
      <c r="C75" s="74"/>
      <c r="D75" s="74"/>
      <c r="E75" s="74"/>
      <c r="F75" s="74"/>
      <c r="G75" s="74"/>
      <c r="H75" s="74"/>
      <c r="I75" s="179"/>
      <c r="J75" s="180"/>
      <c r="K75" s="180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9.5" customHeight="1">
      <c r="A76" s="74"/>
      <c r="B76" s="74"/>
      <c r="C76" s="74"/>
      <c r="D76" s="74"/>
      <c r="E76" s="74"/>
      <c r="F76" s="74"/>
      <c r="G76" s="74"/>
      <c r="H76" s="74"/>
      <c r="I76" s="179"/>
      <c r="J76" s="180"/>
      <c r="K76" s="180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9.5" customHeight="1">
      <c r="A77" s="74"/>
      <c r="B77" s="74"/>
      <c r="C77" s="74"/>
      <c r="D77" s="74"/>
      <c r="E77" s="74"/>
      <c r="F77" s="74"/>
      <c r="G77" s="74"/>
      <c r="H77" s="74"/>
      <c r="I77" s="179"/>
      <c r="J77" s="180"/>
      <c r="K77" s="180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9.5" customHeight="1">
      <c r="A78" s="74"/>
      <c r="B78" s="74"/>
      <c r="C78" s="74"/>
      <c r="D78" s="74"/>
      <c r="E78" s="74"/>
      <c r="F78" s="74"/>
      <c r="G78" s="74"/>
      <c r="H78" s="74"/>
      <c r="I78" s="179"/>
      <c r="J78" s="180"/>
      <c r="K78" s="180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9.5" customHeight="1">
      <c r="A79" s="74"/>
      <c r="B79" s="74"/>
      <c r="C79" s="74"/>
      <c r="D79" s="74"/>
      <c r="E79" s="74"/>
      <c r="F79" s="74"/>
      <c r="G79" s="74"/>
      <c r="H79" s="74"/>
      <c r="I79" s="179"/>
      <c r="J79" s="180"/>
      <c r="K79" s="180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9.5" customHeight="1">
      <c r="A80" s="74"/>
      <c r="B80" s="74"/>
      <c r="C80" s="74"/>
      <c r="D80" s="74"/>
      <c r="E80" s="74"/>
      <c r="F80" s="74"/>
      <c r="G80" s="74"/>
      <c r="H80" s="74"/>
      <c r="I80" s="179"/>
      <c r="J80" s="180"/>
      <c r="K80" s="180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9.5" customHeight="1">
      <c r="A81" s="74"/>
      <c r="B81" s="74"/>
      <c r="C81" s="74"/>
      <c r="D81" s="74"/>
      <c r="E81" s="74"/>
      <c r="F81" s="74"/>
      <c r="G81" s="74"/>
      <c r="H81" s="74"/>
      <c r="I81" s="179"/>
      <c r="J81" s="180"/>
      <c r="K81" s="180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9.5" customHeight="1">
      <c r="A82" s="74"/>
      <c r="B82" s="74"/>
      <c r="C82" s="74"/>
      <c r="D82" s="74"/>
      <c r="E82" s="74"/>
      <c r="F82" s="74"/>
      <c r="G82" s="74"/>
      <c r="H82" s="74"/>
      <c r="I82" s="179"/>
      <c r="J82" s="180"/>
      <c r="K82" s="180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9.5" customHeight="1">
      <c r="A83" s="74"/>
      <c r="B83" s="74"/>
      <c r="C83" s="74"/>
      <c r="D83" s="74"/>
      <c r="E83" s="74"/>
      <c r="F83" s="74"/>
      <c r="G83" s="74"/>
      <c r="H83" s="74"/>
      <c r="I83" s="179"/>
      <c r="J83" s="180"/>
      <c r="K83" s="180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9.5" customHeight="1">
      <c r="A84" s="74"/>
      <c r="B84" s="74"/>
      <c r="C84" s="74"/>
      <c r="D84" s="74"/>
      <c r="E84" s="74"/>
      <c r="F84" s="74"/>
      <c r="G84" s="74"/>
      <c r="H84" s="74"/>
      <c r="I84" s="179"/>
      <c r="J84" s="180"/>
      <c r="K84" s="180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9.5" customHeight="1">
      <c r="A85" s="74"/>
      <c r="B85" s="74"/>
      <c r="C85" s="74"/>
      <c r="D85" s="74"/>
      <c r="E85" s="74"/>
      <c r="F85" s="74"/>
      <c r="G85" s="74"/>
      <c r="H85" s="74"/>
      <c r="I85" s="179"/>
      <c r="J85" s="180"/>
      <c r="K85" s="180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9.5" customHeight="1">
      <c r="A86" s="74"/>
      <c r="B86" s="74"/>
      <c r="C86" s="74"/>
      <c r="D86" s="74"/>
      <c r="E86" s="74"/>
      <c r="F86" s="74"/>
      <c r="G86" s="74"/>
      <c r="H86" s="74"/>
      <c r="I86" s="179"/>
      <c r="J86" s="180"/>
      <c r="K86" s="180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9.5" customHeight="1">
      <c r="A87" s="74"/>
      <c r="B87" s="74"/>
      <c r="C87" s="74"/>
      <c r="D87" s="74"/>
      <c r="E87" s="74"/>
      <c r="F87" s="74"/>
      <c r="G87" s="74"/>
      <c r="H87" s="74"/>
      <c r="I87" s="179"/>
      <c r="J87" s="180"/>
      <c r="K87" s="180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9.5" customHeight="1">
      <c r="A88" s="74"/>
      <c r="B88" s="74"/>
      <c r="C88" s="74"/>
      <c r="D88" s="74"/>
      <c r="E88" s="74"/>
      <c r="F88" s="74"/>
      <c r="G88" s="74"/>
      <c r="H88" s="74"/>
      <c r="I88" s="179"/>
      <c r="J88" s="180"/>
      <c r="K88" s="180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9.5" customHeight="1">
      <c r="A89" s="74"/>
      <c r="B89" s="74"/>
      <c r="C89" s="74"/>
      <c r="D89" s="74"/>
      <c r="E89" s="74"/>
      <c r="F89" s="74"/>
      <c r="G89" s="74"/>
      <c r="H89" s="74"/>
      <c r="I89" s="179"/>
      <c r="J89" s="180"/>
      <c r="K89" s="180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9.5" customHeight="1">
      <c r="A90" s="74"/>
      <c r="B90" s="74"/>
      <c r="C90" s="74"/>
      <c r="D90" s="74"/>
      <c r="E90" s="74"/>
      <c r="F90" s="74"/>
      <c r="G90" s="74"/>
      <c r="H90" s="74"/>
      <c r="I90" s="179"/>
      <c r="J90" s="180"/>
      <c r="K90" s="180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9.5" customHeight="1">
      <c r="A91" s="74"/>
      <c r="B91" s="74"/>
      <c r="C91" s="74"/>
      <c r="D91" s="74"/>
      <c r="E91" s="74"/>
      <c r="F91" s="74"/>
      <c r="G91" s="74"/>
      <c r="H91" s="74"/>
      <c r="I91" s="179"/>
      <c r="J91" s="180"/>
      <c r="K91" s="180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9.5" customHeight="1">
      <c r="A92" s="74"/>
      <c r="B92" s="74"/>
      <c r="C92" s="74"/>
      <c r="D92" s="74"/>
      <c r="E92" s="74"/>
      <c r="F92" s="74"/>
      <c r="G92" s="74"/>
      <c r="H92" s="74"/>
      <c r="I92" s="179"/>
      <c r="J92" s="180"/>
      <c r="K92" s="180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9.5" customHeight="1">
      <c r="A93" s="74"/>
      <c r="B93" s="74"/>
      <c r="C93" s="74"/>
      <c r="D93" s="74"/>
      <c r="E93" s="74"/>
      <c r="F93" s="74"/>
      <c r="G93" s="74"/>
      <c r="H93" s="74"/>
      <c r="I93" s="179"/>
      <c r="J93" s="180"/>
      <c r="K93" s="180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9.5" customHeight="1">
      <c r="A94" s="74"/>
      <c r="B94" s="74"/>
      <c r="C94" s="74"/>
      <c r="D94" s="74"/>
      <c r="E94" s="74"/>
      <c r="F94" s="74"/>
      <c r="G94" s="74"/>
      <c r="H94" s="74"/>
      <c r="I94" s="179"/>
      <c r="J94" s="180"/>
      <c r="K94" s="180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9.5" customHeight="1">
      <c r="A95" s="74"/>
      <c r="B95" s="74"/>
      <c r="C95" s="74"/>
      <c r="D95" s="74"/>
      <c r="E95" s="74"/>
      <c r="F95" s="74"/>
      <c r="G95" s="74"/>
      <c r="H95" s="74"/>
      <c r="I95" s="179"/>
      <c r="J95" s="180"/>
      <c r="K95" s="180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9.5" customHeight="1">
      <c r="A96" s="74"/>
      <c r="B96" s="74"/>
      <c r="C96" s="74"/>
      <c r="D96" s="74"/>
      <c r="E96" s="74"/>
      <c r="F96" s="74"/>
      <c r="G96" s="74"/>
      <c r="H96" s="74"/>
      <c r="I96" s="179"/>
      <c r="J96" s="180"/>
      <c r="K96" s="180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9.5" customHeight="1">
      <c r="A97" s="74"/>
      <c r="B97" s="74"/>
      <c r="C97" s="74"/>
      <c r="D97" s="74"/>
      <c r="E97" s="74"/>
      <c r="F97" s="74"/>
      <c r="G97" s="74"/>
      <c r="H97" s="74"/>
      <c r="I97" s="179"/>
      <c r="J97" s="180"/>
      <c r="K97" s="180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9.5" customHeight="1">
      <c r="A98" s="74"/>
      <c r="B98" s="74"/>
      <c r="C98" s="74"/>
      <c r="D98" s="74"/>
      <c r="E98" s="74"/>
      <c r="F98" s="74"/>
      <c r="G98" s="74"/>
      <c r="H98" s="74"/>
      <c r="I98" s="179"/>
      <c r="J98" s="180"/>
      <c r="K98" s="180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9.5" customHeight="1">
      <c r="A99" s="74"/>
      <c r="B99" s="74"/>
      <c r="C99" s="74"/>
      <c r="D99" s="74"/>
      <c r="E99" s="74"/>
      <c r="F99" s="74"/>
      <c r="G99" s="74"/>
      <c r="H99" s="74"/>
      <c r="I99" s="179"/>
      <c r="J99" s="180"/>
      <c r="K99" s="180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9.5" customHeight="1">
      <c r="A100" s="74"/>
      <c r="B100" s="74"/>
      <c r="C100" s="74"/>
      <c r="D100" s="74"/>
      <c r="E100" s="74"/>
      <c r="F100" s="74"/>
      <c r="G100" s="74"/>
      <c r="H100" s="74"/>
      <c r="I100" s="179"/>
      <c r="J100" s="180"/>
      <c r="K100" s="180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9.5" customHeight="1">
      <c r="A101" s="74"/>
      <c r="B101" s="74"/>
      <c r="C101" s="74"/>
      <c r="D101" s="74"/>
      <c r="E101" s="74"/>
      <c r="F101" s="74"/>
      <c r="G101" s="74"/>
      <c r="H101" s="74"/>
      <c r="I101" s="179"/>
      <c r="J101" s="180"/>
      <c r="K101" s="180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9.5" customHeight="1">
      <c r="A102" s="74"/>
      <c r="B102" s="74"/>
      <c r="C102" s="74"/>
      <c r="D102" s="74"/>
      <c r="E102" s="74"/>
      <c r="F102" s="74"/>
      <c r="G102" s="74"/>
      <c r="H102" s="74"/>
      <c r="I102" s="179"/>
      <c r="J102" s="180"/>
      <c r="K102" s="180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9.5" customHeight="1">
      <c r="A103" s="74"/>
      <c r="B103" s="74"/>
      <c r="C103" s="74"/>
      <c r="D103" s="74"/>
      <c r="E103" s="74"/>
      <c r="F103" s="74"/>
      <c r="G103" s="74"/>
      <c r="H103" s="74"/>
      <c r="I103" s="179"/>
      <c r="J103" s="180"/>
      <c r="K103" s="180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9.5" customHeight="1">
      <c r="A104" s="74"/>
      <c r="B104" s="74"/>
      <c r="C104" s="74"/>
      <c r="D104" s="74"/>
      <c r="E104" s="74"/>
      <c r="F104" s="74"/>
      <c r="G104" s="74"/>
      <c r="H104" s="74"/>
      <c r="I104" s="179"/>
      <c r="J104" s="180"/>
      <c r="K104" s="180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9.5" customHeight="1">
      <c r="A105" s="74"/>
      <c r="B105" s="74"/>
      <c r="C105" s="74"/>
      <c r="D105" s="74"/>
      <c r="E105" s="74"/>
      <c r="F105" s="74"/>
      <c r="G105" s="74"/>
      <c r="H105" s="74"/>
      <c r="I105" s="179"/>
      <c r="J105" s="180"/>
      <c r="K105" s="180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9.5" customHeight="1">
      <c r="A106" s="74"/>
      <c r="B106" s="74"/>
      <c r="C106" s="74"/>
      <c r="D106" s="74"/>
      <c r="E106" s="74"/>
      <c r="F106" s="74"/>
      <c r="G106" s="74"/>
      <c r="H106" s="74"/>
      <c r="I106" s="179"/>
      <c r="J106" s="180"/>
      <c r="K106" s="180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9.5" customHeight="1">
      <c r="A107" s="74"/>
      <c r="B107" s="74"/>
      <c r="C107" s="74"/>
      <c r="D107" s="74"/>
      <c r="E107" s="74"/>
      <c r="F107" s="74"/>
      <c r="G107" s="74"/>
      <c r="H107" s="74"/>
      <c r="I107" s="179"/>
      <c r="J107" s="180"/>
      <c r="K107" s="180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9.5" customHeight="1">
      <c r="A108" s="74"/>
      <c r="B108" s="74"/>
      <c r="C108" s="74"/>
      <c r="D108" s="74"/>
      <c r="E108" s="74"/>
      <c r="F108" s="74"/>
      <c r="G108" s="74"/>
      <c r="H108" s="74"/>
      <c r="I108" s="179"/>
      <c r="J108" s="180"/>
      <c r="K108" s="180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9.5" customHeight="1">
      <c r="A109" s="74"/>
      <c r="B109" s="74"/>
      <c r="C109" s="74"/>
      <c r="D109" s="74"/>
      <c r="E109" s="74"/>
      <c r="F109" s="74"/>
      <c r="G109" s="74"/>
      <c r="H109" s="74"/>
      <c r="I109" s="179"/>
      <c r="J109" s="180"/>
      <c r="K109" s="180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9.5" customHeight="1">
      <c r="A110" s="74"/>
      <c r="B110" s="74"/>
      <c r="C110" s="74"/>
      <c r="D110" s="74"/>
      <c r="E110" s="74"/>
      <c r="F110" s="74"/>
      <c r="G110" s="74"/>
      <c r="H110" s="74"/>
      <c r="I110" s="179"/>
      <c r="J110" s="180"/>
      <c r="K110" s="180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9.5" customHeight="1">
      <c r="A111" s="74"/>
      <c r="B111" s="74"/>
      <c r="C111" s="74"/>
      <c r="D111" s="74"/>
      <c r="E111" s="74"/>
      <c r="F111" s="74"/>
      <c r="G111" s="74"/>
      <c r="H111" s="74"/>
      <c r="I111" s="179"/>
      <c r="J111" s="180"/>
      <c r="K111" s="180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9.5" customHeight="1">
      <c r="A112" s="74"/>
      <c r="B112" s="74"/>
      <c r="C112" s="74"/>
      <c r="D112" s="74"/>
      <c r="E112" s="74"/>
      <c r="F112" s="74"/>
      <c r="G112" s="74"/>
      <c r="H112" s="74"/>
      <c r="I112" s="179"/>
      <c r="J112" s="180"/>
      <c r="K112" s="180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9.5" customHeight="1">
      <c r="A113" s="74"/>
      <c r="B113" s="74"/>
      <c r="C113" s="74"/>
      <c r="D113" s="74"/>
      <c r="E113" s="74"/>
      <c r="F113" s="74"/>
      <c r="G113" s="74"/>
      <c r="H113" s="74"/>
      <c r="I113" s="179"/>
      <c r="J113" s="180"/>
      <c r="K113" s="180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9.5" customHeight="1">
      <c r="A114" s="74"/>
      <c r="B114" s="74"/>
      <c r="C114" s="74"/>
      <c r="D114" s="74"/>
      <c r="E114" s="74"/>
      <c r="F114" s="74"/>
      <c r="G114" s="74"/>
      <c r="H114" s="74"/>
      <c r="I114" s="179"/>
      <c r="J114" s="180"/>
      <c r="K114" s="180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9.5" customHeight="1">
      <c r="A115" s="74"/>
      <c r="B115" s="74"/>
      <c r="C115" s="74"/>
      <c r="D115" s="74"/>
      <c r="E115" s="74"/>
      <c r="F115" s="74"/>
      <c r="G115" s="74"/>
      <c r="H115" s="74"/>
      <c r="I115" s="179"/>
      <c r="J115" s="180"/>
      <c r="K115" s="180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9.5" customHeight="1">
      <c r="A116" s="74"/>
      <c r="B116" s="74"/>
      <c r="C116" s="74"/>
      <c r="D116" s="74"/>
      <c r="E116" s="74"/>
      <c r="F116" s="74"/>
      <c r="G116" s="74"/>
      <c r="H116" s="74"/>
      <c r="I116" s="179"/>
      <c r="J116" s="180"/>
      <c r="K116" s="180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9.5" customHeight="1">
      <c r="A117" s="74"/>
      <c r="B117" s="74"/>
      <c r="C117" s="74"/>
      <c r="D117" s="74"/>
      <c r="E117" s="74"/>
      <c r="F117" s="74"/>
      <c r="G117" s="74"/>
      <c r="H117" s="74"/>
      <c r="I117" s="179"/>
      <c r="J117" s="180"/>
      <c r="K117" s="180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9.5" customHeight="1">
      <c r="A118" s="74"/>
      <c r="B118" s="74"/>
      <c r="C118" s="74"/>
      <c r="D118" s="74"/>
      <c r="E118" s="74"/>
      <c r="F118" s="74"/>
      <c r="G118" s="74"/>
      <c r="H118" s="74"/>
      <c r="I118" s="179"/>
      <c r="J118" s="180"/>
      <c r="K118" s="180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9.5" customHeight="1">
      <c r="A119" s="74"/>
      <c r="B119" s="74"/>
      <c r="C119" s="74"/>
      <c r="D119" s="74"/>
      <c r="E119" s="74"/>
      <c r="F119" s="74"/>
      <c r="G119" s="74"/>
      <c r="H119" s="74"/>
      <c r="I119" s="179"/>
      <c r="J119" s="180"/>
      <c r="K119" s="180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9.5" customHeight="1">
      <c r="A120" s="74"/>
      <c r="B120" s="74"/>
      <c r="C120" s="74"/>
      <c r="D120" s="74"/>
      <c r="E120" s="74"/>
      <c r="F120" s="74"/>
      <c r="G120" s="74"/>
      <c r="H120" s="74"/>
      <c r="I120" s="179"/>
      <c r="J120" s="180"/>
      <c r="K120" s="180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9.5" customHeight="1">
      <c r="A121" s="74"/>
      <c r="B121" s="74"/>
      <c r="C121" s="74"/>
      <c r="D121" s="74"/>
      <c r="E121" s="74"/>
      <c r="F121" s="74"/>
      <c r="G121" s="74"/>
      <c r="H121" s="74"/>
      <c r="I121" s="179"/>
      <c r="J121" s="180"/>
      <c r="K121" s="180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9.5" customHeight="1">
      <c r="A122" s="74"/>
      <c r="B122" s="74"/>
      <c r="C122" s="74"/>
      <c r="D122" s="74"/>
      <c r="E122" s="74"/>
      <c r="F122" s="74"/>
      <c r="G122" s="74"/>
      <c r="H122" s="74"/>
      <c r="I122" s="179"/>
      <c r="J122" s="180"/>
      <c r="K122" s="180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9.5" customHeight="1">
      <c r="A123" s="74"/>
      <c r="B123" s="74"/>
      <c r="C123" s="74"/>
      <c r="D123" s="74"/>
      <c r="E123" s="74"/>
      <c r="F123" s="74"/>
      <c r="G123" s="74"/>
      <c r="H123" s="74"/>
      <c r="I123" s="179"/>
      <c r="J123" s="180"/>
      <c r="K123" s="180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9.5" customHeight="1">
      <c r="A124" s="74"/>
      <c r="B124" s="74"/>
      <c r="C124" s="74"/>
      <c r="D124" s="74"/>
      <c r="E124" s="74"/>
      <c r="F124" s="74"/>
      <c r="G124" s="74"/>
      <c r="H124" s="74"/>
      <c r="I124" s="179"/>
      <c r="J124" s="180"/>
      <c r="K124" s="180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9.5" customHeight="1">
      <c r="A125" s="74"/>
      <c r="B125" s="74"/>
      <c r="C125" s="74"/>
      <c r="D125" s="74"/>
      <c r="E125" s="74"/>
      <c r="F125" s="74"/>
      <c r="G125" s="74"/>
      <c r="H125" s="74"/>
      <c r="I125" s="179"/>
      <c r="J125" s="180"/>
      <c r="K125" s="180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9.5" customHeight="1">
      <c r="A126" s="74"/>
      <c r="B126" s="74"/>
      <c r="C126" s="74"/>
      <c r="D126" s="74"/>
      <c r="E126" s="74"/>
      <c r="F126" s="74"/>
      <c r="G126" s="74"/>
      <c r="H126" s="74"/>
      <c r="I126" s="179"/>
      <c r="J126" s="180"/>
      <c r="K126" s="180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9.5" customHeight="1">
      <c r="A127" s="74"/>
      <c r="B127" s="74"/>
      <c r="C127" s="74"/>
      <c r="D127" s="74"/>
      <c r="E127" s="74"/>
      <c r="F127" s="74"/>
      <c r="G127" s="74"/>
      <c r="H127" s="74"/>
      <c r="I127" s="179"/>
      <c r="J127" s="180"/>
      <c r="K127" s="180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9.5" customHeight="1">
      <c r="A128" s="74"/>
      <c r="B128" s="74"/>
      <c r="C128" s="74"/>
      <c r="D128" s="74"/>
      <c r="E128" s="74"/>
      <c r="F128" s="74"/>
      <c r="G128" s="74"/>
      <c r="H128" s="74"/>
      <c r="I128" s="179"/>
      <c r="J128" s="180"/>
      <c r="K128" s="180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9.5" customHeight="1">
      <c r="A129" s="74"/>
      <c r="B129" s="74"/>
      <c r="C129" s="74"/>
      <c r="D129" s="74"/>
      <c r="E129" s="74"/>
      <c r="F129" s="74"/>
      <c r="G129" s="74"/>
      <c r="H129" s="74"/>
      <c r="I129" s="179"/>
      <c r="J129" s="180"/>
      <c r="K129" s="180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9.5" customHeight="1">
      <c r="A130" s="74"/>
      <c r="B130" s="74"/>
      <c r="C130" s="74"/>
      <c r="D130" s="74"/>
      <c r="E130" s="74"/>
      <c r="F130" s="74"/>
      <c r="G130" s="74"/>
      <c r="H130" s="74"/>
      <c r="I130" s="179"/>
      <c r="J130" s="180"/>
      <c r="K130" s="180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9.5" customHeight="1">
      <c r="A131" s="74"/>
      <c r="B131" s="74"/>
      <c r="C131" s="74"/>
      <c r="D131" s="74"/>
      <c r="E131" s="74"/>
      <c r="F131" s="74"/>
      <c r="G131" s="74"/>
      <c r="H131" s="74"/>
      <c r="I131" s="179"/>
      <c r="J131" s="180"/>
      <c r="K131" s="180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9.5" customHeight="1">
      <c r="A132" s="74"/>
      <c r="B132" s="74"/>
      <c r="C132" s="74"/>
      <c r="D132" s="74"/>
      <c r="E132" s="74"/>
      <c r="F132" s="74"/>
      <c r="G132" s="74"/>
      <c r="H132" s="74"/>
      <c r="I132" s="179"/>
      <c r="J132" s="180"/>
      <c r="K132" s="180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9.5" customHeight="1">
      <c r="A133" s="74"/>
      <c r="B133" s="74"/>
      <c r="C133" s="74"/>
      <c r="D133" s="74"/>
      <c r="E133" s="74"/>
      <c r="F133" s="74"/>
      <c r="G133" s="74"/>
      <c r="H133" s="74"/>
      <c r="I133" s="179"/>
      <c r="J133" s="180"/>
      <c r="K133" s="180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9.5" customHeight="1">
      <c r="A134" s="74"/>
      <c r="B134" s="74"/>
      <c r="C134" s="74"/>
      <c r="D134" s="74"/>
      <c r="E134" s="74"/>
      <c r="F134" s="74"/>
      <c r="G134" s="74"/>
      <c r="H134" s="74"/>
      <c r="I134" s="179"/>
      <c r="J134" s="180"/>
      <c r="K134" s="180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9.5" customHeight="1">
      <c r="A135" s="74"/>
      <c r="B135" s="74"/>
      <c r="C135" s="74"/>
      <c r="D135" s="74"/>
      <c r="E135" s="74"/>
      <c r="F135" s="74"/>
      <c r="G135" s="74"/>
      <c r="H135" s="74"/>
      <c r="I135" s="179"/>
      <c r="J135" s="180"/>
      <c r="K135" s="180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9.5" customHeight="1">
      <c r="A136" s="74"/>
      <c r="B136" s="74"/>
      <c r="C136" s="74"/>
      <c r="D136" s="74"/>
      <c r="E136" s="74"/>
      <c r="F136" s="74"/>
      <c r="G136" s="74"/>
      <c r="H136" s="74"/>
      <c r="I136" s="179"/>
      <c r="J136" s="180"/>
      <c r="K136" s="180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9.5" customHeight="1">
      <c r="A137" s="74"/>
      <c r="B137" s="74"/>
      <c r="C137" s="74"/>
      <c r="D137" s="74"/>
      <c r="E137" s="74"/>
      <c r="F137" s="74"/>
      <c r="G137" s="74"/>
      <c r="H137" s="74"/>
      <c r="I137" s="179"/>
      <c r="J137" s="180"/>
      <c r="K137" s="180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9.5" customHeight="1">
      <c r="A138" s="74"/>
      <c r="B138" s="74"/>
      <c r="C138" s="74"/>
      <c r="D138" s="74"/>
      <c r="E138" s="74"/>
      <c r="F138" s="74"/>
      <c r="G138" s="74"/>
      <c r="H138" s="74"/>
      <c r="I138" s="179"/>
      <c r="J138" s="180"/>
      <c r="K138" s="180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9.5" customHeight="1">
      <c r="A139" s="74"/>
      <c r="B139" s="74"/>
      <c r="C139" s="74"/>
      <c r="D139" s="74"/>
      <c r="E139" s="74"/>
      <c r="F139" s="74"/>
      <c r="G139" s="74"/>
      <c r="H139" s="74"/>
      <c r="I139" s="179"/>
      <c r="J139" s="180"/>
      <c r="K139" s="180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9.5" customHeight="1">
      <c r="A140" s="74"/>
      <c r="B140" s="74"/>
      <c r="C140" s="74"/>
      <c r="D140" s="74"/>
      <c r="E140" s="74"/>
      <c r="F140" s="74"/>
      <c r="G140" s="74"/>
      <c r="H140" s="74"/>
      <c r="I140" s="179"/>
      <c r="J140" s="180"/>
      <c r="K140" s="180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9.5" customHeight="1">
      <c r="A141" s="74"/>
      <c r="B141" s="74"/>
      <c r="C141" s="74"/>
      <c r="D141" s="74"/>
      <c r="E141" s="74"/>
      <c r="F141" s="74"/>
      <c r="G141" s="74"/>
      <c r="H141" s="74"/>
      <c r="I141" s="179"/>
      <c r="J141" s="180"/>
      <c r="K141" s="180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9.5" customHeight="1">
      <c r="A142" s="74"/>
      <c r="B142" s="74"/>
      <c r="C142" s="74"/>
      <c r="D142" s="74"/>
      <c r="E142" s="74"/>
      <c r="F142" s="74"/>
      <c r="G142" s="74"/>
      <c r="H142" s="74"/>
      <c r="I142" s="179"/>
      <c r="J142" s="180"/>
      <c r="K142" s="180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9.5" customHeight="1">
      <c r="A143" s="74"/>
      <c r="B143" s="74"/>
      <c r="C143" s="74"/>
      <c r="D143" s="74"/>
      <c r="E143" s="74"/>
      <c r="F143" s="74"/>
      <c r="G143" s="74"/>
      <c r="H143" s="74"/>
      <c r="I143" s="179"/>
      <c r="J143" s="180"/>
      <c r="K143" s="180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9.5" customHeight="1">
      <c r="A144" s="74"/>
      <c r="B144" s="74"/>
      <c r="C144" s="74"/>
      <c r="D144" s="74"/>
      <c r="E144" s="74"/>
      <c r="F144" s="74"/>
      <c r="G144" s="74"/>
      <c r="H144" s="74"/>
      <c r="I144" s="179"/>
      <c r="J144" s="180"/>
      <c r="K144" s="180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9.5" customHeight="1">
      <c r="A145" s="74"/>
      <c r="B145" s="74"/>
      <c r="C145" s="74"/>
      <c r="D145" s="74"/>
      <c r="E145" s="74"/>
      <c r="F145" s="74"/>
      <c r="G145" s="74"/>
      <c r="H145" s="74"/>
      <c r="I145" s="179"/>
      <c r="J145" s="180"/>
      <c r="K145" s="180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9.5" customHeight="1">
      <c r="A146" s="74"/>
      <c r="B146" s="74"/>
      <c r="C146" s="74"/>
      <c r="D146" s="74"/>
      <c r="E146" s="74"/>
      <c r="F146" s="74"/>
      <c r="G146" s="74"/>
      <c r="H146" s="74"/>
      <c r="I146" s="179"/>
      <c r="J146" s="180"/>
      <c r="K146" s="180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9.5" customHeight="1">
      <c r="A147" s="74"/>
      <c r="B147" s="74"/>
      <c r="C147" s="74"/>
      <c r="D147" s="74"/>
      <c r="E147" s="74"/>
      <c r="F147" s="74"/>
      <c r="G147" s="74"/>
      <c r="H147" s="74"/>
      <c r="I147" s="179"/>
      <c r="J147" s="180"/>
      <c r="K147" s="180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9.5" customHeight="1">
      <c r="A148" s="74"/>
      <c r="B148" s="74"/>
      <c r="C148" s="74"/>
      <c r="D148" s="74"/>
      <c r="E148" s="74"/>
      <c r="F148" s="74"/>
      <c r="G148" s="74"/>
      <c r="H148" s="74"/>
      <c r="I148" s="179"/>
      <c r="J148" s="180"/>
      <c r="K148" s="180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9.5" customHeight="1">
      <c r="A149" s="74"/>
      <c r="B149" s="74"/>
      <c r="C149" s="74"/>
      <c r="D149" s="74"/>
      <c r="E149" s="74"/>
      <c r="F149" s="74"/>
      <c r="G149" s="74"/>
      <c r="H149" s="74"/>
      <c r="I149" s="179"/>
      <c r="J149" s="180"/>
      <c r="K149" s="180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9.5" customHeight="1">
      <c r="A150" s="74"/>
      <c r="B150" s="74"/>
      <c r="C150" s="74"/>
      <c r="D150" s="74"/>
      <c r="E150" s="74"/>
      <c r="F150" s="74"/>
      <c r="G150" s="74"/>
      <c r="H150" s="74"/>
      <c r="I150" s="179"/>
      <c r="J150" s="180"/>
      <c r="K150" s="180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9.5" customHeight="1">
      <c r="A151" s="74"/>
      <c r="B151" s="74"/>
      <c r="C151" s="74"/>
      <c r="D151" s="74"/>
      <c r="E151" s="74"/>
      <c r="F151" s="74"/>
      <c r="G151" s="74"/>
      <c r="H151" s="74"/>
      <c r="I151" s="179"/>
      <c r="J151" s="180"/>
      <c r="K151" s="180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9.5" customHeight="1">
      <c r="A152" s="74"/>
      <c r="B152" s="74"/>
      <c r="C152" s="74"/>
      <c r="D152" s="74"/>
      <c r="E152" s="74"/>
      <c r="F152" s="74"/>
      <c r="G152" s="74"/>
      <c r="H152" s="74"/>
      <c r="I152" s="179"/>
      <c r="J152" s="180"/>
      <c r="K152" s="180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9.5" customHeight="1">
      <c r="A153" s="74"/>
      <c r="B153" s="74"/>
      <c r="C153" s="74"/>
      <c r="D153" s="74"/>
      <c r="E153" s="74"/>
      <c r="F153" s="74"/>
      <c r="G153" s="74"/>
      <c r="H153" s="74"/>
      <c r="I153" s="179"/>
      <c r="J153" s="180"/>
      <c r="K153" s="180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9.5" customHeight="1">
      <c r="A154" s="74"/>
      <c r="B154" s="74"/>
      <c r="C154" s="74"/>
      <c r="D154" s="74"/>
      <c r="E154" s="74"/>
      <c r="F154" s="74"/>
      <c r="G154" s="74"/>
      <c r="H154" s="74"/>
      <c r="I154" s="179"/>
      <c r="J154" s="180"/>
      <c r="K154" s="180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9.5" customHeight="1">
      <c r="A155" s="74"/>
      <c r="B155" s="74"/>
      <c r="C155" s="74"/>
      <c r="D155" s="74"/>
      <c r="E155" s="74"/>
      <c r="F155" s="74"/>
      <c r="G155" s="74"/>
      <c r="H155" s="74"/>
      <c r="I155" s="179"/>
      <c r="J155" s="180"/>
      <c r="K155" s="180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9.5" customHeight="1">
      <c r="A156" s="74"/>
      <c r="B156" s="74"/>
      <c r="C156" s="74"/>
      <c r="D156" s="74"/>
      <c r="E156" s="74"/>
      <c r="F156" s="74"/>
      <c r="G156" s="74"/>
      <c r="H156" s="74"/>
      <c r="I156" s="179"/>
      <c r="J156" s="180"/>
      <c r="K156" s="180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9.5" customHeight="1">
      <c r="A157" s="74"/>
      <c r="B157" s="74"/>
      <c r="C157" s="74"/>
      <c r="D157" s="74"/>
      <c r="E157" s="74"/>
      <c r="F157" s="74"/>
      <c r="G157" s="74"/>
      <c r="H157" s="74"/>
      <c r="I157" s="179"/>
      <c r="J157" s="180"/>
      <c r="K157" s="180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9.5" customHeight="1">
      <c r="A158" s="74"/>
      <c r="B158" s="74"/>
      <c r="C158" s="74"/>
      <c r="D158" s="74"/>
      <c r="E158" s="74"/>
      <c r="F158" s="74"/>
      <c r="G158" s="74"/>
      <c r="H158" s="74"/>
      <c r="I158" s="179"/>
      <c r="J158" s="180"/>
      <c r="K158" s="180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9.5" customHeight="1">
      <c r="A159" s="74"/>
      <c r="B159" s="74"/>
      <c r="C159" s="74"/>
      <c r="D159" s="74"/>
      <c r="E159" s="74"/>
      <c r="F159" s="74"/>
      <c r="G159" s="74"/>
      <c r="H159" s="74"/>
      <c r="I159" s="179"/>
      <c r="J159" s="180"/>
      <c r="K159" s="180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9.5" customHeight="1">
      <c r="A160" s="74"/>
      <c r="B160" s="74"/>
      <c r="C160" s="74"/>
      <c r="D160" s="74"/>
      <c r="E160" s="74"/>
      <c r="F160" s="74"/>
      <c r="G160" s="74"/>
      <c r="H160" s="74"/>
      <c r="I160" s="179"/>
      <c r="J160" s="180"/>
      <c r="K160" s="180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9.5" customHeight="1">
      <c r="A161" s="74"/>
      <c r="B161" s="74"/>
      <c r="C161" s="74"/>
      <c r="D161" s="74"/>
      <c r="E161" s="74"/>
      <c r="F161" s="74"/>
      <c r="G161" s="74"/>
      <c r="H161" s="74"/>
      <c r="I161" s="179"/>
      <c r="J161" s="180"/>
      <c r="K161" s="180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9.5" customHeight="1">
      <c r="A162" s="74"/>
      <c r="B162" s="74"/>
      <c r="C162" s="74"/>
      <c r="D162" s="74"/>
      <c r="E162" s="74"/>
      <c r="F162" s="74"/>
      <c r="G162" s="74"/>
      <c r="H162" s="74"/>
      <c r="I162" s="179"/>
      <c r="J162" s="180"/>
      <c r="K162" s="180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9.5" customHeight="1">
      <c r="A163" s="74"/>
      <c r="B163" s="74"/>
      <c r="C163" s="74"/>
      <c r="D163" s="74"/>
      <c r="E163" s="74"/>
      <c r="F163" s="74"/>
      <c r="G163" s="74"/>
      <c r="H163" s="74"/>
      <c r="I163" s="179"/>
      <c r="J163" s="180"/>
      <c r="K163" s="180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9.5" customHeight="1">
      <c r="A164" s="74"/>
      <c r="B164" s="74"/>
      <c r="C164" s="74"/>
      <c r="D164" s="74"/>
      <c r="E164" s="74"/>
      <c r="F164" s="74"/>
      <c r="G164" s="74"/>
      <c r="H164" s="74"/>
      <c r="I164" s="179"/>
      <c r="J164" s="180"/>
      <c r="K164" s="180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9.5" customHeight="1">
      <c r="A165" s="74"/>
      <c r="B165" s="74"/>
      <c r="C165" s="74"/>
      <c r="D165" s="74"/>
      <c r="E165" s="74"/>
      <c r="F165" s="74"/>
      <c r="G165" s="74"/>
      <c r="H165" s="74"/>
      <c r="I165" s="179"/>
      <c r="J165" s="180"/>
      <c r="K165" s="180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9.5" customHeight="1">
      <c r="A166" s="74"/>
      <c r="B166" s="74"/>
      <c r="C166" s="74"/>
      <c r="D166" s="74"/>
      <c r="E166" s="74"/>
      <c r="F166" s="74"/>
      <c r="G166" s="74"/>
      <c r="H166" s="74"/>
      <c r="I166" s="179"/>
      <c r="J166" s="180"/>
      <c r="K166" s="180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9.5" customHeight="1">
      <c r="A167" s="74"/>
      <c r="B167" s="74"/>
      <c r="C167" s="74"/>
      <c r="D167" s="74"/>
      <c r="E167" s="74"/>
      <c r="F167" s="74"/>
      <c r="G167" s="74"/>
      <c r="H167" s="74"/>
      <c r="I167" s="179"/>
      <c r="J167" s="180"/>
      <c r="K167" s="180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9.5" customHeight="1">
      <c r="A168" s="74"/>
      <c r="B168" s="74"/>
      <c r="C168" s="74"/>
      <c r="D168" s="74"/>
      <c r="E168" s="74"/>
      <c r="F168" s="74"/>
      <c r="G168" s="74"/>
      <c r="H168" s="74"/>
      <c r="I168" s="179"/>
      <c r="J168" s="180"/>
      <c r="K168" s="180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9.5" customHeight="1">
      <c r="A169" s="74"/>
      <c r="B169" s="74"/>
      <c r="C169" s="74"/>
      <c r="D169" s="74"/>
      <c r="E169" s="74"/>
      <c r="F169" s="74"/>
      <c r="G169" s="74"/>
      <c r="H169" s="74"/>
      <c r="I169" s="179"/>
      <c r="J169" s="180"/>
      <c r="K169" s="180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9.5" customHeight="1">
      <c r="A170" s="74"/>
      <c r="B170" s="74"/>
      <c r="C170" s="74"/>
      <c r="D170" s="74"/>
      <c r="E170" s="74"/>
      <c r="F170" s="74"/>
      <c r="G170" s="74"/>
      <c r="H170" s="74"/>
      <c r="I170" s="179"/>
      <c r="J170" s="180"/>
      <c r="K170" s="180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9.5" customHeight="1">
      <c r="A171" s="74"/>
      <c r="B171" s="74"/>
      <c r="C171" s="74"/>
      <c r="D171" s="74"/>
      <c r="E171" s="74"/>
      <c r="F171" s="74"/>
      <c r="G171" s="74"/>
      <c r="H171" s="74"/>
      <c r="I171" s="179"/>
      <c r="J171" s="180"/>
      <c r="K171" s="180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9.5" customHeight="1">
      <c r="A172" s="74"/>
      <c r="B172" s="74"/>
      <c r="C172" s="74"/>
      <c r="D172" s="74"/>
      <c r="E172" s="74"/>
      <c r="F172" s="74"/>
      <c r="G172" s="74"/>
      <c r="H172" s="74"/>
      <c r="I172" s="179"/>
      <c r="J172" s="180"/>
      <c r="K172" s="180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9.5" customHeight="1">
      <c r="A173" s="74"/>
      <c r="B173" s="74"/>
      <c r="C173" s="74"/>
      <c r="D173" s="74"/>
      <c r="E173" s="74"/>
      <c r="F173" s="74"/>
      <c r="G173" s="74"/>
      <c r="H173" s="74"/>
      <c r="I173" s="179"/>
      <c r="J173" s="180"/>
      <c r="K173" s="180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9.5" customHeight="1">
      <c r="A174" s="74"/>
      <c r="B174" s="74"/>
      <c r="C174" s="74"/>
      <c r="D174" s="74"/>
      <c r="E174" s="74"/>
      <c r="F174" s="74"/>
      <c r="G174" s="74"/>
      <c r="H174" s="74"/>
      <c r="I174" s="179"/>
      <c r="J174" s="180"/>
      <c r="K174" s="180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9.5" customHeight="1">
      <c r="A175" s="74"/>
      <c r="B175" s="74"/>
      <c r="C175" s="74"/>
      <c r="D175" s="74"/>
      <c r="E175" s="74"/>
      <c r="F175" s="74"/>
      <c r="G175" s="74"/>
      <c r="H175" s="74"/>
      <c r="I175" s="179"/>
      <c r="J175" s="180"/>
      <c r="K175" s="180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9.5" customHeight="1">
      <c r="A176" s="74"/>
      <c r="B176" s="74"/>
      <c r="C176" s="74"/>
      <c r="D176" s="74"/>
      <c r="E176" s="74"/>
      <c r="F176" s="74"/>
      <c r="G176" s="74"/>
      <c r="H176" s="74"/>
      <c r="I176" s="179"/>
      <c r="J176" s="180"/>
      <c r="K176" s="180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9.5" customHeight="1">
      <c r="A177" s="74"/>
      <c r="B177" s="74"/>
      <c r="C177" s="74"/>
      <c r="D177" s="74"/>
      <c r="E177" s="74"/>
      <c r="F177" s="74"/>
      <c r="G177" s="74"/>
      <c r="H177" s="74"/>
      <c r="I177" s="179"/>
      <c r="J177" s="180"/>
      <c r="K177" s="180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9.5" customHeight="1">
      <c r="A178" s="74"/>
      <c r="B178" s="74"/>
      <c r="C178" s="74"/>
      <c r="D178" s="74"/>
      <c r="E178" s="74"/>
      <c r="F178" s="74"/>
      <c r="G178" s="74"/>
      <c r="H178" s="74"/>
      <c r="I178" s="179"/>
      <c r="J178" s="180"/>
      <c r="K178" s="180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9.5" customHeight="1">
      <c r="A179" s="74"/>
      <c r="B179" s="74"/>
      <c r="C179" s="74"/>
      <c r="D179" s="74"/>
      <c r="E179" s="74"/>
      <c r="F179" s="74"/>
      <c r="G179" s="74"/>
      <c r="H179" s="74"/>
      <c r="I179" s="179"/>
      <c r="J179" s="180"/>
      <c r="K179" s="180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9.5" customHeight="1">
      <c r="A180" s="74"/>
      <c r="B180" s="74"/>
      <c r="C180" s="74"/>
      <c r="D180" s="74"/>
      <c r="E180" s="74"/>
      <c r="F180" s="74"/>
      <c r="G180" s="74"/>
      <c r="H180" s="74"/>
      <c r="I180" s="179"/>
      <c r="J180" s="180"/>
      <c r="K180" s="180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9.5" customHeight="1">
      <c r="A181" s="74"/>
      <c r="B181" s="74"/>
      <c r="C181" s="74"/>
      <c r="D181" s="74"/>
      <c r="E181" s="74"/>
      <c r="F181" s="74"/>
      <c r="G181" s="74"/>
      <c r="H181" s="74"/>
      <c r="I181" s="179"/>
      <c r="J181" s="180"/>
      <c r="K181" s="180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9.5" customHeight="1">
      <c r="A182" s="74"/>
      <c r="B182" s="74"/>
      <c r="C182" s="74"/>
      <c r="D182" s="74"/>
      <c r="E182" s="74"/>
      <c r="F182" s="74"/>
      <c r="G182" s="74"/>
      <c r="H182" s="74"/>
      <c r="I182" s="179"/>
      <c r="J182" s="180"/>
      <c r="K182" s="180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9.5" customHeight="1">
      <c r="A183" s="74"/>
      <c r="B183" s="74"/>
      <c r="C183" s="74"/>
      <c r="D183" s="74"/>
      <c r="E183" s="74"/>
      <c r="F183" s="74"/>
      <c r="G183" s="74"/>
      <c r="H183" s="74"/>
      <c r="I183" s="179"/>
      <c r="J183" s="180"/>
      <c r="K183" s="180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9.5" customHeight="1">
      <c r="A184" s="74"/>
      <c r="B184" s="74"/>
      <c r="C184" s="74"/>
      <c r="D184" s="74"/>
      <c r="E184" s="74"/>
      <c r="F184" s="74"/>
      <c r="G184" s="74"/>
      <c r="H184" s="74"/>
      <c r="I184" s="179"/>
      <c r="J184" s="180"/>
      <c r="K184" s="180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9.5" customHeight="1">
      <c r="A185" s="74"/>
      <c r="B185" s="74"/>
      <c r="C185" s="74"/>
      <c r="D185" s="74"/>
      <c r="E185" s="74"/>
      <c r="F185" s="74"/>
      <c r="G185" s="74"/>
      <c r="H185" s="74"/>
      <c r="I185" s="179"/>
      <c r="J185" s="180"/>
      <c r="K185" s="180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9.5" customHeight="1">
      <c r="A186" s="74"/>
      <c r="B186" s="74"/>
      <c r="C186" s="74"/>
      <c r="D186" s="74"/>
      <c r="E186" s="74"/>
      <c r="F186" s="74"/>
      <c r="G186" s="74"/>
      <c r="H186" s="74"/>
      <c r="I186" s="179"/>
      <c r="J186" s="180"/>
      <c r="K186" s="180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9.5" customHeight="1">
      <c r="A187" s="74"/>
      <c r="B187" s="74"/>
      <c r="C187" s="74"/>
      <c r="D187" s="74"/>
      <c r="E187" s="74"/>
      <c r="F187" s="74"/>
      <c r="G187" s="74"/>
      <c r="H187" s="74"/>
      <c r="I187" s="179"/>
      <c r="J187" s="180"/>
      <c r="K187" s="180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9.5" customHeight="1">
      <c r="A188" s="74"/>
      <c r="B188" s="74"/>
      <c r="C188" s="74"/>
      <c r="D188" s="74"/>
      <c r="E188" s="74"/>
      <c r="F188" s="74"/>
      <c r="G188" s="74"/>
      <c r="H188" s="74"/>
      <c r="I188" s="179"/>
      <c r="J188" s="180"/>
      <c r="K188" s="180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9.5" customHeight="1">
      <c r="A189" s="74"/>
      <c r="B189" s="74"/>
      <c r="C189" s="74"/>
      <c r="D189" s="74"/>
      <c r="E189" s="74"/>
      <c r="F189" s="74"/>
      <c r="G189" s="74"/>
      <c r="H189" s="74"/>
      <c r="I189" s="179"/>
      <c r="J189" s="180"/>
      <c r="K189" s="180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9.5" customHeight="1">
      <c r="A190" s="74"/>
      <c r="B190" s="74"/>
      <c r="C190" s="74"/>
      <c r="D190" s="74"/>
      <c r="E190" s="74"/>
      <c r="F190" s="74"/>
      <c r="G190" s="74"/>
      <c r="H190" s="74"/>
      <c r="I190" s="179"/>
      <c r="J190" s="180"/>
      <c r="K190" s="180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9.5" customHeight="1">
      <c r="A191" s="74"/>
      <c r="B191" s="74"/>
      <c r="C191" s="74"/>
      <c r="D191" s="74"/>
      <c r="E191" s="74"/>
      <c r="F191" s="74"/>
      <c r="G191" s="74"/>
      <c r="H191" s="74"/>
      <c r="I191" s="179"/>
      <c r="J191" s="180"/>
      <c r="K191" s="180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9.5" customHeight="1">
      <c r="A192" s="74"/>
      <c r="B192" s="74"/>
      <c r="C192" s="74"/>
      <c r="D192" s="74"/>
      <c r="E192" s="74"/>
      <c r="F192" s="74"/>
      <c r="G192" s="74"/>
      <c r="H192" s="74"/>
      <c r="I192" s="179"/>
      <c r="J192" s="180"/>
      <c r="K192" s="180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9.5" customHeight="1">
      <c r="A193" s="74"/>
      <c r="B193" s="74"/>
      <c r="C193" s="74"/>
      <c r="D193" s="74"/>
      <c r="E193" s="74"/>
      <c r="F193" s="74"/>
      <c r="G193" s="74"/>
      <c r="H193" s="74"/>
      <c r="I193" s="179"/>
      <c r="J193" s="180"/>
      <c r="K193" s="180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9.5" customHeight="1">
      <c r="A194" s="74"/>
      <c r="B194" s="74"/>
      <c r="C194" s="74"/>
      <c r="D194" s="74"/>
      <c r="E194" s="74"/>
      <c r="F194" s="74"/>
      <c r="G194" s="74"/>
      <c r="H194" s="74"/>
      <c r="I194" s="179"/>
      <c r="J194" s="180"/>
      <c r="K194" s="180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9.5" customHeight="1">
      <c r="A195" s="74"/>
      <c r="B195" s="74"/>
      <c r="C195" s="74"/>
      <c r="D195" s="74"/>
      <c r="E195" s="74"/>
      <c r="F195" s="74"/>
      <c r="G195" s="74"/>
      <c r="H195" s="74"/>
      <c r="I195" s="179"/>
      <c r="J195" s="180"/>
      <c r="K195" s="180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9.5" customHeight="1">
      <c r="A196" s="74"/>
      <c r="B196" s="74"/>
      <c r="C196" s="74"/>
      <c r="D196" s="74"/>
      <c r="E196" s="74"/>
      <c r="F196" s="74"/>
      <c r="G196" s="74"/>
      <c r="H196" s="74"/>
      <c r="I196" s="179"/>
      <c r="J196" s="180"/>
      <c r="K196" s="180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9.5" customHeight="1">
      <c r="A197" s="74"/>
      <c r="B197" s="74"/>
      <c r="C197" s="74"/>
      <c r="D197" s="74"/>
      <c r="E197" s="74"/>
      <c r="F197" s="74"/>
      <c r="G197" s="74"/>
      <c r="H197" s="74"/>
      <c r="I197" s="179"/>
      <c r="J197" s="180"/>
      <c r="K197" s="180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9.5" customHeight="1">
      <c r="A198" s="74"/>
      <c r="B198" s="74"/>
      <c r="C198" s="74"/>
      <c r="D198" s="74"/>
      <c r="E198" s="74"/>
      <c r="F198" s="74"/>
      <c r="G198" s="74"/>
      <c r="H198" s="74"/>
      <c r="I198" s="179"/>
      <c r="J198" s="180"/>
      <c r="K198" s="180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9.5" customHeight="1">
      <c r="A199" s="74"/>
      <c r="B199" s="74"/>
      <c r="C199" s="74"/>
      <c r="D199" s="74"/>
      <c r="E199" s="74"/>
      <c r="F199" s="74"/>
      <c r="G199" s="74"/>
      <c r="H199" s="74"/>
      <c r="I199" s="179"/>
      <c r="J199" s="180"/>
      <c r="K199" s="180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9.5" customHeight="1">
      <c r="A200" s="74"/>
      <c r="B200" s="74"/>
      <c r="C200" s="74"/>
      <c r="D200" s="74"/>
      <c r="E200" s="74"/>
      <c r="F200" s="74"/>
      <c r="G200" s="74"/>
      <c r="H200" s="74"/>
      <c r="I200" s="179"/>
      <c r="J200" s="180"/>
      <c r="K200" s="180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9.5" customHeight="1">
      <c r="A201" s="74"/>
      <c r="B201" s="74"/>
      <c r="C201" s="74"/>
      <c r="D201" s="74"/>
      <c r="E201" s="74"/>
      <c r="F201" s="74"/>
      <c r="G201" s="74"/>
      <c r="H201" s="74"/>
      <c r="I201" s="179"/>
      <c r="J201" s="180"/>
      <c r="K201" s="180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9.5" customHeight="1">
      <c r="A202" s="74"/>
      <c r="B202" s="74"/>
      <c r="C202" s="74"/>
      <c r="D202" s="74"/>
      <c r="E202" s="74"/>
      <c r="F202" s="74"/>
      <c r="G202" s="74"/>
      <c r="H202" s="74"/>
      <c r="I202" s="179"/>
      <c r="J202" s="180"/>
      <c r="K202" s="180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9.5" customHeight="1">
      <c r="A203" s="74"/>
      <c r="B203" s="74"/>
      <c r="C203" s="74"/>
      <c r="D203" s="74"/>
      <c r="E203" s="74"/>
      <c r="F203" s="74"/>
      <c r="G203" s="74"/>
      <c r="H203" s="74"/>
      <c r="I203" s="179"/>
      <c r="J203" s="180"/>
      <c r="K203" s="180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9.5" customHeight="1">
      <c r="A204" s="74"/>
      <c r="B204" s="74"/>
      <c r="C204" s="74"/>
      <c r="D204" s="74"/>
      <c r="E204" s="74"/>
      <c r="F204" s="74"/>
      <c r="G204" s="74"/>
      <c r="H204" s="74"/>
      <c r="I204" s="179"/>
      <c r="J204" s="180"/>
      <c r="K204" s="180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9.5" customHeight="1">
      <c r="A205" s="74"/>
      <c r="B205" s="74"/>
      <c r="C205" s="74"/>
      <c r="D205" s="74"/>
      <c r="E205" s="74"/>
      <c r="F205" s="74"/>
      <c r="G205" s="74"/>
      <c r="H205" s="74"/>
      <c r="I205" s="179"/>
      <c r="J205" s="180"/>
      <c r="K205" s="180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9.5" customHeight="1">
      <c r="A206" s="74"/>
      <c r="B206" s="74"/>
      <c r="C206" s="74"/>
      <c r="D206" s="74"/>
      <c r="E206" s="74"/>
      <c r="F206" s="74"/>
      <c r="G206" s="74"/>
      <c r="H206" s="74"/>
      <c r="I206" s="179"/>
      <c r="J206" s="180"/>
      <c r="K206" s="180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9.5" customHeight="1">
      <c r="A207" s="74"/>
      <c r="B207" s="74"/>
      <c r="C207" s="74"/>
      <c r="D207" s="74"/>
      <c r="E207" s="74"/>
      <c r="F207" s="74"/>
      <c r="G207" s="74"/>
      <c r="H207" s="74"/>
      <c r="I207" s="179"/>
      <c r="J207" s="180"/>
      <c r="K207" s="180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9.5" customHeight="1">
      <c r="A208" s="74"/>
      <c r="B208" s="74"/>
      <c r="C208" s="74"/>
      <c r="D208" s="74"/>
      <c r="E208" s="74"/>
      <c r="F208" s="74"/>
      <c r="G208" s="74"/>
      <c r="H208" s="74"/>
      <c r="I208" s="179"/>
      <c r="J208" s="180"/>
      <c r="K208" s="180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9.5" customHeight="1">
      <c r="A209" s="74"/>
      <c r="B209" s="74"/>
      <c r="C209" s="74"/>
      <c r="D209" s="74"/>
      <c r="E209" s="74"/>
      <c r="F209" s="74"/>
      <c r="G209" s="74"/>
      <c r="H209" s="74"/>
      <c r="I209" s="179"/>
      <c r="J209" s="180"/>
      <c r="K209" s="180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9.5" customHeight="1">
      <c r="A210" s="74"/>
      <c r="B210" s="74"/>
      <c r="C210" s="74"/>
      <c r="D210" s="74"/>
      <c r="E210" s="74"/>
      <c r="F210" s="74"/>
      <c r="G210" s="74"/>
      <c r="H210" s="74"/>
      <c r="I210" s="179"/>
      <c r="J210" s="180"/>
      <c r="K210" s="180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9.5" customHeight="1">
      <c r="A211" s="74"/>
      <c r="B211" s="74"/>
      <c r="C211" s="74"/>
      <c r="D211" s="74"/>
      <c r="E211" s="74"/>
      <c r="F211" s="74"/>
      <c r="G211" s="74"/>
      <c r="H211" s="74"/>
      <c r="I211" s="179"/>
      <c r="J211" s="180"/>
      <c r="K211" s="180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9.5" customHeight="1">
      <c r="A212" s="74"/>
      <c r="B212" s="74"/>
      <c r="C212" s="74"/>
      <c r="D212" s="74"/>
      <c r="E212" s="74"/>
      <c r="F212" s="74"/>
      <c r="G212" s="74"/>
      <c r="H212" s="74"/>
      <c r="I212" s="179"/>
      <c r="J212" s="180"/>
      <c r="K212" s="180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9.5" customHeight="1">
      <c r="A213" s="74"/>
      <c r="B213" s="74"/>
      <c r="C213" s="74"/>
      <c r="D213" s="74"/>
      <c r="E213" s="74"/>
      <c r="F213" s="74"/>
      <c r="G213" s="74"/>
      <c r="H213" s="74"/>
      <c r="I213" s="179"/>
      <c r="J213" s="180"/>
      <c r="K213" s="180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9.5" customHeight="1">
      <c r="A214" s="74"/>
      <c r="B214" s="74"/>
      <c r="C214" s="74"/>
      <c r="D214" s="74"/>
      <c r="E214" s="74"/>
      <c r="F214" s="74"/>
      <c r="G214" s="74"/>
      <c r="H214" s="74"/>
      <c r="I214" s="179"/>
      <c r="J214" s="180"/>
      <c r="K214" s="180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9.5" customHeight="1">
      <c r="A215" s="74"/>
      <c r="B215" s="74"/>
      <c r="C215" s="74"/>
      <c r="D215" s="74"/>
      <c r="E215" s="74"/>
      <c r="F215" s="74"/>
      <c r="G215" s="74"/>
      <c r="H215" s="74"/>
      <c r="I215" s="179"/>
      <c r="J215" s="180"/>
      <c r="K215" s="180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9.5" customHeight="1">
      <c r="A216" s="74"/>
      <c r="B216" s="74"/>
      <c r="C216" s="74"/>
      <c r="D216" s="74"/>
      <c r="E216" s="74"/>
      <c r="F216" s="74"/>
      <c r="G216" s="74"/>
      <c r="H216" s="74"/>
      <c r="I216" s="179"/>
      <c r="J216" s="180"/>
      <c r="K216" s="180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9.5" customHeight="1">
      <c r="A217" s="74"/>
      <c r="B217" s="74"/>
      <c r="C217" s="74"/>
      <c r="D217" s="74"/>
      <c r="E217" s="74"/>
      <c r="F217" s="74"/>
      <c r="G217" s="74"/>
      <c r="H217" s="74"/>
      <c r="I217" s="179"/>
      <c r="J217" s="180"/>
      <c r="K217" s="180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9.5" customHeight="1">
      <c r="A218" s="74"/>
      <c r="B218" s="74"/>
      <c r="C218" s="74"/>
      <c r="D218" s="74"/>
      <c r="E218" s="74"/>
      <c r="F218" s="74"/>
      <c r="G218" s="74"/>
      <c r="H218" s="74"/>
      <c r="I218" s="179"/>
      <c r="J218" s="180"/>
      <c r="K218" s="180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9.5" customHeight="1">
      <c r="A219" s="74"/>
      <c r="B219" s="74"/>
      <c r="C219" s="74"/>
      <c r="D219" s="74"/>
      <c r="E219" s="74"/>
      <c r="F219" s="74"/>
      <c r="G219" s="74"/>
      <c r="H219" s="74"/>
      <c r="I219" s="179"/>
      <c r="J219" s="180"/>
      <c r="K219" s="180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9.5" customHeight="1">
      <c r="A220" s="74"/>
      <c r="B220" s="74"/>
      <c r="C220" s="74"/>
      <c r="D220" s="74"/>
      <c r="E220" s="74"/>
      <c r="F220" s="74"/>
      <c r="G220" s="74"/>
      <c r="H220" s="74"/>
      <c r="I220" s="179"/>
      <c r="J220" s="180"/>
      <c r="K220" s="180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9.5" customHeight="1">
      <c r="A221" s="74"/>
      <c r="B221" s="74"/>
      <c r="C221" s="74"/>
      <c r="D221" s="74"/>
      <c r="E221" s="74"/>
      <c r="F221" s="74"/>
      <c r="G221" s="74"/>
      <c r="H221" s="74"/>
      <c r="I221" s="179"/>
      <c r="J221" s="180"/>
      <c r="K221" s="180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9.5" customHeight="1">
      <c r="A222" s="74"/>
      <c r="B222" s="74"/>
      <c r="C222" s="74"/>
      <c r="D222" s="74"/>
      <c r="E222" s="74"/>
      <c r="F222" s="74"/>
      <c r="G222" s="74"/>
      <c r="H222" s="74"/>
      <c r="I222" s="179"/>
      <c r="J222" s="180"/>
      <c r="K222" s="180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9.5" customHeight="1">
      <c r="A223" s="74"/>
      <c r="B223" s="74"/>
      <c r="C223" s="74"/>
      <c r="D223" s="74"/>
      <c r="E223" s="74"/>
      <c r="F223" s="74"/>
      <c r="G223" s="74"/>
      <c r="H223" s="74"/>
      <c r="I223" s="179"/>
      <c r="J223" s="180"/>
      <c r="K223" s="180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9.5" customHeight="1">
      <c r="A224" s="74"/>
      <c r="B224" s="74"/>
      <c r="C224" s="74"/>
      <c r="D224" s="74"/>
      <c r="E224" s="74"/>
      <c r="F224" s="74"/>
      <c r="G224" s="74"/>
      <c r="H224" s="74"/>
      <c r="I224" s="179"/>
      <c r="J224" s="180"/>
      <c r="K224" s="180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9.5" customHeight="1">
      <c r="A225" s="74"/>
      <c r="B225" s="74"/>
      <c r="C225" s="74"/>
      <c r="D225" s="74"/>
      <c r="E225" s="74"/>
      <c r="F225" s="74"/>
      <c r="G225" s="74"/>
      <c r="H225" s="74"/>
      <c r="I225" s="179"/>
      <c r="J225" s="180"/>
      <c r="K225" s="180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9.5" customHeight="1">
      <c r="A226" s="74"/>
      <c r="B226" s="74"/>
      <c r="C226" s="74"/>
      <c r="D226" s="74"/>
      <c r="E226" s="74"/>
      <c r="F226" s="74"/>
      <c r="G226" s="74"/>
      <c r="H226" s="74"/>
      <c r="I226" s="179"/>
      <c r="J226" s="180"/>
      <c r="K226" s="180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9.5" customHeight="1">
      <c r="A227" s="74"/>
      <c r="B227" s="74"/>
      <c r="C227" s="74"/>
      <c r="D227" s="74"/>
      <c r="E227" s="74"/>
      <c r="F227" s="74"/>
      <c r="G227" s="74"/>
      <c r="H227" s="74"/>
      <c r="I227" s="179"/>
      <c r="J227" s="180"/>
      <c r="K227" s="180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9.5" customHeight="1">
      <c r="A228" s="74"/>
      <c r="B228" s="74"/>
      <c r="C228" s="74"/>
      <c r="D228" s="74"/>
      <c r="E228" s="74"/>
      <c r="F228" s="74"/>
      <c r="G228" s="74"/>
      <c r="H228" s="74"/>
      <c r="I228" s="179"/>
      <c r="J228" s="180"/>
      <c r="K228" s="180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9.5" customHeight="1">
      <c r="A229" s="74"/>
      <c r="B229" s="74"/>
      <c r="C229" s="74"/>
      <c r="D229" s="74"/>
      <c r="E229" s="74"/>
      <c r="F229" s="74"/>
      <c r="G229" s="74"/>
      <c r="H229" s="74"/>
      <c r="I229" s="179"/>
      <c r="J229" s="180"/>
      <c r="K229" s="180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9.5" customHeight="1">
      <c r="A230" s="74"/>
      <c r="B230" s="74"/>
      <c r="C230" s="74"/>
      <c r="D230" s="74"/>
      <c r="E230" s="74"/>
      <c r="F230" s="74"/>
      <c r="G230" s="74"/>
      <c r="H230" s="74"/>
      <c r="I230" s="179"/>
      <c r="J230" s="180"/>
      <c r="K230" s="180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9.5" customHeight="1">
      <c r="A231" s="74"/>
      <c r="B231" s="74"/>
      <c r="C231" s="74"/>
      <c r="D231" s="74"/>
      <c r="E231" s="74"/>
      <c r="F231" s="74"/>
      <c r="G231" s="74"/>
      <c r="H231" s="74"/>
      <c r="I231" s="179"/>
      <c r="J231" s="180"/>
      <c r="K231" s="180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9.5" customHeight="1">
      <c r="A232" s="74"/>
      <c r="B232" s="74"/>
      <c r="C232" s="74"/>
      <c r="D232" s="74"/>
      <c r="E232" s="74"/>
      <c r="F232" s="74"/>
      <c r="G232" s="74"/>
      <c r="H232" s="74"/>
      <c r="I232" s="179"/>
      <c r="J232" s="180"/>
      <c r="K232" s="180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9.5" customHeight="1">
      <c r="A233" s="74"/>
      <c r="B233" s="74"/>
      <c r="C233" s="74"/>
      <c r="D233" s="74"/>
      <c r="E233" s="74"/>
      <c r="F233" s="74"/>
      <c r="G233" s="74"/>
      <c r="H233" s="74"/>
      <c r="I233" s="179"/>
      <c r="J233" s="180"/>
      <c r="K233" s="180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9.5" customHeight="1">
      <c r="A234" s="74"/>
      <c r="B234" s="74"/>
      <c r="C234" s="74"/>
      <c r="D234" s="74"/>
      <c r="E234" s="74"/>
      <c r="F234" s="74"/>
      <c r="G234" s="74"/>
      <c r="H234" s="74"/>
      <c r="I234" s="179"/>
      <c r="J234" s="180"/>
      <c r="K234" s="180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9.5" customHeight="1">
      <c r="A235" s="74"/>
      <c r="B235" s="74"/>
      <c r="C235" s="74"/>
      <c r="D235" s="74"/>
      <c r="E235" s="74"/>
      <c r="F235" s="74"/>
      <c r="G235" s="74"/>
      <c r="H235" s="74"/>
      <c r="I235" s="179"/>
      <c r="J235" s="180"/>
      <c r="K235" s="180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9.5" customHeight="1">
      <c r="A236" s="74"/>
      <c r="B236" s="74"/>
      <c r="C236" s="74"/>
      <c r="D236" s="74"/>
      <c r="E236" s="74"/>
      <c r="F236" s="74"/>
      <c r="G236" s="74"/>
      <c r="H236" s="74"/>
      <c r="I236" s="179"/>
      <c r="J236" s="180"/>
      <c r="K236" s="180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9.5" customHeight="1">
      <c r="A237" s="74"/>
      <c r="B237" s="74"/>
      <c r="C237" s="74"/>
      <c r="D237" s="74"/>
      <c r="E237" s="74"/>
      <c r="F237" s="74"/>
      <c r="G237" s="74"/>
      <c r="H237" s="74"/>
      <c r="I237" s="179"/>
      <c r="J237" s="180"/>
      <c r="K237" s="180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1">
    <mergeCell ref="K2:K3"/>
    <mergeCell ref="L2:L3"/>
    <mergeCell ref="A37:F37"/>
    <mergeCell ref="A1:M1"/>
    <mergeCell ref="A2:A3"/>
    <mergeCell ref="B2:B3"/>
    <mergeCell ref="D2:F2"/>
    <mergeCell ref="G2:G3"/>
    <mergeCell ref="I2:I3"/>
    <mergeCell ref="J2:J3"/>
    <mergeCell ref="M2:M3"/>
  </mergeCells>
  <conditionalFormatting sqref="I2:L2">
    <cfRule type="cellIs" dxfId="3" priority="1" operator="equal">
      <formula>"สั่งซื้อเพิ่ม"</formula>
    </cfRule>
  </conditionalFormatting>
  <pageMargins left="0" right="0" top="0.19685039370078741" bottom="0" header="0" footer="0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77A0-4F4A-4A3C-A453-C3DB2AC6EA4A}">
  <dimension ref="A1:H60"/>
  <sheetViews>
    <sheetView topLeftCell="A52" workbookViewId="0">
      <selection activeCell="J56" sqref="J56"/>
    </sheetView>
  </sheetViews>
  <sheetFormatPr defaultRowHeight="14.5"/>
  <cols>
    <col min="2" max="7" width="18.7265625" customWidth="1"/>
    <col min="8" max="8" width="18.7265625" style="396" customWidth="1"/>
  </cols>
  <sheetData>
    <row r="1" spans="2:8" ht="33">
      <c r="B1" s="388" t="s">
        <v>234</v>
      </c>
      <c r="C1" s="388" t="s">
        <v>235</v>
      </c>
      <c r="D1" s="388" t="s">
        <v>236</v>
      </c>
      <c r="E1" s="388" t="s">
        <v>237</v>
      </c>
      <c r="F1" s="388" t="s">
        <v>238</v>
      </c>
      <c r="G1" s="388" t="s">
        <v>239</v>
      </c>
      <c r="H1" s="395" t="s">
        <v>240</v>
      </c>
    </row>
    <row r="2" spans="2:8" ht="16.5">
      <c r="B2" s="389" t="s">
        <v>241</v>
      </c>
      <c r="C2" s="390" t="s">
        <v>101</v>
      </c>
      <c r="D2" s="391">
        <v>16</v>
      </c>
      <c r="E2" s="391">
        <v>76.2</v>
      </c>
      <c r="F2" s="391">
        <v>592.1</v>
      </c>
      <c r="G2" s="391">
        <v>120</v>
      </c>
      <c r="H2" s="433">
        <f t="shared" ref="H2:H33" si="0">D2*E2*F2*G2/1000000000</f>
        <v>8.6626598400000004E-2</v>
      </c>
    </row>
    <row r="3" spans="2:8" ht="16.5">
      <c r="B3" s="392" t="s">
        <v>241</v>
      </c>
      <c r="C3" s="393" t="s">
        <v>242</v>
      </c>
      <c r="D3" s="394">
        <v>16</v>
      </c>
      <c r="E3" s="394">
        <v>76.2</v>
      </c>
      <c r="F3" s="394">
        <v>668.3</v>
      </c>
      <c r="G3" s="394">
        <v>120</v>
      </c>
      <c r="H3" s="433">
        <f t="shared" si="0"/>
        <v>9.7774963200000009E-2</v>
      </c>
    </row>
    <row r="4" spans="2:8" ht="16.5">
      <c r="B4" s="389" t="s">
        <v>243</v>
      </c>
      <c r="C4" s="390" t="s">
        <v>244</v>
      </c>
      <c r="D4" s="391">
        <v>12.7</v>
      </c>
      <c r="E4" s="391">
        <v>44.45</v>
      </c>
      <c r="F4" s="391">
        <v>457.2</v>
      </c>
      <c r="G4" s="391">
        <v>840</v>
      </c>
      <c r="H4" s="433">
        <f t="shared" si="0"/>
        <v>0.21680085671999999</v>
      </c>
    </row>
    <row r="5" spans="2:8" ht="16.5">
      <c r="B5" s="392" t="s">
        <v>243</v>
      </c>
      <c r="C5" s="393" t="s">
        <v>245</v>
      </c>
      <c r="D5" s="394">
        <v>12.7</v>
      </c>
      <c r="E5" s="394">
        <v>34.93</v>
      </c>
      <c r="F5" s="394">
        <v>558.79999999999995</v>
      </c>
      <c r="G5" s="394">
        <v>630</v>
      </c>
      <c r="H5" s="433">
        <f t="shared" si="0"/>
        <v>0.15617059088399998</v>
      </c>
    </row>
    <row r="6" spans="2:8" ht="16.5">
      <c r="B6" s="389" t="s">
        <v>246</v>
      </c>
      <c r="C6" s="390" t="s">
        <v>247</v>
      </c>
      <c r="D6" s="391">
        <v>16</v>
      </c>
      <c r="E6" s="391">
        <v>76.2</v>
      </c>
      <c r="F6" s="391">
        <v>515.9</v>
      </c>
      <c r="G6" s="391">
        <v>150</v>
      </c>
      <c r="H6" s="433">
        <f t="shared" si="0"/>
        <v>9.4347792E-2</v>
      </c>
    </row>
    <row r="7" spans="2:8" ht="16.5">
      <c r="B7" s="392" t="s">
        <v>246</v>
      </c>
      <c r="C7" s="393" t="s">
        <v>248</v>
      </c>
      <c r="D7" s="394">
        <v>16</v>
      </c>
      <c r="E7" s="394">
        <v>134.9</v>
      </c>
      <c r="F7" s="394">
        <v>668.3</v>
      </c>
      <c r="G7" s="394">
        <v>240</v>
      </c>
      <c r="H7" s="433">
        <f t="shared" si="0"/>
        <v>0.34619009280000002</v>
      </c>
    </row>
    <row r="8" spans="2:8" ht="16.5">
      <c r="B8" s="389" t="s">
        <v>246</v>
      </c>
      <c r="C8" s="390" t="s">
        <v>99</v>
      </c>
      <c r="D8" s="391">
        <v>16</v>
      </c>
      <c r="E8" s="391">
        <v>134.9</v>
      </c>
      <c r="F8" s="391">
        <v>973.1</v>
      </c>
      <c r="G8" s="391">
        <v>60</v>
      </c>
      <c r="H8" s="433">
        <f t="shared" si="0"/>
        <v>0.12602034240000001</v>
      </c>
    </row>
    <row r="9" spans="2:8" ht="16.5">
      <c r="B9" s="392" t="s">
        <v>249</v>
      </c>
      <c r="C9" s="393" t="s">
        <v>100</v>
      </c>
      <c r="D9" s="394">
        <v>16</v>
      </c>
      <c r="E9" s="394">
        <v>193.68</v>
      </c>
      <c r="F9" s="394">
        <v>896.9</v>
      </c>
      <c r="G9" s="394">
        <v>120</v>
      </c>
      <c r="H9" s="433">
        <f t="shared" si="0"/>
        <v>0.33352625663999996</v>
      </c>
    </row>
    <row r="10" spans="2:8" ht="16.5">
      <c r="B10" s="389" t="s">
        <v>249</v>
      </c>
      <c r="C10" s="390" t="s">
        <v>250</v>
      </c>
      <c r="D10" s="391">
        <v>16</v>
      </c>
      <c r="E10" s="391">
        <v>212.72</v>
      </c>
      <c r="F10" s="391">
        <v>592.1</v>
      </c>
      <c r="G10" s="391">
        <v>60</v>
      </c>
      <c r="H10" s="433">
        <f t="shared" si="0"/>
        <v>0.12091345151999999</v>
      </c>
    </row>
    <row r="11" spans="2:8" ht="16.5">
      <c r="B11" s="392" t="s">
        <v>249</v>
      </c>
      <c r="C11" s="393" t="s">
        <v>251</v>
      </c>
      <c r="D11" s="394">
        <v>16</v>
      </c>
      <c r="E11" s="394">
        <v>162</v>
      </c>
      <c r="F11" s="394">
        <v>1125.5</v>
      </c>
      <c r="G11" s="394">
        <v>60</v>
      </c>
      <c r="H11" s="433">
        <f t="shared" si="0"/>
        <v>0.17503775999999999</v>
      </c>
    </row>
    <row r="12" spans="2:8" ht="16.5">
      <c r="B12" s="389" t="s">
        <v>252</v>
      </c>
      <c r="C12" s="390" t="s">
        <v>253</v>
      </c>
      <c r="D12" s="391">
        <v>16</v>
      </c>
      <c r="E12" s="391">
        <v>120.6</v>
      </c>
      <c r="F12" s="391">
        <v>762</v>
      </c>
      <c r="G12" s="391">
        <v>120</v>
      </c>
      <c r="H12" s="433">
        <f t="shared" si="0"/>
        <v>0.17644262399999999</v>
      </c>
    </row>
    <row r="13" spans="2:8" ht="16.5">
      <c r="B13" s="392" t="s">
        <v>252</v>
      </c>
      <c r="C13" s="393" t="s">
        <v>254</v>
      </c>
      <c r="D13" s="394">
        <v>15.9</v>
      </c>
      <c r="E13" s="394">
        <v>134.9</v>
      </c>
      <c r="F13" s="394">
        <v>820.7</v>
      </c>
      <c r="G13" s="394">
        <v>120</v>
      </c>
      <c r="H13" s="433">
        <f t="shared" si="0"/>
        <v>0.21123931644000002</v>
      </c>
    </row>
    <row r="14" spans="2:8" ht="16.5">
      <c r="B14" s="389" t="s">
        <v>255</v>
      </c>
      <c r="C14" s="390" t="s">
        <v>256</v>
      </c>
      <c r="D14" s="391">
        <v>16</v>
      </c>
      <c r="E14" s="391">
        <v>86</v>
      </c>
      <c r="F14" s="391">
        <v>822</v>
      </c>
      <c r="G14" s="391">
        <v>820</v>
      </c>
      <c r="H14" s="433">
        <f t="shared" si="0"/>
        <v>0.92747904000000003</v>
      </c>
    </row>
    <row r="15" spans="2:8" ht="16.5">
      <c r="B15" s="392" t="s">
        <v>255</v>
      </c>
      <c r="C15" s="393" t="s">
        <v>95</v>
      </c>
      <c r="D15" s="394">
        <v>16</v>
      </c>
      <c r="E15" s="394">
        <v>162</v>
      </c>
      <c r="F15" s="394">
        <v>872</v>
      </c>
      <c r="G15" s="394">
        <v>960</v>
      </c>
      <c r="H15" s="433">
        <f t="shared" si="0"/>
        <v>2.16981504</v>
      </c>
    </row>
    <row r="16" spans="2:8" ht="16.5">
      <c r="B16" s="389" t="s">
        <v>257</v>
      </c>
      <c r="C16" s="390" t="s">
        <v>258</v>
      </c>
      <c r="D16" s="391">
        <v>15.9</v>
      </c>
      <c r="E16" s="391">
        <v>134.9</v>
      </c>
      <c r="F16" s="391">
        <v>592.1</v>
      </c>
      <c r="G16" s="391">
        <v>460</v>
      </c>
      <c r="H16" s="433">
        <f t="shared" si="0"/>
        <v>0.58420055706000007</v>
      </c>
    </row>
    <row r="17" spans="2:8" ht="16.5">
      <c r="B17" s="392" t="s">
        <v>257</v>
      </c>
      <c r="C17" s="393" t="s">
        <v>259</v>
      </c>
      <c r="D17" s="394">
        <v>15.9</v>
      </c>
      <c r="E17" s="394">
        <v>104.78</v>
      </c>
      <c r="F17" s="394">
        <v>820.7</v>
      </c>
      <c r="G17" s="394">
        <v>930</v>
      </c>
      <c r="H17" s="433">
        <f t="shared" si="0"/>
        <v>1.2715776925020001</v>
      </c>
    </row>
    <row r="18" spans="2:8" ht="16.5">
      <c r="B18" s="389" t="s">
        <v>257</v>
      </c>
      <c r="C18" s="390" t="s">
        <v>260</v>
      </c>
      <c r="D18" s="391">
        <v>15.9</v>
      </c>
      <c r="E18" s="391">
        <v>254</v>
      </c>
      <c r="F18" s="391">
        <v>401.6</v>
      </c>
      <c r="G18" s="391">
        <v>120</v>
      </c>
      <c r="H18" s="433">
        <f t="shared" si="0"/>
        <v>0.19462821119999998</v>
      </c>
    </row>
    <row r="19" spans="2:8" ht="16.5">
      <c r="B19" s="392" t="s">
        <v>261</v>
      </c>
      <c r="C19" s="393" t="s">
        <v>262</v>
      </c>
      <c r="D19" s="394">
        <v>15.88</v>
      </c>
      <c r="E19" s="394">
        <v>76.2</v>
      </c>
      <c r="F19" s="394">
        <v>520.70000000000005</v>
      </c>
      <c r="G19" s="394">
        <v>980</v>
      </c>
      <c r="H19" s="433">
        <f t="shared" si="0"/>
        <v>0.61747463601600017</v>
      </c>
    </row>
    <row r="20" spans="2:8" ht="16.5">
      <c r="B20" s="389" t="s">
        <v>263</v>
      </c>
      <c r="C20" s="390" t="s">
        <v>264</v>
      </c>
      <c r="D20" s="391">
        <v>15.88</v>
      </c>
      <c r="E20" s="391">
        <v>90.5</v>
      </c>
      <c r="F20" s="391">
        <v>444.5</v>
      </c>
      <c r="G20" s="391">
        <v>468</v>
      </c>
      <c r="H20" s="433">
        <f t="shared" si="0"/>
        <v>0.29896248564000005</v>
      </c>
    </row>
    <row r="21" spans="2:8" ht="16.5">
      <c r="B21" s="392" t="s">
        <v>263</v>
      </c>
      <c r="C21" s="393" t="s">
        <v>265</v>
      </c>
      <c r="D21" s="394">
        <v>15.88</v>
      </c>
      <c r="E21" s="394">
        <v>169.88</v>
      </c>
      <c r="F21" s="394">
        <v>368.3</v>
      </c>
      <c r="G21" s="394">
        <v>274</v>
      </c>
      <c r="H21" s="433">
        <f t="shared" si="0"/>
        <v>0.27223567222047995</v>
      </c>
    </row>
    <row r="22" spans="2:8" ht="16.5">
      <c r="B22" s="389" t="s">
        <v>263</v>
      </c>
      <c r="C22" s="390" t="s">
        <v>266</v>
      </c>
      <c r="D22" s="391">
        <v>15.88</v>
      </c>
      <c r="E22" s="391">
        <v>254</v>
      </c>
      <c r="F22" s="391">
        <v>372.26</v>
      </c>
      <c r="G22" s="391">
        <v>156</v>
      </c>
      <c r="H22" s="433">
        <f t="shared" si="0"/>
        <v>0.23423683221120001</v>
      </c>
    </row>
    <row r="23" spans="2:8" ht="16.5">
      <c r="B23" s="392" t="s">
        <v>263</v>
      </c>
      <c r="C23" s="393" t="s">
        <v>267</v>
      </c>
      <c r="D23" s="394">
        <v>15.88</v>
      </c>
      <c r="E23" s="394">
        <v>169.88</v>
      </c>
      <c r="F23" s="394">
        <v>600.86</v>
      </c>
      <c r="G23" s="394">
        <v>234</v>
      </c>
      <c r="H23" s="433">
        <f t="shared" si="0"/>
        <v>0.37929917778105599</v>
      </c>
    </row>
    <row r="24" spans="2:8" ht="16.5">
      <c r="B24" s="389" t="s">
        <v>263</v>
      </c>
      <c r="C24" s="390" t="s">
        <v>268</v>
      </c>
      <c r="D24" s="391">
        <v>15.88</v>
      </c>
      <c r="E24" s="391">
        <v>90.5</v>
      </c>
      <c r="F24" s="391">
        <v>349.25</v>
      </c>
      <c r="G24" s="391">
        <v>626</v>
      </c>
      <c r="H24" s="433">
        <f t="shared" si="0"/>
        <v>0.31420263677000004</v>
      </c>
    </row>
    <row r="25" spans="2:8" ht="16.5">
      <c r="B25" s="392" t="s">
        <v>269</v>
      </c>
      <c r="C25" s="393" t="s">
        <v>270</v>
      </c>
      <c r="D25" s="394">
        <v>15.875</v>
      </c>
      <c r="E25" s="394">
        <v>102</v>
      </c>
      <c r="F25" s="394">
        <v>371</v>
      </c>
      <c r="G25" s="394">
        <v>120</v>
      </c>
      <c r="H25" s="433">
        <f t="shared" si="0"/>
        <v>7.2089009999999995E-2</v>
      </c>
    </row>
    <row r="26" spans="2:8" ht="16.5">
      <c r="B26" s="389" t="s">
        <v>269</v>
      </c>
      <c r="C26" s="390" t="s">
        <v>271</v>
      </c>
      <c r="D26" s="391">
        <v>15.875</v>
      </c>
      <c r="E26" s="391">
        <v>102</v>
      </c>
      <c r="F26" s="391">
        <v>447.2</v>
      </c>
      <c r="G26" s="391">
        <v>800</v>
      </c>
      <c r="H26" s="433">
        <f t="shared" si="0"/>
        <v>0.57930287999999996</v>
      </c>
    </row>
    <row r="27" spans="2:8" ht="16.5">
      <c r="B27" s="392" t="s">
        <v>269</v>
      </c>
      <c r="C27" s="393" t="s">
        <v>272</v>
      </c>
      <c r="D27" s="394">
        <v>15.875</v>
      </c>
      <c r="E27" s="394">
        <v>102</v>
      </c>
      <c r="F27" s="394">
        <v>800.1</v>
      </c>
      <c r="G27" s="394">
        <v>300</v>
      </c>
      <c r="H27" s="433">
        <f t="shared" si="0"/>
        <v>0.3886685775</v>
      </c>
    </row>
    <row r="28" spans="2:8" ht="16.5">
      <c r="B28" s="389" t="s">
        <v>269</v>
      </c>
      <c r="C28" s="390" t="s">
        <v>273</v>
      </c>
      <c r="D28" s="391">
        <v>15.875</v>
      </c>
      <c r="E28" s="391">
        <v>203</v>
      </c>
      <c r="F28" s="391">
        <v>599.6</v>
      </c>
      <c r="G28" s="391">
        <v>300</v>
      </c>
      <c r="H28" s="433">
        <f t="shared" si="0"/>
        <v>0.57968578500000001</v>
      </c>
    </row>
    <row r="29" spans="2:8" ht="16.5">
      <c r="B29" s="392" t="s">
        <v>269</v>
      </c>
      <c r="C29" s="393" t="s">
        <v>274</v>
      </c>
      <c r="D29" s="394">
        <v>15.875</v>
      </c>
      <c r="E29" s="394">
        <v>102</v>
      </c>
      <c r="F29" s="394">
        <v>218.6</v>
      </c>
      <c r="G29" s="394">
        <v>1150</v>
      </c>
      <c r="H29" s="433">
        <f t="shared" si="0"/>
        <v>0.4070632575</v>
      </c>
    </row>
    <row r="30" spans="2:8" ht="16.5">
      <c r="B30" s="389" t="s">
        <v>269</v>
      </c>
      <c r="C30" s="390" t="s">
        <v>117</v>
      </c>
      <c r="D30" s="391">
        <v>15.875</v>
      </c>
      <c r="E30" s="391">
        <v>102</v>
      </c>
      <c r="F30" s="391">
        <v>371</v>
      </c>
      <c r="G30" s="391">
        <v>800</v>
      </c>
      <c r="H30" s="433">
        <f t="shared" si="0"/>
        <v>0.4805934</v>
      </c>
    </row>
    <row r="31" spans="2:8" ht="16.5">
      <c r="B31" s="392" t="s">
        <v>269</v>
      </c>
      <c r="C31" s="393" t="s">
        <v>275</v>
      </c>
      <c r="D31" s="394">
        <v>15.875</v>
      </c>
      <c r="E31" s="394">
        <v>102</v>
      </c>
      <c r="F31" s="394">
        <v>647.70000000000005</v>
      </c>
      <c r="G31" s="394">
        <v>700</v>
      </c>
      <c r="H31" s="433">
        <f t="shared" si="0"/>
        <v>0.73415175750000017</v>
      </c>
    </row>
    <row r="32" spans="2:8" ht="16.5">
      <c r="B32" s="389" t="s">
        <v>269</v>
      </c>
      <c r="C32" s="390" t="s">
        <v>276</v>
      </c>
      <c r="D32" s="391">
        <v>15.875</v>
      </c>
      <c r="E32" s="391">
        <v>102</v>
      </c>
      <c r="F32" s="391">
        <v>675.8</v>
      </c>
      <c r="G32" s="391">
        <v>600</v>
      </c>
      <c r="H32" s="433">
        <f t="shared" si="0"/>
        <v>0.65657348999999998</v>
      </c>
    </row>
    <row r="33" spans="2:8" ht="16.5">
      <c r="B33" s="392" t="s">
        <v>269</v>
      </c>
      <c r="C33" s="393" t="s">
        <v>277</v>
      </c>
      <c r="D33" s="394">
        <v>15.875</v>
      </c>
      <c r="E33" s="394">
        <v>102</v>
      </c>
      <c r="F33" s="394">
        <v>800.1</v>
      </c>
      <c r="G33" s="394">
        <v>850</v>
      </c>
      <c r="H33" s="433">
        <f t="shared" si="0"/>
        <v>1.10122763625</v>
      </c>
    </row>
    <row r="34" spans="2:8" ht="16.5">
      <c r="B34" s="389" t="s">
        <v>269</v>
      </c>
      <c r="C34" s="390" t="s">
        <v>278</v>
      </c>
      <c r="D34" s="391">
        <v>15.875</v>
      </c>
      <c r="E34" s="391">
        <v>102</v>
      </c>
      <c r="F34" s="391">
        <v>828.2</v>
      </c>
      <c r="G34" s="391">
        <v>700</v>
      </c>
      <c r="H34" s="433">
        <f t="shared" ref="H34:H59" si="1">D34*E34*F34*G34/1000000000</f>
        <v>0.93874399500000016</v>
      </c>
    </row>
    <row r="35" spans="2:8" ht="16.5">
      <c r="B35" s="392" t="s">
        <v>269</v>
      </c>
      <c r="C35" s="393" t="s">
        <v>279</v>
      </c>
      <c r="D35" s="394">
        <v>15.875</v>
      </c>
      <c r="E35" s="394">
        <v>153</v>
      </c>
      <c r="F35" s="394">
        <v>294.8</v>
      </c>
      <c r="G35" s="394">
        <v>620</v>
      </c>
      <c r="H35" s="433">
        <f t="shared" si="1"/>
        <v>0.443940057</v>
      </c>
    </row>
    <row r="36" spans="2:8" ht="16.5">
      <c r="B36" s="389" t="s">
        <v>269</v>
      </c>
      <c r="C36" s="390" t="s">
        <v>118</v>
      </c>
      <c r="D36" s="391">
        <v>18.875</v>
      </c>
      <c r="E36" s="391">
        <v>203</v>
      </c>
      <c r="F36" s="391">
        <v>294.8</v>
      </c>
      <c r="G36" s="391">
        <v>1200</v>
      </c>
      <c r="H36" s="433">
        <f t="shared" si="1"/>
        <v>1.35547566</v>
      </c>
    </row>
    <row r="37" spans="2:8" ht="16.5">
      <c r="B37" s="392" t="s">
        <v>269</v>
      </c>
      <c r="C37" s="393" t="s">
        <v>119</v>
      </c>
      <c r="D37" s="394">
        <v>15.875</v>
      </c>
      <c r="E37" s="394">
        <v>203</v>
      </c>
      <c r="F37" s="394">
        <v>599.6</v>
      </c>
      <c r="G37" s="394">
        <v>300</v>
      </c>
      <c r="H37" s="433">
        <f t="shared" si="1"/>
        <v>0.57968578500000001</v>
      </c>
    </row>
    <row r="38" spans="2:8" ht="16.5">
      <c r="B38" s="389" t="s">
        <v>269</v>
      </c>
      <c r="C38" s="390" t="s">
        <v>280</v>
      </c>
      <c r="D38" s="391">
        <v>15.875</v>
      </c>
      <c r="E38" s="391">
        <v>203</v>
      </c>
      <c r="F38" s="391">
        <v>752</v>
      </c>
      <c r="G38" s="391">
        <v>300</v>
      </c>
      <c r="H38" s="433">
        <f t="shared" si="1"/>
        <v>0.72702420000000001</v>
      </c>
    </row>
    <row r="39" spans="2:8" ht="16.5">
      <c r="B39" s="392" t="s">
        <v>269</v>
      </c>
      <c r="C39" s="393" t="s">
        <v>120</v>
      </c>
      <c r="D39" s="394">
        <v>15.875</v>
      </c>
      <c r="E39" s="394">
        <v>203</v>
      </c>
      <c r="F39" s="394">
        <v>523.4</v>
      </c>
      <c r="G39" s="394">
        <v>600</v>
      </c>
      <c r="H39" s="433">
        <f t="shared" si="1"/>
        <v>1.0120331549999999</v>
      </c>
    </row>
    <row r="40" spans="2:8" ht="16.5">
      <c r="B40" s="389" t="s">
        <v>281</v>
      </c>
      <c r="C40" s="390" t="s">
        <v>282</v>
      </c>
      <c r="D40" s="391">
        <v>15.875</v>
      </c>
      <c r="E40" s="391">
        <v>151</v>
      </c>
      <c r="F40" s="391">
        <v>369</v>
      </c>
      <c r="G40" s="391">
        <v>6300</v>
      </c>
      <c r="H40" s="433">
        <f t="shared" si="1"/>
        <v>5.5725964875000003</v>
      </c>
    </row>
    <row r="41" spans="2:8" ht="16.5">
      <c r="B41" s="392" t="s">
        <v>281</v>
      </c>
      <c r="C41" s="393" t="s">
        <v>283</v>
      </c>
      <c r="D41" s="394">
        <v>12.05</v>
      </c>
      <c r="E41" s="394">
        <v>39.92</v>
      </c>
      <c r="F41" s="394">
        <v>168</v>
      </c>
      <c r="G41" s="394">
        <v>660</v>
      </c>
      <c r="H41" s="433">
        <f t="shared" si="1"/>
        <v>5.3337271680000006E-2</v>
      </c>
    </row>
    <row r="42" spans="2:8" ht="16.5">
      <c r="B42" s="389" t="s">
        <v>281</v>
      </c>
      <c r="C42" s="390" t="s">
        <v>284</v>
      </c>
      <c r="D42" s="391">
        <v>12.05</v>
      </c>
      <c r="E42" s="391">
        <v>42.66</v>
      </c>
      <c r="F42" s="391">
        <v>136.9</v>
      </c>
      <c r="G42" s="391">
        <v>150</v>
      </c>
      <c r="H42" s="433">
        <f t="shared" si="1"/>
        <v>1.0556078355E-2</v>
      </c>
    </row>
    <row r="43" spans="2:8" ht="16.5">
      <c r="B43" s="392" t="s">
        <v>285</v>
      </c>
      <c r="C43" s="393" t="s">
        <v>122</v>
      </c>
      <c r="D43" s="394">
        <v>15.88</v>
      </c>
      <c r="E43" s="394">
        <v>57.15</v>
      </c>
      <c r="F43" s="394">
        <v>463.55</v>
      </c>
      <c r="G43" s="394">
        <v>608</v>
      </c>
      <c r="H43" s="433">
        <f t="shared" si="1"/>
        <v>0.25578018521280005</v>
      </c>
    </row>
    <row r="44" spans="2:8" ht="16.5">
      <c r="B44" s="389" t="s">
        <v>285</v>
      </c>
      <c r="C44" s="390" t="s">
        <v>123</v>
      </c>
      <c r="D44" s="391">
        <v>15.88</v>
      </c>
      <c r="E44" s="391">
        <v>95.25</v>
      </c>
      <c r="F44" s="391">
        <v>463.55</v>
      </c>
      <c r="G44" s="391">
        <v>260</v>
      </c>
      <c r="H44" s="433">
        <f t="shared" si="1"/>
        <v>0.18229947411000003</v>
      </c>
    </row>
    <row r="45" spans="2:8" ht="16.5">
      <c r="B45" s="392" t="s">
        <v>285</v>
      </c>
      <c r="C45" s="393" t="s">
        <v>286</v>
      </c>
      <c r="D45" s="394">
        <v>15.88</v>
      </c>
      <c r="E45" s="394">
        <v>234.95</v>
      </c>
      <c r="F45" s="394">
        <v>463.55</v>
      </c>
      <c r="G45" s="394">
        <v>620</v>
      </c>
      <c r="H45" s="433">
        <f t="shared" si="1"/>
        <v>1.0722948554060001</v>
      </c>
    </row>
    <row r="46" spans="2:8" ht="16.5">
      <c r="B46" s="389" t="s">
        <v>285</v>
      </c>
      <c r="C46" s="390" t="s">
        <v>126</v>
      </c>
      <c r="D46" s="391">
        <v>15.88</v>
      </c>
      <c r="E46" s="391">
        <v>57.15</v>
      </c>
      <c r="F46" s="391">
        <v>539.75</v>
      </c>
      <c r="G46" s="391">
        <v>608</v>
      </c>
      <c r="H46" s="433">
        <f t="shared" si="1"/>
        <v>0.29782624305599997</v>
      </c>
    </row>
    <row r="47" spans="2:8" ht="16.5">
      <c r="B47" s="392" t="s">
        <v>285</v>
      </c>
      <c r="C47" s="393" t="s">
        <v>127</v>
      </c>
      <c r="D47" s="394">
        <v>15.88</v>
      </c>
      <c r="E47" s="394">
        <v>95.25</v>
      </c>
      <c r="F47" s="394">
        <v>539.75</v>
      </c>
      <c r="G47" s="394">
        <v>1040</v>
      </c>
      <c r="H47" s="433">
        <f t="shared" si="1"/>
        <v>0.84906604380000006</v>
      </c>
    </row>
    <row r="48" spans="2:8" ht="16.5">
      <c r="B48" s="389" t="s">
        <v>285</v>
      </c>
      <c r="C48" s="390" t="s">
        <v>128</v>
      </c>
      <c r="D48" s="391">
        <v>15.88</v>
      </c>
      <c r="E48" s="391">
        <v>107.95</v>
      </c>
      <c r="F48" s="391">
        <v>539.75</v>
      </c>
      <c r="G48" s="391">
        <v>1220</v>
      </c>
      <c r="H48" s="433">
        <f t="shared" si="1"/>
        <v>1.1288224197700001</v>
      </c>
    </row>
    <row r="49" spans="1:8" ht="16.5">
      <c r="B49" s="392" t="s">
        <v>285</v>
      </c>
      <c r="C49" s="393" t="s">
        <v>287</v>
      </c>
      <c r="D49" s="394">
        <v>15.88</v>
      </c>
      <c r="E49" s="394">
        <v>158.75</v>
      </c>
      <c r="F49" s="394">
        <v>539.75</v>
      </c>
      <c r="G49" s="394">
        <v>868</v>
      </c>
      <c r="H49" s="433">
        <f t="shared" si="1"/>
        <v>1.1810726378500001</v>
      </c>
    </row>
    <row r="50" spans="1:8" ht="16.5">
      <c r="B50" s="389" t="s">
        <v>285</v>
      </c>
      <c r="C50" s="390" t="s">
        <v>129</v>
      </c>
      <c r="D50" s="391">
        <v>15.88</v>
      </c>
      <c r="E50" s="391">
        <v>209.55</v>
      </c>
      <c r="F50" s="391">
        <v>539.75</v>
      </c>
      <c r="G50" s="391">
        <v>9300</v>
      </c>
      <c r="H50" s="433">
        <f t="shared" si="1"/>
        <v>16.703741592450001</v>
      </c>
    </row>
    <row r="51" spans="1:8" ht="16.5">
      <c r="B51" s="392" t="s">
        <v>285</v>
      </c>
      <c r="C51" s="393" t="s">
        <v>131</v>
      </c>
      <c r="D51" s="394">
        <v>15.88</v>
      </c>
      <c r="E51" s="394">
        <v>285.75</v>
      </c>
      <c r="F51" s="394">
        <v>539.75</v>
      </c>
      <c r="G51" s="394">
        <v>320</v>
      </c>
      <c r="H51" s="433">
        <f t="shared" si="1"/>
        <v>0.78375327120000005</v>
      </c>
    </row>
    <row r="52" spans="1:8" ht="16.5">
      <c r="B52" s="389" t="s">
        <v>285</v>
      </c>
      <c r="C52" s="390" t="s">
        <v>132</v>
      </c>
      <c r="D52" s="391">
        <v>15.88</v>
      </c>
      <c r="E52" s="391">
        <v>95.25</v>
      </c>
      <c r="F52" s="391">
        <v>2032</v>
      </c>
      <c r="G52" s="391">
        <v>2080</v>
      </c>
      <c r="H52" s="433">
        <f t="shared" si="1"/>
        <v>6.3929678592000005</v>
      </c>
    </row>
    <row r="53" spans="1:8" ht="16.5">
      <c r="B53" s="392" t="s">
        <v>285</v>
      </c>
      <c r="C53" s="393" t="s">
        <v>288</v>
      </c>
      <c r="D53" s="394">
        <v>15.88</v>
      </c>
      <c r="E53" s="394">
        <v>107.95</v>
      </c>
      <c r="F53" s="394">
        <v>2032</v>
      </c>
      <c r="G53" s="394">
        <v>620</v>
      </c>
      <c r="H53" s="433">
        <f t="shared" si="1"/>
        <v>2.1596756806399999</v>
      </c>
    </row>
    <row r="54" spans="1:8" ht="16.5">
      <c r="B54" s="389" t="s">
        <v>285</v>
      </c>
      <c r="C54" s="390" t="s">
        <v>133</v>
      </c>
      <c r="D54" s="391">
        <v>15.88</v>
      </c>
      <c r="E54" s="391">
        <v>234.95</v>
      </c>
      <c r="F54" s="391">
        <v>2032</v>
      </c>
      <c r="G54" s="391">
        <v>5670</v>
      </c>
      <c r="H54" s="433">
        <f t="shared" si="1"/>
        <v>42.986561768640001</v>
      </c>
    </row>
    <row r="55" spans="1:8" ht="16.5">
      <c r="B55" s="392" t="s">
        <v>289</v>
      </c>
      <c r="C55" s="393" t="s">
        <v>108</v>
      </c>
      <c r="D55" s="394">
        <v>16</v>
      </c>
      <c r="E55" s="394">
        <v>161.9</v>
      </c>
      <c r="F55" s="394">
        <v>820.19</v>
      </c>
      <c r="G55" s="394">
        <v>120</v>
      </c>
      <c r="H55" s="433">
        <f t="shared" si="1"/>
        <v>0.25495442112000005</v>
      </c>
    </row>
    <row r="56" spans="1:8" ht="16.5">
      <c r="B56" s="389" t="s">
        <v>290</v>
      </c>
      <c r="C56" s="390" t="s">
        <v>92</v>
      </c>
      <c r="D56" s="391">
        <v>16</v>
      </c>
      <c r="E56" s="391">
        <v>161.9</v>
      </c>
      <c r="F56" s="391">
        <v>820.19</v>
      </c>
      <c r="G56" s="391">
        <v>120</v>
      </c>
      <c r="H56" s="433">
        <f t="shared" si="1"/>
        <v>0.25495442112000005</v>
      </c>
    </row>
    <row r="57" spans="1:8" ht="16.5">
      <c r="B57" s="392" t="s">
        <v>291</v>
      </c>
      <c r="C57" s="393" t="s">
        <v>292</v>
      </c>
      <c r="D57" s="394">
        <v>12.7</v>
      </c>
      <c r="E57" s="394">
        <v>103.9</v>
      </c>
      <c r="F57" s="394">
        <v>1219.2</v>
      </c>
      <c r="G57" s="394">
        <v>780</v>
      </c>
      <c r="H57" s="433">
        <f t="shared" si="1"/>
        <v>1.25484136128</v>
      </c>
    </row>
    <row r="58" spans="1:8" ht="16.5">
      <c r="B58" s="389" t="s">
        <v>291</v>
      </c>
      <c r="C58" s="390" t="s">
        <v>293</v>
      </c>
      <c r="D58" s="391">
        <v>12.7</v>
      </c>
      <c r="E58" s="391">
        <v>155.4</v>
      </c>
      <c r="F58" s="391">
        <v>1219.2</v>
      </c>
      <c r="G58" s="391">
        <v>780</v>
      </c>
      <c r="H58" s="433">
        <f t="shared" si="1"/>
        <v>1.87682721408</v>
      </c>
    </row>
    <row r="59" spans="1:8" ht="16.5">
      <c r="B59" s="392" t="s">
        <v>294</v>
      </c>
      <c r="C59" s="393" t="s">
        <v>295</v>
      </c>
      <c r="D59" s="394">
        <v>15.88</v>
      </c>
      <c r="E59" s="394">
        <v>107.95</v>
      </c>
      <c r="F59" s="394">
        <v>1219.2</v>
      </c>
      <c r="G59" s="394">
        <v>150</v>
      </c>
      <c r="H59" s="433">
        <f t="shared" si="1"/>
        <v>0.31350130848000002</v>
      </c>
    </row>
    <row r="60" spans="1:8">
      <c r="A60" t="s">
        <v>18</v>
      </c>
      <c r="G60">
        <f>SUM(G2:G59)</f>
        <v>50282</v>
      </c>
      <c r="H60" s="434">
        <f>SUM(H2:H59)</f>
        <v>103.04689186710455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2727-901D-47A8-BE57-0266B688CD68}">
  <dimension ref="A1:G107"/>
  <sheetViews>
    <sheetView topLeftCell="A100" workbookViewId="0">
      <selection activeCell="K108" sqref="K108"/>
    </sheetView>
  </sheetViews>
  <sheetFormatPr defaultRowHeight="14.5"/>
  <cols>
    <col min="1" max="6" width="15.54296875" customWidth="1"/>
    <col min="7" max="7" width="15.54296875" style="396" customWidth="1"/>
  </cols>
  <sheetData>
    <row r="1" spans="1:7" ht="33">
      <c r="A1" s="388" t="s">
        <v>234</v>
      </c>
      <c r="B1" s="388" t="s">
        <v>235</v>
      </c>
      <c r="C1" s="388" t="s">
        <v>236</v>
      </c>
      <c r="D1" s="388" t="s">
        <v>237</v>
      </c>
      <c r="E1" s="388" t="s">
        <v>238</v>
      </c>
      <c r="F1" s="388" t="s">
        <v>239</v>
      </c>
      <c r="G1" s="395" t="s">
        <v>240</v>
      </c>
    </row>
    <row r="2" spans="1:7" ht="16.5">
      <c r="A2" s="389" t="s">
        <v>296</v>
      </c>
      <c r="B2" s="390" t="s">
        <v>297</v>
      </c>
      <c r="C2" s="391">
        <v>15.88</v>
      </c>
      <c r="D2" s="391">
        <v>85.73</v>
      </c>
      <c r="E2" s="391">
        <v>587.38</v>
      </c>
      <c r="F2" s="391">
        <v>60</v>
      </c>
      <c r="G2" s="433">
        <f t="shared" ref="G2:G33" si="0">C2*D2*E2*F2/1000000000</f>
        <v>4.797928007472E-2</v>
      </c>
    </row>
    <row r="3" spans="1:7" ht="16.5">
      <c r="A3" s="392" t="s">
        <v>296</v>
      </c>
      <c r="B3" s="393" t="s">
        <v>298</v>
      </c>
      <c r="C3" s="394">
        <v>15.88</v>
      </c>
      <c r="D3" s="394">
        <v>85.73</v>
      </c>
      <c r="E3" s="394">
        <v>460.38</v>
      </c>
      <c r="F3" s="394">
        <v>21</v>
      </c>
      <c r="G3" s="435">
        <f t="shared" si="0"/>
        <v>1.3161914495351999E-2</v>
      </c>
    </row>
    <row r="4" spans="1:7" ht="16.5">
      <c r="A4" s="389" t="s">
        <v>296</v>
      </c>
      <c r="B4" s="390" t="s">
        <v>299</v>
      </c>
      <c r="C4" s="391">
        <v>15.88</v>
      </c>
      <c r="D4" s="391">
        <v>85.73</v>
      </c>
      <c r="E4" s="391">
        <v>307.98</v>
      </c>
      <c r="F4" s="391">
        <v>55</v>
      </c>
      <c r="G4" s="433">
        <f t="shared" si="0"/>
        <v>2.3060489724360003E-2</v>
      </c>
    </row>
    <row r="5" spans="1:7" ht="16.5">
      <c r="A5" s="392" t="s">
        <v>296</v>
      </c>
      <c r="B5" s="393" t="s">
        <v>300</v>
      </c>
      <c r="C5" s="394">
        <v>15.88</v>
      </c>
      <c r="D5" s="394">
        <v>85.73</v>
      </c>
      <c r="E5" s="394">
        <v>460.38</v>
      </c>
      <c r="F5" s="394">
        <v>42</v>
      </c>
      <c r="G5" s="435">
        <f t="shared" si="0"/>
        <v>2.6323828990703999E-2</v>
      </c>
    </row>
    <row r="6" spans="1:7" ht="16.5">
      <c r="A6" s="389" t="s">
        <v>296</v>
      </c>
      <c r="B6" s="390" t="s">
        <v>301</v>
      </c>
      <c r="C6" s="391">
        <v>15.88</v>
      </c>
      <c r="D6" s="391">
        <v>107.95</v>
      </c>
      <c r="E6" s="391">
        <v>257.18</v>
      </c>
      <c r="F6" s="391">
        <v>40</v>
      </c>
      <c r="G6" s="433">
        <f t="shared" si="0"/>
        <v>1.7634791451200001E-2</v>
      </c>
    </row>
    <row r="7" spans="1:7" ht="16.5">
      <c r="A7" s="392" t="s">
        <v>296</v>
      </c>
      <c r="B7" s="393" t="s">
        <v>302</v>
      </c>
      <c r="C7" s="394">
        <v>15.88</v>
      </c>
      <c r="D7" s="394">
        <v>107.95</v>
      </c>
      <c r="E7" s="394">
        <v>765.18</v>
      </c>
      <c r="F7" s="394">
        <v>25</v>
      </c>
      <c r="G7" s="435">
        <f t="shared" si="0"/>
        <v>3.2792668857000003E-2</v>
      </c>
    </row>
    <row r="8" spans="1:7" ht="16.5">
      <c r="A8" s="389" t="s">
        <v>303</v>
      </c>
      <c r="B8" s="390" t="s">
        <v>304</v>
      </c>
      <c r="C8" s="391">
        <v>15.88</v>
      </c>
      <c r="D8" s="391">
        <v>133.35</v>
      </c>
      <c r="E8" s="391">
        <v>714.38</v>
      </c>
      <c r="F8" s="391">
        <v>70</v>
      </c>
      <c r="G8" s="433">
        <f t="shared" si="0"/>
        <v>0.1058938761468</v>
      </c>
    </row>
    <row r="9" spans="1:7" ht="16.5">
      <c r="A9" s="392" t="s">
        <v>303</v>
      </c>
      <c r="B9" s="393" t="s">
        <v>305</v>
      </c>
      <c r="C9" s="394">
        <v>15.88</v>
      </c>
      <c r="D9" s="394">
        <v>209.55</v>
      </c>
      <c r="E9" s="394">
        <v>209.55</v>
      </c>
      <c r="F9" s="394">
        <v>140</v>
      </c>
      <c r="G9" s="435">
        <f t="shared" si="0"/>
        <v>9.7623385398000015E-2</v>
      </c>
    </row>
    <row r="10" spans="1:7" ht="16.5">
      <c r="A10" s="389" t="s">
        <v>303</v>
      </c>
      <c r="B10" s="390" t="s">
        <v>306</v>
      </c>
      <c r="C10" s="391">
        <v>15.88</v>
      </c>
      <c r="D10" s="391">
        <v>209.55</v>
      </c>
      <c r="E10" s="391">
        <v>412.75</v>
      </c>
      <c r="F10" s="391">
        <v>16</v>
      </c>
      <c r="G10" s="433">
        <f t="shared" si="0"/>
        <v>2.1975827016000003E-2</v>
      </c>
    </row>
    <row r="11" spans="1:7" ht="16.5">
      <c r="A11" s="392" t="s">
        <v>307</v>
      </c>
      <c r="B11" s="393" t="s">
        <v>308</v>
      </c>
      <c r="C11" s="394">
        <v>15.88</v>
      </c>
      <c r="D11" s="394">
        <v>57.15</v>
      </c>
      <c r="E11" s="394">
        <v>463.55</v>
      </c>
      <c r="F11" s="394">
        <v>8</v>
      </c>
      <c r="G11" s="435">
        <f t="shared" si="0"/>
        <v>3.3655287528000003E-3</v>
      </c>
    </row>
    <row r="12" spans="1:7" ht="16.5">
      <c r="A12" s="389" t="s">
        <v>307</v>
      </c>
      <c r="B12" s="390" t="s">
        <v>309</v>
      </c>
      <c r="C12" s="391">
        <v>15.88</v>
      </c>
      <c r="D12" s="391">
        <v>57.15</v>
      </c>
      <c r="E12" s="391">
        <v>514.35</v>
      </c>
      <c r="F12" s="391">
        <v>7</v>
      </c>
      <c r="G12" s="433">
        <f t="shared" si="0"/>
        <v>3.2675595939000001E-3</v>
      </c>
    </row>
    <row r="13" spans="1:7" ht="16.5">
      <c r="A13" s="392" t="s">
        <v>307</v>
      </c>
      <c r="B13" s="393" t="s">
        <v>310</v>
      </c>
      <c r="C13" s="394">
        <v>15.88</v>
      </c>
      <c r="D13" s="394">
        <v>57.15</v>
      </c>
      <c r="E13" s="394">
        <v>590.54999999999995</v>
      </c>
      <c r="F13" s="394">
        <v>24</v>
      </c>
      <c r="G13" s="435">
        <f t="shared" si="0"/>
        <v>1.28627742744E-2</v>
      </c>
    </row>
    <row r="14" spans="1:7" ht="16.5">
      <c r="A14" s="389" t="s">
        <v>307</v>
      </c>
      <c r="B14" s="390" t="s">
        <v>311</v>
      </c>
      <c r="C14" s="391">
        <v>15.88</v>
      </c>
      <c r="D14" s="391">
        <v>107.95</v>
      </c>
      <c r="E14" s="391">
        <v>234.95</v>
      </c>
      <c r="F14" s="391">
        <v>22</v>
      </c>
      <c r="G14" s="433">
        <f t="shared" si="0"/>
        <v>8.8607661494000001E-3</v>
      </c>
    </row>
    <row r="15" spans="1:7" ht="16.5">
      <c r="A15" s="392" t="s">
        <v>307</v>
      </c>
      <c r="B15" s="393" t="s">
        <v>312</v>
      </c>
      <c r="C15" s="394">
        <v>15.88</v>
      </c>
      <c r="D15" s="394">
        <v>158.75</v>
      </c>
      <c r="E15" s="394">
        <v>387.35</v>
      </c>
      <c r="F15" s="394">
        <v>24</v>
      </c>
      <c r="G15" s="435">
        <f t="shared" si="0"/>
        <v>2.3435759580000007E-2</v>
      </c>
    </row>
    <row r="16" spans="1:7" ht="16.5">
      <c r="A16" s="389" t="s">
        <v>313</v>
      </c>
      <c r="B16" s="390" t="s">
        <v>314</v>
      </c>
      <c r="C16" s="391">
        <v>15.88</v>
      </c>
      <c r="D16" s="391">
        <v>85.73</v>
      </c>
      <c r="E16" s="391">
        <v>612.78</v>
      </c>
      <c r="F16" s="391">
        <v>30</v>
      </c>
      <c r="G16" s="433">
        <f t="shared" si="0"/>
        <v>2.5027021046160006E-2</v>
      </c>
    </row>
    <row r="17" spans="1:7" ht="16.5">
      <c r="A17" s="392" t="s">
        <v>313</v>
      </c>
      <c r="B17" s="393" t="s">
        <v>315</v>
      </c>
      <c r="C17" s="394">
        <v>15.88</v>
      </c>
      <c r="D17" s="394">
        <v>85.73</v>
      </c>
      <c r="E17" s="394">
        <v>638.17999999999995</v>
      </c>
      <c r="F17" s="394">
        <v>70</v>
      </c>
      <c r="G17" s="435">
        <f t="shared" si="0"/>
        <v>6.0816938128239996E-2</v>
      </c>
    </row>
    <row r="18" spans="1:7" ht="16.5">
      <c r="A18" s="389" t="s">
        <v>313</v>
      </c>
      <c r="B18" s="390" t="s">
        <v>316</v>
      </c>
      <c r="C18" s="391">
        <v>15.88</v>
      </c>
      <c r="D18" s="391">
        <v>107.95</v>
      </c>
      <c r="E18" s="391">
        <v>460.38</v>
      </c>
      <c r="F18" s="391">
        <v>45</v>
      </c>
      <c r="G18" s="433">
        <f t="shared" si="0"/>
        <v>3.5514205806600002E-2</v>
      </c>
    </row>
    <row r="19" spans="1:7" ht="16.5">
      <c r="A19" s="392" t="s">
        <v>317</v>
      </c>
      <c r="B19" s="393" t="s">
        <v>318</v>
      </c>
      <c r="C19" s="394">
        <v>15.9</v>
      </c>
      <c r="D19" s="394">
        <v>161.9</v>
      </c>
      <c r="E19" s="394">
        <v>419.1</v>
      </c>
      <c r="F19" s="394">
        <v>25</v>
      </c>
      <c r="G19" s="435">
        <f t="shared" si="0"/>
        <v>2.6971285275000003E-2</v>
      </c>
    </row>
    <row r="20" spans="1:7" ht="16.5">
      <c r="A20" s="389" t="s">
        <v>317</v>
      </c>
      <c r="B20" s="390" t="s">
        <v>319</v>
      </c>
      <c r="C20" s="391">
        <v>15.9</v>
      </c>
      <c r="D20" s="391">
        <v>161.9</v>
      </c>
      <c r="E20" s="391">
        <v>342.9</v>
      </c>
      <c r="F20" s="391">
        <v>30</v>
      </c>
      <c r="G20" s="433">
        <f t="shared" si="0"/>
        <v>2.6480898270000001E-2</v>
      </c>
    </row>
    <row r="21" spans="1:7" ht="16.5">
      <c r="A21" s="392" t="s">
        <v>320</v>
      </c>
      <c r="B21" s="393" t="s">
        <v>321</v>
      </c>
      <c r="C21" s="394">
        <v>15.9</v>
      </c>
      <c r="D21" s="394">
        <v>161.9</v>
      </c>
      <c r="E21" s="394">
        <v>673.1</v>
      </c>
      <c r="F21" s="394">
        <v>130</v>
      </c>
      <c r="G21" s="435">
        <f t="shared" si="0"/>
        <v>0.22525109763000004</v>
      </c>
    </row>
    <row r="22" spans="1:7" ht="16.5">
      <c r="A22" s="389" t="s">
        <v>320</v>
      </c>
      <c r="B22" s="390" t="s">
        <v>322</v>
      </c>
      <c r="C22" s="391">
        <v>15.9</v>
      </c>
      <c r="D22" s="391">
        <v>238.1</v>
      </c>
      <c r="E22" s="391">
        <v>238.1</v>
      </c>
      <c r="F22" s="391">
        <v>38</v>
      </c>
      <c r="G22" s="433">
        <f t="shared" si="0"/>
        <v>3.4253070761999994E-2</v>
      </c>
    </row>
    <row r="23" spans="1:7" ht="16.5">
      <c r="A23" s="392" t="s">
        <v>320</v>
      </c>
      <c r="B23" s="393" t="s">
        <v>323</v>
      </c>
      <c r="C23" s="394">
        <v>15.9</v>
      </c>
      <c r="D23" s="394">
        <v>111.1</v>
      </c>
      <c r="E23" s="394">
        <v>161.9</v>
      </c>
      <c r="F23" s="394">
        <v>146</v>
      </c>
      <c r="G23" s="435">
        <f t="shared" si="0"/>
        <v>4.1755230726000001E-2</v>
      </c>
    </row>
    <row r="24" spans="1:7" ht="16.5">
      <c r="A24" s="389" t="s">
        <v>320</v>
      </c>
      <c r="B24" s="390" t="s">
        <v>324</v>
      </c>
      <c r="C24" s="391">
        <v>15.9</v>
      </c>
      <c r="D24" s="391">
        <v>263.5</v>
      </c>
      <c r="E24" s="391">
        <v>288.89999999999998</v>
      </c>
      <c r="F24" s="391">
        <v>24</v>
      </c>
      <c r="G24" s="433">
        <f t="shared" si="0"/>
        <v>2.904935724E-2</v>
      </c>
    </row>
    <row r="25" spans="1:7" ht="16.5">
      <c r="A25" s="392" t="s">
        <v>320</v>
      </c>
      <c r="B25" s="393" t="s">
        <v>325</v>
      </c>
      <c r="C25" s="394">
        <v>15.9</v>
      </c>
      <c r="D25" s="394">
        <v>60.3</v>
      </c>
      <c r="E25" s="394">
        <v>212.7</v>
      </c>
      <c r="F25" s="394">
        <v>40</v>
      </c>
      <c r="G25" s="435">
        <f t="shared" si="0"/>
        <v>8.15721516E-3</v>
      </c>
    </row>
    <row r="26" spans="1:7" ht="16.5">
      <c r="A26" s="389" t="s">
        <v>320</v>
      </c>
      <c r="B26" s="390" t="s">
        <v>326</v>
      </c>
      <c r="C26" s="391">
        <v>15.9</v>
      </c>
      <c r="D26" s="391">
        <v>60.3</v>
      </c>
      <c r="E26" s="391">
        <v>60.3</v>
      </c>
      <c r="F26" s="391">
        <v>240</v>
      </c>
      <c r="G26" s="433">
        <f t="shared" si="0"/>
        <v>1.3875319439999999E-2</v>
      </c>
    </row>
    <row r="27" spans="1:7" ht="16.5">
      <c r="A27" s="392" t="s">
        <v>320</v>
      </c>
      <c r="B27" s="393" t="s">
        <v>327</v>
      </c>
      <c r="C27" s="394">
        <v>15.9</v>
      </c>
      <c r="D27" s="394">
        <v>238.1</v>
      </c>
      <c r="E27" s="394">
        <v>390.5</v>
      </c>
      <c r="F27" s="394">
        <v>28</v>
      </c>
      <c r="G27" s="435">
        <f t="shared" si="0"/>
        <v>4.1393827860000003E-2</v>
      </c>
    </row>
    <row r="28" spans="1:7" ht="16.5">
      <c r="A28" s="389" t="s">
        <v>320</v>
      </c>
      <c r="B28" s="390" t="s">
        <v>328</v>
      </c>
      <c r="C28" s="391">
        <v>15.9</v>
      </c>
      <c r="D28" s="391">
        <v>111.1</v>
      </c>
      <c r="E28" s="391">
        <v>111.1</v>
      </c>
      <c r="F28" s="391">
        <v>120</v>
      </c>
      <c r="G28" s="433">
        <f t="shared" si="0"/>
        <v>2.3550844679999999E-2</v>
      </c>
    </row>
    <row r="29" spans="1:7" ht="16.5">
      <c r="A29" s="392" t="s">
        <v>329</v>
      </c>
      <c r="B29" s="393" t="s">
        <v>330</v>
      </c>
      <c r="C29" s="394">
        <v>15.9</v>
      </c>
      <c r="D29" s="394">
        <v>161.9</v>
      </c>
      <c r="E29" s="394">
        <v>520.70000000000005</v>
      </c>
      <c r="F29" s="394">
        <v>30</v>
      </c>
      <c r="G29" s="435">
        <f t="shared" si="0"/>
        <v>4.0211734410000005E-2</v>
      </c>
    </row>
    <row r="30" spans="1:7" ht="16.5">
      <c r="A30" s="389" t="s">
        <v>329</v>
      </c>
      <c r="B30" s="390" t="s">
        <v>331</v>
      </c>
      <c r="C30" s="391">
        <v>15.88</v>
      </c>
      <c r="D30" s="391">
        <v>20</v>
      </c>
      <c r="E30" s="391">
        <v>388.3</v>
      </c>
      <c r="F30" s="391">
        <v>165</v>
      </c>
      <c r="G30" s="433">
        <f t="shared" si="0"/>
        <v>2.0348473200000002E-2</v>
      </c>
    </row>
    <row r="31" spans="1:7" ht="16.5">
      <c r="A31" s="392" t="s">
        <v>332</v>
      </c>
      <c r="B31" s="393" t="s">
        <v>333</v>
      </c>
      <c r="C31" s="394">
        <v>15.9</v>
      </c>
      <c r="D31" s="394">
        <v>85.7</v>
      </c>
      <c r="E31" s="394">
        <v>342.9</v>
      </c>
      <c r="F31" s="394">
        <v>50</v>
      </c>
      <c r="G31" s="435">
        <f t="shared" si="0"/>
        <v>2.3362291349999998E-2</v>
      </c>
    </row>
    <row r="32" spans="1:7" ht="16.5">
      <c r="A32" s="389" t="s">
        <v>332</v>
      </c>
      <c r="B32" s="390" t="s">
        <v>334</v>
      </c>
      <c r="C32" s="391">
        <v>15.9</v>
      </c>
      <c r="D32" s="391">
        <v>34.9</v>
      </c>
      <c r="E32" s="391">
        <v>266.7</v>
      </c>
      <c r="F32" s="391">
        <v>340</v>
      </c>
      <c r="G32" s="433">
        <f t="shared" si="0"/>
        <v>5.0318128979999988E-2</v>
      </c>
    </row>
    <row r="33" spans="1:7" ht="16.5">
      <c r="A33" s="392" t="s">
        <v>332</v>
      </c>
      <c r="B33" s="393" t="s">
        <v>335</v>
      </c>
      <c r="C33" s="394">
        <v>15.9</v>
      </c>
      <c r="D33" s="394">
        <v>263.5</v>
      </c>
      <c r="E33" s="394">
        <v>390.5</v>
      </c>
      <c r="F33" s="394">
        <v>70</v>
      </c>
      <c r="G33" s="435">
        <f t="shared" si="0"/>
        <v>0.11452408275000002</v>
      </c>
    </row>
    <row r="34" spans="1:7" ht="16.5">
      <c r="A34" s="389" t="s">
        <v>332</v>
      </c>
      <c r="B34" s="390" t="s">
        <v>336</v>
      </c>
      <c r="C34" s="391">
        <v>15.9</v>
      </c>
      <c r="D34" s="391">
        <v>263.5</v>
      </c>
      <c r="E34" s="391">
        <v>288.89999999999998</v>
      </c>
      <c r="F34" s="391">
        <v>220</v>
      </c>
      <c r="G34" s="433">
        <f t="shared" ref="G34:G65" si="1">C34*D34*E34*F34/1000000000</f>
        <v>0.26628577469999998</v>
      </c>
    </row>
    <row r="35" spans="1:7" ht="16.5">
      <c r="A35" s="392" t="s">
        <v>332</v>
      </c>
      <c r="B35" s="393" t="s">
        <v>337</v>
      </c>
      <c r="C35" s="394">
        <v>15.9</v>
      </c>
      <c r="D35" s="394">
        <v>161.9</v>
      </c>
      <c r="E35" s="394">
        <v>295.2</v>
      </c>
      <c r="F35" s="394">
        <v>110</v>
      </c>
      <c r="G35" s="435">
        <f t="shared" si="1"/>
        <v>8.3589747120000002E-2</v>
      </c>
    </row>
    <row r="36" spans="1:7" ht="16.5">
      <c r="A36" s="389" t="s">
        <v>332</v>
      </c>
      <c r="B36" s="390" t="s">
        <v>338</v>
      </c>
      <c r="C36" s="391">
        <v>15.9</v>
      </c>
      <c r="D36" s="391">
        <v>161.9</v>
      </c>
      <c r="E36" s="391">
        <v>444.5</v>
      </c>
      <c r="F36" s="391">
        <v>100</v>
      </c>
      <c r="G36" s="433">
        <f t="shared" si="1"/>
        <v>0.1144236345</v>
      </c>
    </row>
    <row r="37" spans="1:7" ht="16.5">
      <c r="A37" s="392" t="s">
        <v>332</v>
      </c>
      <c r="B37" s="393" t="s">
        <v>339</v>
      </c>
      <c r="C37" s="394">
        <v>15.9</v>
      </c>
      <c r="D37" s="394">
        <v>85.9</v>
      </c>
      <c r="E37" s="394">
        <v>800.1</v>
      </c>
      <c r="F37" s="394">
        <v>170</v>
      </c>
      <c r="G37" s="435">
        <f t="shared" si="1"/>
        <v>0.18577337877000005</v>
      </c>
    </row>
    <row r="38" spans="1:7" ht="16.5">
      <c r="A38" s="389" t="s">
        <v>340</v>
      </c>
      <c r="B38" s="390" t="s">
        <v>341</v>
      </c>
      <c r="C38" s="391">
        <v>15.9</v>
      </c>
      <c r="D38" s="391">
        <v>85.7</v>
      </c>
      <c r="E38" s="391">
        <v>212.7</v>
      </c>
      <c r="F38" s="391">
        <v>930</v>
      </c>
      <c r="G38" s="433">
        <f t="shared" si="1"/>
        <v>0.26954320293</v>
      </c>
    </row>
    <row r="39" spans="1:7" ht="16.5">
      <c r="A39" s="392" t="s">
        <v>342</v>
      </c>
      <c r="B39" s="393" t="s">
        <v>343</v>
      </c>
      <c r="C39" s="394">
        <v>15</v>
      </c>
      <c r="D39" s="394">
        <v>228</v>
      </c>
      <c r="E39" s="394">
        <v>762</v>
      </c>
      <c r="F39" s="394">
        <v>113</v>
      </c>
      <c r="G39" s="435">
        <f t="shared" si="1"/>
        <v>0.29448252000000003</v>
      </c>
    </row>
    <row r="40" spans="1:7" ht="16.5">
      <c r="A40" s="389" t="s">
        <v>342</v>
      </c>
      <c r="B40" s="390" t="s">
        <v>344</v>
      </c>
      <c r="C40" s="391">
        <v>15</v>
      </c>
      <c r="D40" s="391">
        <v>203.2</v>
      </c>
      <c r="E40" s="391">
        <v>444.5</v>
      </c>
      <c r="F40" s="391">
        <v>35</v>
      </c>
      <c r="G40" s="433">
        <f t="shared" si="1"/>
        <v>4.7419259999999998E-2</v>
      </c>
    </row>
    <row r="41" spans="1:7" ht="16.5">
      <c r="A41" s="392" t="s">
        <v>345</v>
      </c>
      <c r="B41" s="393" t="s">
        <v>122</v>
      </c>
      <c r="C41" s="394">
        <v>15.88</v>
      </c>
      <c r="D41" s="394">
        <v>57.15</v>
      </c>
      <c r="E41" s="394">
        <v>463.55</v>
      </c>
      <c r="F41" s="394">
        <v>119</v>
      </c>
      <c r="G41" s="435">
        <f t="shared" si="1"/>
        <v>5.0062240197900003E-2</v>
      </c>
    </row>
    <row r="42" spans="1:7" ht="33">
      <c r="A42" s="397" t="s">
        <v>345</v>
      </c>
      <c r="B42" s="398">
        <v>5010602</v>
      </c>
      <c r="C42" s="399">
        <v>15.88</v>
      </c>
      <c r="D42" s="399">
        <v>95.25</v>
      </c>
      <c r="E42" s="399">
        <v>463.55</v>
      </c>
      <c r="F42" s="399">
        <v>839</v>
      </c>
      <c r="G42" s="436">
        <f t="shared" si="1"/>
        <v>0.5882663799165001</v>
      </c>
    </row>
    <row r="43" spans="1:7" ht="16.5">
      <c r="A43" s="392" t="s">
        <v>345</v>
      </c>
      <c r="B43" s="393" t="s">
        <v>124</v>
      </c>
      <c r="C43" s="394">
        <v>15.88</v>
      </c>
      <c r="D43" s="394">
        <v>107.95</v>
      </c>
      <c r="E43" s="394">
        <v>463.55</v>
      </c>
      <c r="F43" s="394">
        <v>170</v>
      </c>
      <c r="G43" s="435">
        <f t="shared" si="1"/>
        <v>0.13508858466100002</v>
      </c>
    </row>
    <row r="44" spans="1:7" ht="16.5">
      <c r="A44" s="389" t="s">
        <v>345</v>
      </c>
      <c r="B44" s="390" t="s">
        <v>286</v>
      </c>
      <c r="C44" s="391">
        <v>15.88</v>
      </c>
      <c r="D44" s="391">
        <v>234.95</v>
      </c>
      <c r="E44" s="391">
        <v>463.55</v>
      </c>
      <c r="F44" s="391">
        <v>108</v>
      </c>
      <c r="G44" s="433">
        <f t="shared" si="1"/>
        <v>0.1867868457804</v>
      </c>
    </row>
    <row r="45" spans="1:7" ht="16.5">
      <c r="A45" s="392" t="s">
        <v>345</v>
      </c>
      <c r="B45" s="393" t="s">
        <v>125</v>
      </c>
      <c r="C45" s="394">
        <v>15.88</v>
      </c>
      <c r="D45" s="394">
        <v>285.75</v>
      </c>
      <c r="E45" s="394">
        <v>463.55</v>
      </c>
      <c r="F45" s="394">
        <v>13</v>
      </c>
      <c r="G45" s="435">
        <f t="shared" si="1"/>
        <v>2.7344921116500005E-2</v>
      </c>
    </row>
    <row r="46" spans="1:7" ht="16.5">
      <c r="A46" s="389" t="s">
        <v>345</v>
      </c>
      <c r="B46" s="390" t="s">
        <v>126</v>
      </c>
      <c r="C46" s="391">
        <v>15.88</v>
      </c>
      <c r="D46" s="391">
        <v>57.15</v>
      </c>
      <c r="E46" s="391">
        <v>539.75</v>
      </c>
      <c r="F46" s="391">
        <v>90</v>
      </c>
      <c r="G46" s="433">
        <f t="shared" si="1"/>
        <v>4.4086121505000006E-2</v>
      </c>
    </row>
    <row r="47" spans="1:7" ht="16.5">
      <c r="A47" s="392" t="s">
        <v>345</v>
      </c>
      <c r="B47" s="393" t="s">
        <v>287</v>
      </c>
      <c r="C47" s="394">
        <v>15.88</v>
      </c>
      <c r="D47" s="394">
        <v>158.75</v>
      </c>
      <c r="E47" s="394">
        <v>539.75</v>
      </c>
      <c r="F47" s="394">
        <v>25</v>
      </c>
      <c r="G47" s="435">
        <f t="shared" si="1"/>
        <v>3.4017069062500009E-2</v>
      </c>
    </row>
    <row r="48" spans="1:7" ht="16.5">
      <c r="A48" s="389" t="s">
        <v>345</v>
      </c>
      <c r="B48" s="390" t="s">
        <v>129</v>
      </c>
      <c r="C48" s="391">
        <v>15.88</v>
      </c>
      <c r="D48" s="391">
        <v>209.55</v>
      </c>
      <c r="E48" s="391">
        <v>539.75</v>
      </c>
      <c r="F48" s="391">
        <v>569</v>
      </c>
      <c r="G48" s="433">
        <f t="shared" si="1"/>
        <v>1.0219816092585001</v>
      </c>
    </row>
    <row r="49" spans="1:7" ht="16.5">
      <c r="A49" s="392" t="s">
        <v>345</v>
      </c>
      <c r="B49" s="393" t="s">
        <v>130</v>
      </c>
      <c r="C49" s="394">
        <v>15.88</v>
      </c>
      <c r="D49" s="394">
        <v>209.55</v>
      </c>
      <c r="E49" s="394">
        <v>539.75</v>
      </c>
      <c r="F49" s="394">
        <v>20</v>
      </c>
      <c r="G49" s="435">
        <f t="shared" si="1"/>
        <v>3.5922024930000004E-2</v>
      </c>
    </row>
    <row r="50" spans="1:7" ht="16.5">
      <c r="A50" s="389" t="s">
        <v>345</v>
      </c>
      <c r="B50" s="390" t="s">
        <v>131</v>
      </c>
      <c r="C50" s="391">
        <v>15.88</v>
      </c>
      <c r="D50" s="391">
        <v>285.75</v>
      </c>
      <c r="E50" s="391">
        <v>539.75</v>
      </c>
      <c r="F50" s="391">
        <v>13</v>
      </c>
      <c r="G50" s="433">
        <f t="shared" si="1"/>
        <v>3.1839976642500004E-2</v>
      </c>
    </row>
    <row r="51" spans="1:7" ht="33">
      <c r="A51" s="397" t="s">
        <v>345</v>
      </c>
      <c r="B51" s="398">
        <v>5010623</v>
      </c>
      <c r="C51" s="399">
        <v>15.88</v>
      </c>
      <c r="D51" s="399">
        <v>95.25</v>
      </c>
      <c r="E51" s="399">
        <v>2032</v>
      </c>
      <c r="F51" s="399">
        <v>282</v>
      </c>
      <c r="G51" s="436">
        <f t="shared" si="1"/>
        <v>0.86673891168000006</v>
      </c>
    </row>
    <row r="52" spans="1:7" ht="16.5">
      <c r="A52" s="389" t="s">
        <v>345</v>
      </c>
      <c r="B52" s="390" t="s">
        <v>288</v>
      </c>
      <c r="C52" s="391">
        <v>15.88</v>
      </c>
      <c r="D52" s="391">
        <v>107.95</v>
      </c>
      <c r="E52" s="391">
        <v>2032</v>
      </c>
      <c r="F52" s="391">
        <v>25</v>
      </c>
      <c r="G52" s="433">
        <f t="shared" si="1"/>
        <v>8.7083696799999999E-2</v>
      </c>
    </row>
    <row r="53" spans="1:7" ht="16.5">
      <c r="A53" s="392" t="s">
        <v>345</v>
      </c>
      <c r="B53" s="393" t="s">
        <v>133</v>
      </c>
      <c r="C53" s="394">
        <v>15.88</v>
      </c>
      <c r="D53" s="394">
        <v>209.55</v>
      </c>
      <c r="E53" s="394">
        <v>2032</v>
      </c>
      <c r="F53" s="394">
        <v>70</v>
      </c>
      <c r="G53" s="435">
        <f t="shared" si="1"/>
        <v>0.47332550496000009</v>
      </c>
    </row>
    <row r="54" spans="1:7" ht="33">
      <c r="A54" s="397" t="s">
        <v>345</v>
      </c>
      <c r="B54" s="398">
        <v>5010628</v>
      </c>
      <c r="C54" s="399">
        <v>15.88</v>
      </c>
      <c r="D54" s="399">
        <v>285.75</v>
      </c>
      <c r="E54" s="399">
        <v>2032</v>
      </c>
      <c r="F54" s="399">
        <v>32</v>
      </c>
      <c r="G54" s="436">
        <f t="shared" si="1"/>
        <v>0.29506005504000005</v>
      </c>
    </row>
    <row r="55" spans="1:7" ht="16.5">
      <c r="A55" s="392" t="s">
        <v>346</v>
      </c>
      <c r="B55" s="393" t="s">
        <v>116</v>
      </c>
      <c r="C55" s="394">
        <v>16.875</v>
      </c>
      <c r="D55" s="394">
        <v>153</v>
      </c>
      <c r="E55" s="394">
        <v>371</v>
      </c>
      <c r="F55" s="394">
        <v>220</v>
      </c>
      <c r="G55" s="435">
        <f t="shared" si="1"/>
        <v>0.21073263749999999</v>
      </c>
    </row>
    <row r="56" spans="1:7" ht="16.5">
      <c r="A56" s="389" t="s">
        <v>346</v>
      </c>
      <c r="B56" s="390" t="s">
        <v>115</v>
      </c>
      <c r="C56" s="391">
        <v>15.875</v>
      </c>
      <c r="D56" s="391">
        <v>153</v>
      </c>
      <c r="E56" s="391">
        <v>294.8</v>
      </c>
      <c r="F56" s="391">
        <v>620</v>
      </c>
      <c r="G56" s="433">
        <f t="shared" si="1"/>
        <v>0.443940057</v>
      </c>
    </row>
    <row r="57" spans="1:7" ht="16.5">
      <c r="A57" s="392" t="s">
        <v>347</v>
      </c>
      <c r="B57" s="393" t="s">
        <v>348</v>
      </c>
      <c r="C57" s="394">
        <v>15.875</v>
      </c>
      <c r="D57" s="394">
        <v>153</v>
      </c>
      <c r="E57" s="394">
        <v>675.8</v>
      </c>
      <c r="F57" s="394">
        <v>70</v>
      </c>
      <c r="G57" s="435">
        <f t="shared" si="1"/>
        <v>0.11490036074999999</v>
      </c>
    </row>
    <row r="58" spans="1:7" ht="16.5">
      <c r="A58" s="389" t="s">
        <v>347</v>
      </c>
      <c r="B58" s="390" t="s">
        <v>349</v>
      </c>
      <c r="C58" s="391">
        <v>15.875</v>
      </c>
      <c r="D58" s="391">
        <v>153</v>
      </c>
      <c r="E58" s="391">
        <v>269.39999999999998</v>
      </c>
      <c r="F58" s="391">
        <v>115</v>
      </c>
      <c r="G58" s="433">
        <f t="shared" si="1"/>
        <v>7.5248976374999985E-2</v>
      </c>
    </row>
    <row r="59" spans="1:7" ht="16.5">
      <c r="A59" s="392" t="s">
        <v>347</v>
      </c>
      <c r="B59" s="393" t="s">
        <v>350</v>
      </c>
      <c r="C59" s="394">
        <v>15.875</v>
      </c>
      <c r="D59" s="394">
        <v>76</v>
      </c>
      <c r="E59" s="394">
        <v>1219</v>
      </c>
      <c r="F59" s="394">
        <v>84</v>
      </c>
      <c r="G59" s="435">
        <f t="shared" si="1"/>
        <v>0.12354077400000001</v>
      </c>
    </row>
    <row r="60" spans="1:7" ht="16.5">
      <c r="A60" s="389" t="s">
        <v>347</v>
      </c>
      <c r="B60" s="390" t="s">
        <v>351</v>
      </c>
      <c r="C60" s="391">
        <v>15.875</v>
      </c>
      <c r="D60" s="391">
        <v>252</v>
      </c>
      <c r="E60" s="391">
        <v>521</v>
      </c>
      <c r="F60" s="391">
        <v>190</v>
      </c>
      <c r="G60" s="433">
        <f t="shared" si="1"/>
        <v>0.39600949499999999</v>
      </c>
    </row>
    <row r="61" spans="1:7" ht="16.5">
      <c r="A61" s="392" t="s">
        <v>347</v>
      </c>
      <c r="B61" s="393" t="s">
        <v>352</v>
      </c>
      <c r="C61" s="394">
        <v>15.875</v>
      </c>
      <c r="D61" s="394">
        <v>201</v>
      </c>
      <c r="E61" s="394">
        <v>521</v>
      </c>
      <c r="F61" s="394">
        <v>570</v>
      </c>
      <c r="G61" s="435">
        <f t="shared" si="1"/>
        <v>0.94759414875000003</v>
      </c>
    </row>
    <row r="62" spans="1:7" ht="16.5">
      <c r="A62" s="389" t="s">
        <v>347</v>
      </c>
      <c r="B62" s="390" t="s">
        <v>353</v>
      </c>
      <c r="C62" s="391">
        <v>15.875</v>
      </c>
      <c r="D62" s="391">
        <v>151</v>
      </c>
      <c r="E62" s="391">
        <v>521</v>
      </c>
      <c r="F62" s="391">
        <v>614</v>
      </c>
      <c r="G62" s="433">
        <f t="shared" si="1"/>
        <v>0.76682590475000001</v>
      </c>
    </row>
    <row r="63" spans="1:7" ht="33">
      <c r="A63" s="400" t="s">
        <v>347</v>
      </c>
      <c r="B63" s="401" t="s">
        <v>397</v>
      </c>
      <c r="C63" s="402">
        <v>15.875</v>
      </c>
      <c r="D63" s="402">
        <v>100</v>
      </c>
      <c r="E63" s="402">
        <v>445</v>
      </c>
      <c r="F63" s="402">
        <v>1040</v>
      </c>
      <c r="G63" s="437">
        <f t="shared" si="1"/>
        <v>0.73469499999999999</v>
      </c>
    </row>
    <row r="64" spans="1:7" ht="16.5">
      <c r="A64" s="389" t="s">
        <v>347</v>
      </c>
      <c r="B64" s="390" t="s">
        <v>121</v>
      </c>
      <c r="C64" s="391">
        <v>15.875</v>
      </c>
      <c r="D64" s="391">
        <v>100</v>
      </c>
      <c r="E64" s="391">
        <v>521</v>
      </c>
      <c r="F64" s="391">
        <v>1162</v>
      </c>
      <c r="G64" s="433">
        <f t="shared" si="1"/>
        <v>0.96107567500000002</v>
      </c>
    </row>
    <row r="65" spans="1:7" ht="16.5">
      <c r="A65" s="392" t="s">
        <v>347</v>
      </c>
      <c r="B65" s="393" t="s">
        <v>354</v>
      </c>
      <c r="C65" s="394">
        <v>15.875</v>
      </c>
      <c r="D65" s="394">
        <v>49</v>
      </c>
      <c r="E65" s="394">
        <v>521</v>
      </c>
      <c r="F65" s="394">
        <v>38</v>
      </c>
      <c r="G65" s="435">
        <f t="shared" si="1"/>
        <v>1.540036925E-2</v>
      </c>
    </row>
    <row r="66" spans="1:7" ht="16.5">
      <c r="A66" s="389" t="s">
        <v>347</v>
      </c>
      <c r="B66" s="390" t="s">
        <v>355</v>
      </c>
      <c r="C66" s="391">
        <v>15.9</v>
      </c>
      <c r="D66" s="391">
        <v>33.340000000000003</v>
      </c>
      <c r="E66" s="391">
        <v>458</v>
      </c>
      <c r="F66" s="391">
        <v>100</v>
      </c>
      <c r="G66" s="433">
        <f t="shared" ref="G66:G97" si="2">C66*D66*E66*F66/1000000000</f>
        <v>2.4278854800000003E-2</v>
      </c>
    </row>
    <row r="67" spans="1:7" ht="16.5">
      <c r="A67" s="392" t="s">
        <v>347</v>
      </c>
      <c r="B67" s="393" t="s">
        <v>356</v>
      </c>
      <c r="C67" s="394">
        <v>15.9</v>
      </c>
      <c r="D67" s="394">
        <v>42.86</v>
      </c>
      <c r="E67" s="394">
        <v>1385</v>
      </c>
      <c r="F67" s="394">
        <v>220</v>
      </c>
      <c r="G67" s="435">
        <f t="shared" si="2"/>
        <v>0.20764512780000002</v>
      </c>
    </row>
    <row r="68" spans="1:7" ht="16.5">
      <c r="A68" s="389" t="s">
        <v>357</v>
      </c>
      <c r="B68" s="390" t="s">
        <v>90</v>
      </c>
      <c r="C68" s="391">
        <v>16</v>
      </c>
      <c r="D68" s="391">
        <v>85.7</v>
      </c>
      <c r="E68" s="391">
        <v>896.39</v>
      </c>
      <c r="F68" s="391">
        <v>75</v>
      </c>
      <c r="G68" s="433">
        <f t="shared" si="2"/>
        <v>9.2184747600000005E-2</v>
      </c>
    </row>
    <row r="69" spans="1:7" ht="16.5">
      <c r="A69" s="392" t="s">
        <v>357</v>
      </c>
      <c r="B69" s="393" t="s">
        <v>102</v>
      </c>
      <c r="C69" s="394">
        <v>16</v>
      </c>
      <c r="D69" s="394">
        <v>85.7</v>
      </c>
      <c r="E69" s="394">
        <v>820.19</v>
      </c>
      <c r="F69" s="394">
        <v>50</v>
      </c>
      <c r="G69" s="435">
        <f t="shared" si="2"/>
        <v>5.6232226400000009E-2</v>
      </c>
    </row>
    <row r="70" spans="1:7" ht="16.5">
      <c r="A70" s="389" t="s">
        <v>357</v>
      </c>
      <c r="B70" s="390" t="s">
        <v>88</v>
      </c>
      <c r="C70" s="391">
        <v>16</v>
      </c>
      <c r="D70" s="391">
        <v>85.7</v>
      </c>
      <c r="E70" s="391">
        <v>743.99</v>
      </c>
      <c r="F70" s="391">
        <v>95</v>
      </c>
      <c r="G70" s="433">
        <f t="shared" si="2"/>
        <v>9.6915113359999999E-2</v>
      </c>
    </row>
    <row r="71" spans="1:7" ht="33">
      <c r="A71" s="397" t="s">
        <v>357</v>
      </c>
      <c r="B71" s="398">
        <v>66200466</v>
      </c>
      <c r="C71" s="399">
        <v>16</v>
      </c>
      <c r="D71" s="399">
        <v>85.7</v>
      </c>
      <c r="E71" s="399">
        <v>362.99</v>
      </c>
      <c r="F71" s="399">
        <v>100</v>
      </c>
      <c r="G71" s="436">
        <f t="shared" si="2"/>
        <v>4.9773188800000007E-2</v>
      </c>
    </row>
    <row r="72" spans="1:7" ht="16.5">
      <c r="A72" s="389" t="s">
        <v>357</v>
      </c>
      <c r="B72" s="390" t="s">
        <v>358</v>
      </c>
      <c r="C72" s="391">
        <v>16</v>
      </c>
      <c r="D72" s="391">
        <v>85.7</v>
      </c>
      <c r="E72" s="391">
        <v>324.89</v>
      </c>
      <c r="F72" s="391">
        <v>29</v>
      </c>
      <c r="G72" s="433">
        <f t="shared" si="2"/>
        <v>1.2919185872E-2</v>
      </c>
    </row>
    <row r="73" spans="1:7" ht="16.5">
      <c r="A73" s="392" t="s">
        <v>357</v>
      </c>
      <c r="B73" s="393" t="s">
        <v>359</v>
      </c>
      <c r="C73" s="394">
        <v>16</v>
      </c>
      <c r="D73" s="394">
        <v>85.7</v>
      </c>
      <c r="E73" s="394">
        <v>286.79000000000002</v>
      </c>
      <c r="F73" s="394">
        <v>30</v>
      </c>
      <c r="G73" s="435">
        <f t="shared" si="2"/>
        <v>1.1797393440000001E-2</v>
      </c>
    </row>
    <row r="74" spans="1:7" ht="16.5">
      <c r="A74" s="389" t="s">
        <v>357</v>
      </c>
      <c r="B74" s="390" t="s">
        <v>360</v>
      </c>
      <c r="C74" s="391">
        <v>16</v>
      </c>
      <c r="D74" s="391">
        <v>85.7</v>
      </c>
      <c r="E74" s="391">
        <v>210.59</v>
      </c>
      <c r="F74" s="391">
        <v>50</v>
      </c>
      <c r="G74" s="433">
        <f t="shared" si="2"/>
        <v>1.4438050400000003E-2</v>
      </c>
    </row>
    <row r="75" spans="1:7" ht="16.5">
      <c r="A75" s="392" t="s">
        <v>357</v>
      </c>
      <c r="B75" s="393" t="s">
        <v>93</v>
      </c>
      <c r="C75" s="394">
        <v>16</v>
      </c>
      <c r="D75" s="394">
        <v>85.7</v>
      </c>
      <c r="E75" s="394">
        <v>667.79</v>
      </c>
      <c r="F75" s="394">
        <v>50</v>
      </c>
      <c r="G75" s="435">
        <f t="shared" si="2"/>
        <v>4.5783682399999998E-2</v>
      </c>
    </row>
    <row r="76" spans="1:7" ht="16.5">
      <c r="A76" s="389" t="s">
        <v>357</v>
      </c>
      <c r="B76" s="390" t="s">
        <v>89</v>
      </c>
      <c r="C76" s="391">
        <v>16</v>
      </c>
      <c r="D76" s="391">
        <v>85.7</v>
      </c>
      <c r="E76" s="391">
        <v>591.59</v>
      </c>
      <c r="F76" s="391">
        <v>60</v>
      </c>
      <c r="G76" s="433">
        <f t="shared" si="2"/>
        <v>4.8671292480000003E-2</v>
      </c>
    </row>
    <row r="77" spans="1:7" ht="16.5">
      <c r="A77" s="392" t="s">
        <v>357</v>
      </c>
      <c r="B77" s="393" t="s">
        <v>361</v>
      </c>
      <c r="C77" s="394">
        <v>12.7</v>
      </c>
      <c r="D77" s="394">
        <v>100</v>
      </c>
      <c r="E77" s="394">
        <v>812.01</v>
      </c>
      <c r="F77" s="394">
        <v>56</v>
      </c>
      <c r="G77" s="435">
        <f t="shared" si="2"/>
        <v>5.7750151199999995E-2</v>
      </c>
    </row>
    <row r="78" spans="1:7" ht="16.5">
      <c r="A78" s="389" t="s">
        <v>357</v>
      </c>
      <c r="B78" s="390" t="s">
        <v>362</v>
      </c>
      <c r="C78" s="391">
        <v>16</v>
      </c>
      <c r="D78" s="391">
        <v>161.9</v>
      </c>
      <c r="E78" s="391">
        <v>210.59</v>
      </c>
      <c r="F78" s="391">
        <v>185</v>
      </c>
      <c r="G78" s="433">
        <f t="shared" si="2"/>
        <v>0.10091978216</v>
      </c>
    </row>
    <row r="79" spans="1:7" ht="33">
      <c r="A79" s="397" t="s">
        <v>357</v>
      </c>
      <c r="B79" s="398">
        <v>66200510</v>
      </c>
      <c r="C79" s="399">
        <v>16</v>
      </c>
      <c r="D79" s="399">
        <v>161.9</v>
      </c>
      <c r="E79" s="399">
        <v>667.79</v>
      </c>
      <c r="F79" s="399">
        <v>120</v>
      </c>
      <c r="G79" s="436">
        <f t="shared" si="2"/>
        <v>0.20758118592000002</v>
      </c>
    </row>
    <row r="80" spans="1:7" ht="16.5">
      <c r="A80" s="389" t="s">
        <v>357</v>
      </c>
      <c r="B80" s="390" t="s">
        <v>363</v>
      </c>
      <c r="C80" s="391">
        <v>16</v>
      </c>
      <c r="D80" s="391">
        <v>161.9</v>
      </c>
      <c r="E80" s="391">
        <v>324.89</v>
      </c>
      <c r="F80" s="391">
        <v>149</v>
      </c>
      <c r="G80" s="433">
        <f t="shared" si="2"/>
        <v>0.12539766334399999</v>
      </c>
    </row>
    <row r="81" spans="1:7" ht="16.5">
      <c r="A81" s="392" t="s">
        <v>357</v>
      </c>
      <c r="B81" s="393" t="s">
        <v>107</v>
      </c>
      <c r="C81" s="394">
        <v>16</v>
      </c>
      <c r="D81" s="394">
        <v>161.9</v>
      </c>
      <c r="E81" s="394">
        <v>286.79000000000002</v>
      </c>
      <c r="F81" s="394">
        <v>50</v>
      </c>
      <c r="G81" s="435">
        <f t="shared" si="2"/>
        <v>3.7145040800000008E-2</v>
      </c>
    </row>
    <row r="82" spans="1:7" ht="16.5">
      <c r="A82" s="389" t="s">
        <v>357</v>
      </c>
      <c r="B82" s="390" t="s">
        <v>106</v>
      </c>
      <c r="C82" s="391">
        <v>16</v>
      </c>
      <c r="D82" s="391">
        <v>161.9</v>
      </c>
      <c r="E82" s="391">
        <v>515.39</v>
      </c>
      <c r="F82" s="391">
        <v>20</v>
      </c>
      <c r="G82" s="433">
        <f t="shared" si="2"/>
        <v>2.6701325120000001E-2</v>
      </c>
    </row>
    <row r="83" spans="1:7" ht="16.5">
      <c r="A83" s="392" t="s">
        <v>357</v>
      </c>
      <c r="B83" s="393" t="s">
        <v>105</v>
      </c>
      <c r="C83" s="394">
        <v>16</v>
      </c>
      <c r="D83" s="394">
        <v>161.9</v>
      </c>
      <c r="E83" s="394">
        <v>362.99</v>
      </c>
      <c r="F83" s="394">
        <v>110</v>
      </c>
      <c r="G83" s="435">
        <f t="shared" si="2"/>
        <v>0.10343182256</v>
      </c>
    </row>
    <row r="84" spans="1:7" ht="16.5">
      <c r="A84" s="389" t="s">
        <v>357</v>
      </c>
      <c r="B84" s="390" t="s">
        <v>364</v>
      </c>
      <c r="C84" s="391">
        <v>16</v>
      </c>
      <c r="D84" s="391">
        <v>80.900000000000006</v>
      </c>
      <c r="E84" s="391">
        <v>436.98</v>
      </c>
      <c r="F84" s="391">
        <v>50</v>
      </c>
      <c r="G84" s="433">
        <f t="shared" si="2"/>
        <v>2.82813456E-2</v>
      </c>
    </row>
    <row r="85" spans="1:7" ht="16.5">
      <c r="A85" s="392" t="s">
        <v>357</v>
      </c>
      <c r="B85" s="393" t="s">
        <v>98</v>
      </c>
      <c r="C85" s="394">
        <v>16</v>
      </c>
      <c r="D85" s="394">
        <v>85.7</v>
      </c>
      <c r="E85" s="394">
        <v>896.39</v>
      </c>
      <c r="F85" s="394">
        <v>14</v>
      </c>
      <c r="G85" s="435">
        <f t="shared" si="2"/>
        <v>1.7207819552E-2</v>
      </c>
    </row>
    <row r="86" spans="1:7" ht="16.5">
      <c r="A86" s="389" t="s">
        <v>357</v>
      </c>
      <c r="B86" s="390" t="s">
        <v>104</v>
      </c>
      <c r="C86" s="391">
        <v>16</v>
      </c>
      <c r="D86" s="391">
        <v>85.7</v>
      </c>
      <c r="E86" s="391">
        <v>820.19</v>
      </c>
      <c r="F86" s="391">
        <v>60</v>
      </c>
      <c r="G86" s="433">
        <f t="shared" si="2"/>
        <v>6.7478671680000005E-2</v>
      </c>
    </row>
    <row r="87" spans="1:7" ht="16.5">
      <c r="A87" s="392" t="s">
        <v>357</v>
      </c>
      <c r="B87" s="393" t="s">
        <v>91</v>
      </c>
      <c r="C87" s="394">
        <v>16</v>
      </c>
      <c r="D87" s="394">
        <v>85.7</v>
      </c>
      <c r="E87" s="394">
        <v>743.99</v>
      </c>
      <c r="F87" s="394">
        <v>105</v>
      </c>
      <c r="G87" s="435">
        <f t="shared" si="2"/>
        <v>0.10711670424</v>
      </c>
    </row>
    <row r="88" spans="1:7" ht="16.5">
      <c r="A88" s="389" t="s">
        <v>357</v>
      </c>
      <c r="B88" s="390" t="s">
        <v>97</v>
      </c>
      <c r="C88" s="391">
        <v>16</v>
      </c>
      <c r="D88" s="391">
        <v>85.7</v>
      </c>
      <c r="E88" s="391">
        <v>667.79</v>
      </c>
      <c r="F88" s="391">
        <v>75</v>
      </c>
      <c r="G88" s="433">
        <f t="shared" si="2"/>
        <v>6.8675523599999996E-2</v>
      </c>
    </row>
    <row r="89" spans="1:7" ht="33">
      <c r="A89" s="397" t="s">
        <v>357</v>
      </c>
      <c r="B89" s="398">
        <v>66200486</v>
      </c>
      <c r="C89" s="399">
        <v>16</v>
      </c>
      <c r="D89" s="399">
        <v>85.7</v>
      </c>
      <c r="E89" s="399">
        <v>591.59</v>
      </c>
      <c r="F89" s="399">
        <v>60</v>
      </c>
      <c r="G89" s="436">
        <f t="shared" si="2"/>
        <v>4.8671292480000003E-2</v>
      </c>
    </row>
    <row r="90" spans="1:7" ht="16.5">
      <c r="A90" s="389" t="s">
        <v>357</v>
      </c>
      <c r="B90" s="390" t="s">
        <v>96</v>
      </c>
      <c r="C90" s="391">
        <v>16</v>
      </c>
      <c r="D90" s="391">
        <v>85.7</v>
      </c>
      <c r="E90" s="391">
        <v>439.19</v>
      </c>
      <c r="F90" s="391">
        <v>40</v>
      </c>
      <c r="G90" s="433">
        <f t="shared" si="2"/>
        <v>2.4088693119999997E-2</v>
      </c>
    </row>
    <row r="91" spans="1:7" ht="16.5">
      <c r="A91" s="392" t="s">
        <v>357</v>
      </c>
      <c r="B91" s="393" t="s">
        <v>103</v>
      </c>
      <c r="C91" s="394">
        <v>16</v>
      </c>
      <c r="D91" s="394">
        <v>85.7</v>
      </c>
      <c r="E91" s="394">
        <v>286.79000000000002</v>
      </c>
      <c r="F91" s="394">
        <v>164</v>
      </c>
      <c r="G91" s="435">
        <f t="shared" si="2"/>
        <v>6.4492417472000005E-2</v>
      </c>
    </row>
    <row r="92" spans="1:7" ht="16.5">
      <c r="A92" s="389" t="s">
        <v>357</v>
      </c>
      <c r="B92" s="390" t="s">
        <v>365</v>
      </c>
      <c r="C92" s="391">
        <v>16</v>
      </c>
      <c r="D92" s="391">
        <v>85.7</v>
      </c>
      <c r="E92" s="391">
        <v>210.59</v>
      </c>
      <c r="F92" s="391">
        <v>30</v>
      </c>
      <c r="G92" s="433">
        <f t="shared" si="2"/>
        <v>8.6628302400000006E-3</v>
      </c>
    </row>
    <row r="93" spans="1:7" ht="33">
      <c r="A93" s="397" t="s">
        <v>366</v>
      </c>
      <c r="B93" s="398">
        <v>66213807</v>
      </c>
      <c r="C93" s="399">
        <v>16</v>
      </c>
      <c r="D93" s="399">
        <v>157.1</v>
      </c>
      <c r="E93" s="399">
        <v>516.76</v>
      </c>
      <c r="F93" s="399">
        <v>170</v>
      </c>
      <c r="G93" s="436">
        <f t="shared" si="2"/>
        <v>0.22081774912000002</v>
      </c>
    </row>
    <row r="94" spans="1:7" ht="16.5">
      <c r="A94" s="389" t="s">
        <v>366</v>
      </c>
      <c r="B94" s="390" t="s">
        <v>367</v>
      </c>
      <c r="C94" s="391">
        <v>16</v>
      </c>
      <c r="D94" s="391">
        <v>157.1</v>
      </c>
      <c r="E94" s="391">
        <v>441.76</v>
      </c>
      <c r="F94" s="391">
        <v>15</v>
      </c>
      <c r="G94" s="433">
        <f t="shared" si="2"/>
        <v>1.665611904E-2</v>
      </c>
    </row>
    <row r="95" spans="1:7" ht="16.5">
      <c r="A95" s="392" t="s">
        <v>366</v>
      </c>
      <c r="B95" s="393" t="s">
        <v>112</v>
      </c>
      <c r="C95" s="394">
        <v>16</v>
      </c>
      <c r="D95" s="394">
        <v>80.900000000000006</v>
      </c>
      <c r="E95" s="394">
        <v>516.76</v>
      </c>
      <c r="F95" s="394">
        <v>465</v>
      </c>
      <c r="G95" s="435">
        <f t="shared" si="2"/>
        <v>0.31103577696000007</v>
      </c>
    </row>
    <row r="96" spans="1:7" ht="16.5">
      <c r="A96" s="389" t="s">
        <v>366</v>
      </c>
      <c r="B96" s="390" t="s">
        <v>111</v>
      </c>
      <c r="C96" s="391">
        <v>16</v>
      </c>
      <c r="D96" s="391">
        <v>157.1</v>
      </c>
      <c r="E96" s="391">
        <v>511.99</v>
      </c>
      <c r="F96" s="391">
        <v>104</v>
      </c>
      <c r="G96" s="433">
        <f t="shared" si="2"/>
        <v>0.133841558656</v>
      </c>
    </row>
    <row r="97" spans="1:7" ht="16.5">
      <c r="A97" s="392" t="s">
        <v>366</v>
      </c>
      <c r="B97" s="393" t="s">
        <v>368</v>
      </c>
      <c r="C97" s="394">
        <v>16</v>
      </c>
      <c r="D97" s="394">
        <v>157.1</v>
      </c>
      <c r="E97" s="394">
        <v>436.98</v>
      </c>
      <c r="F97" s="394">
        <v>70</v>
      </c>
      <c r="G97" s="435">
        <f t="shared" si="2"/>
        <v>7.6887504960000005E-2</v>
      </c>
    </row>
    <row r="98" spans="1:7" ht="16.5">
      <c r="A98" s="389" t="s">
        <v>366</v>
      </c>
      <c r="B98" s="390" t="s">
        <v>94</v>
      </c>
      <c r="C98" s="391">
        <v>16</v>
      </c>
      <c r="D98" s="391">
        <v>161.9</v>
      </c>
      <c r="E98" s="391">
        <v>210.59</v>
      </c>
      <c r="F98" s="391">
        <v>25</v>
      </c>
      <c r="G98" s="433">
        <f t="shared" ref="G98:G106" si="3">C98*D98*E98*F98/1000000000</f>
        <v>1.36378084E-2</v>
      </c>
    </row>
    <row r="99" spans="1:7" ht="16.5">
      <c r="A99" s="392" t="s">
        <v>366</v>
      </c>
      <c r="B99" s="393" t="s">
        <v>110</v>
      </c>
      <c r="C99" s="394">
        <v>16</v>
      </c>
      <c r="D99" s="394">
        <v>161.9</v>
      </c>
      <c r="E99" s="394">
        <v>667.79</v>
      </c>
      <c r="F99" s="394">
        <v>78</v>
      </c>
      <c r="G99" s="435">
        <f t="shared" si="3"/>
        <v>0.13492777084799998</v>
      </c>
    </row>
    <row r="100" spans="1:7" ht="33">
      <c r="A100" s="397" t="s">
        <v>366</v>
      </c>
      <c r="B100" s="398">
        <v>66200520</v>
      </c>
      <c r="C100" s="399">
        <v>16</v>
      </c>
      <c r="D100" s="399">
        <v>161.9</v>
      </c>
      <c r="E100" s="399">
        <v>515.39</v>
      </c>
      <c r="F100" s="399">
        <v>95</v>
      </c>
      <c r="G100" s="436">
        <f t="shared" si="3"/>
        <v>0.12683129432000001</v>
      </c>
    </row>
    <row r="101" spans="1:7" ht="16.5">
      <c r="A101" s="392" t="s">
        <v>366</v>
      </c>
      <c r="B101" s="393" t="s">
        <v>109</v>
      </c>
      <c r="C101" s="394">
        <v>16</v>
      </c>
      <c r="D101" s="394">
        <v>161.9</v>
      </c>
      <c r="E101" s="394">
        <v>362.99</v>
      </c>
      <c r="F101" s="394">
        <v>30</v>
      </c>
      <c r="G101" s="435">
        <f t="shared" si="3"/>
        <v>2.8208678880000004E-2</v>
      </c>
    </row>
    <row r="102" spans="1:7" ht="16.5">
      <c r="A102" s="389" t="s">
        <v>366</v>
      </c>
      <c r="B102" s="390" t="s">
        <v>369</v>
      </c>
      <c r="C102" s="391">
        <v>16</v>
      </c>
      <c r="D102" s="391">
        <v>161.9</v>
      </c>
      <c r="E102" s="391">
        <v>286.79000000000002</v>
      </c>
      <c r="F102" s="391">
        <v>155</v>
      </c>
      <c r="G102" s="433">
        <f t="shared" si="3"/>
        <v>0.11514962648000002</v>
      </c>
    </row>
    <row r="103" spans="1:7" ht="16.5">
      <c r="A103" s="392" t="s">
        <v>366</v>
      </c>
      <c r="B103" s="393" t="s">
        <v>370</v>
      </c>
      <c r="C103" s="394">
        <v>19.05</v>
      </c>
      <c r="D103" s="394">
        <v>50.8</v>
      </c>
      <c r="E103" s="394">
        <v>831.06</v>
      </c>
      <c r="F103" s="394">
        <v>30</v>
      </c>
      <c r="G103" s="435">
        <f t="shared" si="3"/>
        <v>2.4127500132000001E-2</v>
      </c>
    </row>
    <row r="104" spans="1:7" ht="16.5">
      <c r="A104" s="389" t="s">
        <v>366</v>
      </c>
      <c r="B104" s="390" t="s">
        <v>371</v>
      </c>
      <c r="C104" s="391">
        <v>19.05</v>
      </c>
      <c r="D104" s="391">
        <v>50.8</v>
      </c>
      <c r="E104" s="391">
        <v>678.66</v>
      </c>
      <c r="F104" s="391">
        <v>105</v>
      </c>
      <c r="G104" s="433">
        <f t="shared" si="3"/>
        <v>6.8960474981999989E-2</v>
      </c>
    </row>
    <row r="105" spans="1:7" ht="16.5">
      <c r="A105" s="392" t="s">
        <v>366</v>
      </c>
      <c r="B105" s="393" t="s">
        <v>114</v>
      </c>
      <c r="C105" s="394">
        <v>19.05</v>
      </c>
      <c r="D105" s="394">
        <v>50.8</v>
      </c>
      <c r="E105" s="394">
        <v>297.66000000000003</v>
      </c>
      <c r="F105" s="394">
        <v>330</v>
      </c>
      <c r="G105" s="435">
        <f t="shared" si="3"/>
        <v>9.5058971172000004E-2</v>
      </c>
    </row>
    <row r="106" spans="1:7" ht="16.5">
      <c r="A106" s="389" t="s">
        <v>366</v>
      </c>
      <c r="B106" s="390" t="s">
        <v>113</v>
      </c>
      <c r="C106" s="391">
        <v>19.05</v>
      </c>
      <c r="D106" s="391">
        <v>50.8</v>
      </c>
      <c r="E106" s="391">
        <v>221.46</v>
      </c>
      <c r="F106" s="391">
        <v>605</v>
      </c>
      <c r="G106" s="433">
        <f t="shared" si="3"/>
        <v>0.12966099874199999</v>
      </c>
    </row>
    <row r="107" spans="1:7">
      <c r="A107" t="s">
        <v>18</v>
      </c>
      <c r="F107">
        <f>SUM(F2:F106)</f>
        <v>15375</v>
      </c>
      <c r="G107" s="434">
        <f>SUM(G2:G106)</f>
        <v>14.458227296296437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0FEE-43C1-44C2-8F57-8968AA269AF4}">
  <sheetPr>
    <tabColor rgb="FF33CC33"/>
    <pageSetUpPr fitToPage="1"/>
  </sheetPr>
  <dimension ref="A1:AD677"/>
  <sheetViews>
    <sheetView view="pageBreakPreview" topLeftCell="A67" zoomScale="55" zoomScaleNormal="80" zoomScaleSheetLayoutView="55" workbookViewId="0">
      <selection activeCell="Q70" sqref="Q70"/>
    </sheetView>
  </sheetViews>
  <sheetFormatPr defaultColWidth="14.453125" defaultRowHeight="15" customHeight="1"/>
  <cols>
    <col min="1" max="1" width="23.54296875" style="224" customWidth="1"/>
    <col min="2" max="2" width="19.90625" style="224" customWidth="1"/>
    <col min="3" max="3" width="12.90625" style="224" customWidth="1"/>
    <col min="4" max="5" width="13.90625" style="224" customWidth="1"/>
    <col min="6" max="6" width="14.6328125" style="224" customWidth="1"/>
    <col min="7" max="7" width="18.6328125" style="290" customWidth="1"/>
    <col min="8" max="8" width="18.90625" style="224" customWidth="1"/>
    <col min="9" max="9" width="14.453125" style="224" hidden="1" customWidth="1"/>
    <col min="10" max="10" width="18" style="224" customWidth="1"/>
    <col min="11" max="11" width="18.54296875" style="224" bestFit="1" customWidth="1"/>
    <col min="12" max="12" width="17.36328125" style="224" customWidth="1"/>
    <col min="13" max="14" width="17.6328125" style="224" hidden="1" customWidth="1"/>
    <col min="15" max="15" width="17.6328125" style="224" customWidth="1"/>
    <col min="16" max="16" width="21.6328125" style="224" customWidth="1"/>
    <col min="17" max="17" width="24.453125" style="224" customWidth="1"/>
    <col min="18" max="18" width="18.453125" style="224" customWidth="1"/>
    <col min="19" max="19" width="24.453125" style="224" customWidth="1"/>
    <col min="20" max="30" width="8.6328125" style="224" customWidth="1"/>
    <col min="31" max="16384" width="14.453125" style="224"/>
  </cols>
  <sheetData>
    <row r="1" spans="1:30" ht="39" customHeight="1">
      <c r="A1" s="512" t="s">
        <v>69</v>
      </c>
      <c r="B1" s="513"/>
      <c r="C1" s="513"/>
      <c r="D1" s="218"/>
      <c r="E1" s="218"/>
      <c r="F1" s="219"/>
      <c r="G1" s="220"/>
      <c r="H1" s="221"/>
      <c r="I1" s="221"/>
      <c r="J1" s="221"/>
      <c r="K1" s="222"/>
      <c r="L1" s="222"/>
      <c r="M1" s="221"/>
      <c r="N1" s="221"/>
      <c r="O1" s="221"/>
      <c r="P1" s="218"/>
      <c r="Q1" s="221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</row>
    <row r="2" spans="1:30" ht="38.25" customHeight="1">
      <c r="A2" s="225" t="s">
        <v>4</v>
      </c>
      <c r="B2" s="226" t="s">
        <v>5</v>
      </c>
      <c r="C2" s="227" t="s">
        <v>6</v>
      </c>
      <c r="D2" s="228" t="s">
        <v>0</v>
      </c>
      <c r="E2" s="228" t="s">
        <v>1</v>
      </c>
      <c r="F2" s="228" t="s">
        <v>2</v>
      </c>
      <c r="G2" s="514" t="s">
        <v>70</v>
      </c>
      <c r="H2" s="229" t="s">
        <v>8</v>
      </c>
      <c r="I2" s="230" t="s">
        <v>9</v>
      </c>
      <c r="J2" s="226" t="s">
        <v>71</v>
      </c>
      <c r="K2" s="226" t="s">
        <v>72</v>
      </c>
      <c r="L2" s="231" t="s">
        <v>73</v>
      </c>
      <c r="M2" s="232" t="s">
        <v>74</v>
      </c>
      <c r="N2" s="233" t="s">
        <v>75</v>
      </c>
      <c r="O2" s="231" t="s">
        <v>76</v>
      </c>
      <c r="P2" s="226" t="s">
        <v>13</v>
      </c>
      <c r="Q2" s="234" t="s">
        <v>14</v>
      </c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</row>
    <row r="3" spans="1:30" ht="27" customHeight="1">
      <c r="A3" s="225"/>
      <c r="B3" s="226"/>
      <c r="C3" s="228" t="s">
        <v>0</v>
      </c>
      <c r="D3" s="226" t="s">
        <v>7</v>
      </c>
      <c r="E3" s="226"/>
      <c r="F3" s="226"/>
      <c r="G3" s="515"/>
      <c r="H3" s="229"/>
      <c r="I3" s="236" t="s">
        <v>77</v>
      </c>
      <c r="J3" s="236"/>
      <c r="K3" s="226"/>
      <c r="L3" s="237"/>
      <c r="M3" s="238" t="s">
        <v>78</v>
      </c>
      <c r="N3" s="237"/>
      <c r="O3" s="237"/>
      <c r="P3" s="226"/>
      <c r="Q3" s="234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</row>
    <row r="4" spans="1:30" ht="30" customHeight="1">
      <c r="A4" s="239" t="s">
        <v>79</v>
      </c>
      <c r="B4" s="240">
        <v>5839367</v>
      </c>
      <c r="C4" s="241"/>
      <c r="D4" s="242">
        <v>95.3</v>
      </c>
      <c r="E4" s="242">
        <v>371.5</v>
      </c>
      <c r="F4" s="243">
        <v>533.4</v>
      </c>
      <c r="G4" s="244">
        <f>D4*E4*F4/1000000000</f>
        <v>1.8884466929999996E-2</v>
      </c>
      <c r="H4" s="245">
        <v>378</v>
      </c>
      <c r="I4" s="246"/>
      <c r="J4" s="247">
        <v>6.43E-3</v>
      </c>
      <c r="K4" s="248">
        <f>J4*H4</f>
        <v>2.4305400000000001</v>
      </c>
      <c r="L4" s="248">
        <f>M4-N4</f>
        <v>24.793199999999999</v>
      </c>
      <c r="M4" s="248">
        <v>25.56</v>
      </c>
      <c r="N4" s="248">
        <f>M4*3%</f>
        <v>0.76679999999999993</v>
      </c>
      <c r="O4" s="248">
        <v>32.5</v>
      </c>
      <c r="P4" s="249">
        <f>H4*L4*O4*0.95</f>
        <v>289355.2389</v>
      </c>
      <c r="Q4" s="250" t="s">
        <v>80</v>
      </c>
      <c r="R4" s="251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</row>
    <row r="5" spans="1:30" ht="30" customHeight="1">
      <c r="A5" s="239"/>
      <c r="B5" s="240">
        <v>5839370</v>
      </c>
      <c r="C5" s="241"/>
      <c r="D5" s="242">
        <v>95.3</v>
      </c>
      <c r="E5" s="242">
        <v>447.7</v>
      </c>
      <c r="F5" s="242">
        <v>533.4</v>
      </c>
      <c r="G5" s="244">
        <f t="shared" ref="G5:G61" si="0">D5*E5*F5/1000000000</f>
        <v>2.2757943053999998E-2</v>
      </c>
      <c r="H5" s="245">
        <v>112</v>
      </c>
      <c r="I5" s="246"/>
      <c r="J5" s="247">
        <v>7.5100000000000002E-3</v>
      </c>
      <c r="K5" s="248">
        <f t="shared" ref="K5:K69" si="1">J5*H5</f>
        <v>0.84111999999999998</v>
      </c>
      <c r="L5" s="248">
        <v>27.96</v>
      </c>
      <c r="M5" s="248">
        <v>28.82</v>
      </c>
      <c r="N5" s="248">
        <f t="shared" ref="N5:N7" si="2">M5*3%</f>
        <v>0.86459999999999992</v>
      </c>
      <c r="O5" s="248">
        <v>32.5</v>
      </c>
      <c r="P5" s="249">
        <f t="shared" ref="P5:P69" si="3">H5*L5*O5*0.95</f>
        <v>96685.68</v>
      </c>
      <c r="Q5" s="250" t="s">
        <v>80</v>
      </c>
      <c r="R5" s="251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</row>
    <row r="6" spans="1:30" ht="30" customHeight="1">
      <c r="A6" s="239"/>
      <c r="B6" s="240">
        <v>5839369</v>
      </c>
      <c r="C6" s="241"/>
      <c r="D6" s="242">
        <v>95.3</v>
      </c>
      <c r="E6" s="242">
        <v>523.9</v>
      </c>
      <c r="F6" s="242">
        <v>533.4</v>
      </c>
      <c r="G6" s="244">
        <f t="shared" si="0"/>
        <v>2.6631419178E-2</v>
      </c>
      <c r="H6" s="245">
        <v>224</v>
      </c>
      <c r="I6" s="246"/>
      <c r="J6" s="247">
        <v>8.4200000000000004E-3</v>
      </c>
      <c r="K6" s="248">
        <f t="shared" si="1"/>
        <v>1.8860800000000002</v>
      </c>
      <c r="L6" s="248">
        <v>29.76</v>
      </c>
      <c r="M6" s="248">
        <v>30.68</v>
      </c>
      <c r="N6" s="248">
        <f t="shared" si="2"/>
        <v>0.9204</v>
      </c>
      <c r="O6" s="248">
        <v>32.5</v>
      </c>
      <c r="P6" s="249">
        <f t="shared" si="3"/>
        <v>205820.16</v>
      </c>
      <c r="Q6" s="250" t="s">
        <v>80</v>
      </c>
      <c r="R6" s="251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</row>
    <row r="7" spans="1:30" ht="30" customHeight="1">
      <c r="A7" s="239"/>
      <c r="B7" s="240">
        <v>5839368</v>
      </c>
      <c r="C7" s="241"/>
      <c r="D7" s="242">
        <v>95.3</v>
      </c>
      <c r="E7" s="242">
        <v>295.3</v>
      </c>
      <c r="F7" s="242">
        <v>533.4</v>
      </c>
      <c r="G7" s="244">
        <f t="shared" si="0"/>
        <v>1.5010990805999999E-2</v>
      </c>
      <c r="H7" s="245">
        <v>42</v>
      </c>
      <c r="I7" s="246"/>
      <c r="J7" s="247">
        <v>5.3899999999999998E-3</v>
      </c>
      <c r="K7" s="248">
        <f t="shared" si="1"/>
        <v>0.22638</v>
      </c>
      <c r="L7" s="248">
        <v>21.64</v>
      </c>
      <c r="M7" s="248">
        <v>22.31</v>
      </c>
      <c r="N7" s="248">
        <f t="shared" si="2"/>
        <v>0.6692999999999999</v>
      </c>
      <c r="O7" s="248">
        <v>32.5</v>
      </c>
      <c r="P7" s="249">
        <f t="shared" si="3"/>
        <v>28061.67</v>
      </c>
      <c r="Q7" s="250" t="s">
        <v>80</v>
      </c>
      <c r="R7" s="251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  <c r="AD7" s="223"/>
    </row>
    <row r="8" spans="1:30" ht="30" customHeight="1">
      <c r="A8" s="239"/>
      <c r="B8" s="240">
        <v>6024773</v>
      </c>
      <c r="C8" s="241"/>
      <c r="D8" s="242">
        <v>95.3</v>
      </c>
      <c r="E8" s="242">
        <v>676.3</v>
      </c>
      <c r="F8" s="242">
        <v>533.4</v>
      </c>
      <c r="G8" s="244">
        <f t="shared" si="0"/>
        <v>3.437837142599999E-2</v>
      </c>
      <c r="H8" s="245"/>
      <c r="I8" s="246"/>
      <c r="J8" s="247">
        <v>1.009E-2</v>
      </c>
      <c r="K8" s="248">
        <f t="shared" si="1"/>
        <v>0</v>
      </c>
      <c r="L8" s="248"/>
      <c r="M8" s="252"/>
      <c r="N8" s="248">
        <f t="shared" ref="N8:N28" si="4">M8*3%-M8</f>
        <v>0</v>
      </c>
      <c r="O8" s="248">
        <v>32.5</v>
      </c>
      <c r="P8" s="249">
        <f t="shared" si="3"/>
        <v>0</v>
      </c>
      <c r="Q8" s="250" t="s">
        <v>80</v>
      </c>
      <c r="R8" s="251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</row>
    <row r="9" spans="1:30" ht="30" customHeight="1">
      <c r="A9" s="239"/>
      <c r="B9" s="240">
        <v>6024779</v>
      </c>
      <c r="C9" s="241"/>
      <c r="D9" s="242">
        <v>95.3</v>
      </c>
      <c r="E9" s="242">
        <v>828.7</v>
      </c>
      <c r="F9" s="242">
        <v>533.4</v>
      </c>
      <c r="G9" s="244">
        <f t="shared" si="0"/>
        <v>4.2125323673999994E-2</v>
      </c>
      <c r="H9" s="245"/>
      <c r="I9" s="246"/>
      <c r="J9" s="247">
        <v>1.197E-2</v>
      </c>
      <c r="K9" s="248">
        <f t="shared" si="1"/>
        <v>0</v>
      </c>
      <c r="L9" s="248"/>
      <c r="M9" s="252"/>
      <c r="N9" s="248">
        <f t="shared" si="4"/>
        <v>0</v>
      </c>
      <c r="O9" s="248">
        <v>32.5</v>
      </c>
      <c r="P9" s="249">
        <f t="shared" si="3"/>
        <v>0</v>
      </c>
      <c r="Q9" s="250" t="s">
        <v>80</v>
      </c>
      <c r="R9" s="251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</row>
    <row r="10" spans="1:30" ht="30" customHeight="1">
      <c r="A10" s="239"/>
      <c r="B10" s="240">
        <v>6329202</v>
      </c>
      <c r="C10" s="241"/>
      <c r="D10" s="242">
        <v>95.3</v>
      </c>
      <c r="E10" s="242">
        <v>339.8</v>
      </c>
      <c r="F10" s="242">
        <v>533.4</v>
      </c>
      <c r="G10" s="244">
        <f t="shared" si="0"/>
        <v>1.7273060195999997E-2</v>
      </c>
      <c r="H10" s="245"/>
      <c r="I10" s="246"/>
      <c r="J10" s="247">
        <v>5.8399999999999997E-3</v>
      </c>
      <c r="K10" s="248">
        <f t="shared" si="1"/>
        <v>0</v>
      </c>
      <c r="L10" s="248"/>
      <c r="M10" s="252"/>
      <c r="N10" s="248">
        <f t="shared" si="4"/>
        <v>0</v>
      </c>
      <c r="O10" s="248">
        <v>32.5</v>
      </c>
      <c r="P10" s="249">
        <f t="shared" si="3"/>
        <v>0</v>
      </c>
      <c r="Q10" s="250" t="s">
        <v>80</v>
      </c>
      <c r="R10" s="251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</row>
    <row r="11" spans="1:30" ht="30" customHeight="1">
      <c r="A11" s="239"/>
      <c r="B11" s="240">
        <v>6329205</v>
      </c>
      <c r="C11" s="241"/>
      <c r="D11" s="242">
        <v>95.3</v>
      </c>
      <c r="E11" s="243">
        <v>416</v>
      </c>
      <c r="F11" s="242">
        <v>533.4</v>
      </c>
      <c r="G11" s="244">
        <f t="shared" si="0"/>
        <v>2.1146536319999996E-2</v>
      </c>
      <c r="H11" s="245"/>
      <c r="I11" s="246"/>
      <c r="J11" s="247">
        <v>6.8700000000000002E-3</v>
      </c>
      <c r="K11" s="248">
        <f t="shared" si="1"/>
        <v>0</v>
      </c>
      <c r="L11" s="248">
        <f>M11-N11</f>
        <v>27.0533</v>
      </c>
      <c r="M11" s="248">
        <v>27.89</v>
      </c>
      <c r="N11" s="248">
        <f t="shared" ref="N11:N40" si="5">M11*3%</f>
        <v>0.8367</v>
      </c>
      <c r="O11" s="248">
        <v>32.5</v>
      </c>
      <c r="P11" s="249">
        <f t="shared" si="3"/>
        <v>0</v>
      </c>
      <c r="Q11" s="250" t="s">
        <v>80</v>
      </c>
      <c r="R11" s="251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</row>
    <row r="12" spans="1:30" ht="30" customHeight="1">
      <c r="A12" s="239"/>
      <c r="B12" s="253">
        <v>6329206</v>
      </c>
      <c r="C12" s="241"/>
      <c r="D12" s="242">
        <v>95.3</v>
      </c>
      <c r="E12" s="242">
        <v>492.2</v>
      </c>
      <c r="F12" s="242">
        <v>533.4</v>
      </c>
      <c r="G12" s="244">
        <f t="shared" si="0"/>
        <v>2.5020012443999998E-2</v>
      </c>
      <c r="H12" s="245"/>
      <c r="I12" s="246"/>
      <c r="J12" s="247">
        <v>7.7200000000000003E-3</v>
      </c>
      <c r="K12" s="248">
        <f t="shared" si="1"/>
        <v>0</v>
      </c>
      <c r="L12" s="248">
        <f t="shared" ref="L12:L40" si="6">M12-N12</f>
        <v>28.857500000000002</v>
      </c>
      <c r="M12" s="248">
        <v>29.75</v>
      </c>
      <c r="N12" s="248">
        <f t="shared" si="5"/>
        <v>0.89249999999999996</v>
      </c>
      <c r="O12" s="248">
        <v>32.5</v>
      </c>
      <c r="P12" s="249">
        <f t="shared" si="3"/>
        <v>0</v>
      </c>
      <c r="Q12" s="250" t="s">
        <v>80</v>
      </c>
      <c r="R12" s="251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</row>
    <row r="13" spans="1:30" ht="30" customHeight="1">
      <c r="A13" s="239"/>
      <c r="B13" s="240">
        <v>6329207</v>
      </c>
      <c r="C13" s="241"/>
      <c r="D13" s="242">
        <v>95.3</v>
      </c>
      <c r="E13" s="242">
        <v>568.4</v>
      </c>
      <c r="F13" s="242">
        <v>533.4</v>
      </c>
      <c r="G13" s="244">
        <f t="shared" si="0"/>
        <v>2.8893488567999996E-2</v>
      </c>
      <c r="H13" s="245"/>
      <c r="I13" s="246"/>
      <c r="J13" s="247">
        <v>8.8599999999999998E-3</v>
      </c>
      <c r="K13" s="248">
        <f t="shared" si="1"/>
        <v>0</v>
      </c>
      <c r="L13" s="248">
        <f t="shared" si="6"/>
        <v>30.6617</v>
      </c>
      <c r="M13" s="248">
        <v>31.61</v>
      </c>
      <c r="N13" s="248">
        <f t="shared" si="5"/>
        <v>0.94829999999999992</v>
      </c>
      <c r="O13" s="248">
        <v>32.5</v>
      </c>
      <c r="P13" s="249">
        <f t="shared" si="3"/>
        <v>0</v>
      </c>
      <c r="Q13" s="250" t="s">
        <v>80</v>
      </c>
      <c r="R13" s="251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</row>
    <row r="14" spans="1:30" ht="30" customHeight="1">
      <c r="A14" s="239"/>
      <c r="B14" s="240">
        <v>6722818</v>
      </c>
      <c r="C14" s="241"/>
      <c r="D14" s="242">
        <v>95.3</v>
      </c>
      <c r="E14" s="242">
        <v>873.2</v>
      </c>
      <c r="F14" s="242">
        <v>533.4</v>
      </c>
      <c r="G14" s="244">
        <f t="shared" si="0"/>
        <v>4.4387393064000004E-2</v>
      </c>
      <c r="H14" s="245">
        <v>14</v>
      </c>
      <c r="I14" s="246"/>
      <c r="J14" s="247">
        <v>1.3769999999999999E-2</v>
      </c>
      <c r="K14" s="248">
        <f t="shared" si="1"/>
        <v>0.19277999999999998</v>
      </c>
      <c r="L14" s="248">
        <f t="shared" si="6"/>
        <v>61.313700000000004</v>
      </c>
      <c r="M14" s="248">
        <v>63.21</v>
      </c>
      <c r="N14" s="248">
        <f t="shared" si="5"/>
        <v>1.8962999999999999</v>
      </c>
      <c r="O14" s="248">
        <v>32.5</v>
      </c>
      <c r="P14" s="249">
        <f t="shared" si="3"/>
        <v>26502.846825000001</v>
      </c>
      <c r="Q14" s="250" t="s">
        <v>80</v>
      </c>
      <c r="R14" s="251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</row>
    <row r="15" spans="1:30" ht="30" customHeight="1">
      <c r="A15" s="239"/>
      <c r="B15" s="240">
        <v>6722817</v>
      </c>
      <c r="C15" s="241"/>
      <c r="D15" s="242">
        <v>95.3</v>
      </c>
      <c r="E15" s="242">
        <v>720.8</v>
      </c>
      <c r="F15" s="242">
        <v>533.4</v>
      </c>
      <c r="G15" s="244">
        <f t="shared" si="0"/>
        <v>3.6640440815999993E-2</v>
      </c>
      <c r="H15" s="245">
        <v>10</v>
      </c>
      <c r="I15" s="246"/>
      <c r="J15" s="247">
        <v>1.154E-2</v>
      </c>
      <c r="K15" s="248">
        <f t="shared" si="1"/>
        <v>0.1154</v>
      </c>
      <c r="L15" s="248">
        <f t="shared" si="6"/>
        <v>52.302399999999999</v>
      </c>
      <c r="M15" s="248">
        <v>53.92</v>
      </c>
      <c r="N15" s="248">
        <f t="shared" si="5"/>
        <v>1.6175999999999999</v>
      </c>
      <c r="O15" s="248">
        <v>32.5</v>
      </c>
      <c r="P15" s="249">
        <f t="shared" si="3"/>
        <v>16148.365999999998</v>
      </c>
      <c r="Q15" s="250" t="s">
        <v>80</v>
      </c>
      <c r="R15" s="251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</row>
    <row r="16" spans="1:30" ht="30" customHeight="1">
      <c r="A16" s="239"/>
      <c r="B16" s="240">
        <v>6722815</v>
      </c>
      <c r="C16" s="241"/>
      <c r="D16" s="242">
        <v>95.3</v>
      </c>
      <c r="E16" s="242">
        <v>676.3</v>
      </c>
      <c r="F16" s="242">
        <v>533.4</v>
      </c>
      <c r="G16" s="244">
        <f t="shared" si="0"/>
        <v>3.437837142599999E-2</v>
      </c>
      <c r="H16" s="245">
        <v>168</v>
      </c>
      <c r="I16" s="246"/>
      <c r="J16" s="247">
        <v>1.1270000000000001E-2</v>
      </c>
      <c r="K16" s="248">
        <f t="shared" si="1"/>
        <v>1.8933600000000002</v>
      </c>
      <c r="L16" s="248">
        <f t="shared" si="6"/>
        <v>49.5961</v>
      </c>
      <c r="M16" s="248">
        <v>51.13</v>
      </c>
      <c r="N16" s="248">
        <f t="shared" si="5"/>
        <v>1.5339</v>
      </c>
      <c r="O16" s="248">
        <v>32.5</v>
      </c>
      <c r="P16" s="249">
        <f t="shared" si="3"/>
        <v>257254.97070000001</v>
      </c>
      <c r="Q16" s="250" t="s">
        <v>80</v>
      </c>
      <c r="R16" s="251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</row>
    <row r="17" spans="1:30" ht="30" customHeight="1">
      <c r="A17" s="239"/>
      <c r="B17" s="240">
        <v>6722816</v>
      </c>
      <c r="C17" s="241"/>
      <c r="D17" s="242">
        <v>95.3</v>
      </c>
      <c r="E17" s="242">
        <v>828.7</v>
      </c>
      <c r="F17" s="242">
        <v>533.4</v>
      </c>
      <c r="G17" s="244">
        <f t="shared" si="0"/>
        <v>4.2125323673999994E-2</v>
      </c>
      <c r="H17" s="245">
        <v>112</v>
      </c>
      <c r="I17" s="246"/>
      <c r="J17" s="247">
        <v>1.35E-2</v>
      </c>
      <c r="K17" s="248">
        <f>J17*H17</f>
        <v>1.512</v>
      </c>
      <c r="L17" s="248">
        <f t="shared" si="6"/>
        <v>58.617100000000001</v>
      </c>
      <c r="M17" s="248">
        <v>60.43</v>
      </c>
      <c r="N17" s="248">
        <f t="shared" si="5"/>
        <v>1.8129</v>
      </c>
      <c r="O17" s="248">
        <v>32.5</v>
      </c>
      <c r="P17" s="249">
        <f t="shared" si="3"/>
        <v>202697.93179999999</v>
      </c>
      <c r="Q17" s="250" t="s">
        <v>80</v>
      </c>
      <c r="R17" s="251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</row>
    <row r="18" spans="1:30" ht="30" customHeight="1">
      <c r="A18" s="421"/>
      <c r="B18" s="422">
        <v>9330477</v>
      </c>
      <c r="C18" s="423"/>
      <c r="D18" s="424">
        <v>95.25</v>
      </c>
      <c r="E18" s="424">
        <v>558.79999999999995</v>
      </c>
      <c r="F18" s="424">
        <v>525.46</v>
      </c>
      <c r="G18" s="425">
        <f t="shared" si="0"/>
        <v>2.7967976322000002E-2</v>
      </c>
      <c r="H18" s="426">
        <v>16</v>
      </c>
      <c r="I18" s="427"/>
      <c r="J18" s="428"/>
      <c r="K18" s="429">
        <f>G18*H18</f>
        <v>0.44748762115200003</v>
      </c>
      <c r="L18" s="429"/>
      <c r="M18" s="429"/>
      <c r="N18" s="429"/>
      <c r="O18" s="429"/>
      <c r="P18" s="430"/>
      <c r="Q18" s="431"/>
      <c r="R18" s="251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</row>
    <row r="19" spans="1:30" ht="30" customHeight="1">
      <c r="A19" s="421"/>
      <c r="B19" s="422">
        <v>9330451</v>
      </c>
      <c r="C19" s="423"/>
      <c r="D19" s="424">
        <v>95.25</v>
      </c>
      <c r="E19" s="424">
        <v>482.6</v>
      </c>
      <c r="F19" s="424">
        <v>525.46</v>
      </c>
      <c r="G19" s="425">
        <f t="shared" si="0"/>
        <v>2.4154161369000001E-2</v>
      </c>
      <c r="H19" s="426">
        <v>32</v>
      </c>
      <c r="I19" s="427"/>
      <c r="J19" s="428"/>
      <c r="K19" s="429">
        <f t="shared" ref="K19:K22" si="7">G19*H19</f>
        <v>0.77293316380800003</v>
      </c>
      <c r="L19" s="429"/>
      <c r="M19" s="429"/>
      <c r="N19" s="429"/>
      <c r="O19" s="429"/>
      <c r="P19" s="430"/>
      <c r="Q19" s="431"/>
      <c r="R19" s="251"/>
      <c r="S19" s="223"/>
      <c r="T19" s="223"/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</row>
    <row r="20" spans="1:30" ht="30" customHeight="1">
      <c r="A20" s="421"/>
      <c r="B20" s="422">
        <v>9330275</v>
      </c>
      <c r="C20" s="423"/>
      <c r="D20" s="424">
        <v>95.25</v>
      </c>
      <c r="E20" s="424">
        <v>406.4</v>
      </c>
      <c r="F20" s="424">
        <v>525.46</v>
      </c>
      <c r="G20" s="425">
        <f t="shared" si="0"/>
        <v>2.0340346416000001E-2</v>
      </c>
      <c r="H20" s="426">
        <v>24</v>
      </c>
      <c r="I20" s="427"/>
      <c r="J20" s="428"/>
      <c r="K20" s="429">
        <f t="shared" si="7"/>
        <v>0.48816831398400001</v>
      </c>
      <c r="L20" s="429"/>
      <c r="M20" s="429"/>
      <c r="N20" s="429"/>
      <c r="O20" s="429"/>
      <c r="P20" s="430"/>
      <c r="Q20" s="431"/>
      <c r="R20" s="251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</row>
    <row r="21" spans="1:30" ht="30" customHeight="1">
      <c r="A21" s="421"/>
      <c r="B21" s="422">
        <v>9330230</v>
      </c>
      <c r="C21" s="423"/>
      <c r="D21" s="424">
        <v>95.25</v>
      </c>
      <c r="E21" s="424">
        <v>330.2</v>
      </c>
      <c r="F21" s="424">
        <v>525.46</v>
      </c>
      <c r="G21" s="425">
        <f t="shared" si="0"/>
        <v>1.6526531463E-2</v>
      </c>
      <c r="H21" s="426">
        <v>48</v>
      </c>
      <c r="I21" s="427"/>
      <c r="J21" s="428"/>
      <c r="K21" s="429">
        <f t="shared" si="7"/>
        <v>0.79327351022400006</v>
      </c>
      <c r="L21" s="429"/>
      <c r="M21" s="429"/>
      <c r="N21" s="429"/>
      <c r="O21" s="429"/>
      <c r="P21" s="430"/>
      <c r="Q21" s="431"/>
      <c r="R21" s="251"/>
      <c r="S21" s="223"/>
      <c r="T21" s="223"/>
      <c r="U21" s="223"/>
      <c r="V21" s="223"/>
      <c r="W21" s="223"/>
      <c r="X21" s="223"/>
      <c r="Y21" s="223"/>
      <c r="Z21" s="223"/>
      <c r="AA21" s="223"/>
      <c r="AB21" s="223"/>
      <c r="AC21" s="223"/>
      <c r="AD21" s="223"/>
    </row>
    <row r="22" spans="1:30" ht="30" customHeight="1">
      <c r="A22" s="239" t="s">
        <v>81</v>
      </c>
      <c r="B22" s="240">
        <v>5945991</v>
      </c>
      <c r="C22" s="241"/>
      <c r="D22" s="242">
        <v>95.3</v>
      </c>
      <c r="E22" s="242">
        <v>873.2</v>
      </c>
      <c r="F22" s="242">
        <v>539.75</v>
      </c>
      <c r="G22" s="244">
        <f t="shared" si="0"/>
        <v>4.4915814410000005E-2</v>
      </c>
      <c r="H22" s="245"/>
      <c r="I22" s="246"/>
      <c r="J22" s="247"/>
      <c r="K22" s="248">
        <f t="shared" si="7"/>
        <v>0</v>
      </c>
      <c r="L22" s="248"/>
      <c r="M22" s="252"/>
      <c r="N22" s="248">
        <f t="shared" si="4"/>
        <v>0</v>
      </c>
      <c r="O22" s="248">
        <v>32.5</v>
      </c>
      <c r="P22" s="249">
        <f t="shared" si="3"/>
        <v>0</v>
      </c>
      <c r="Q22" s="250" t="s">
        <v>80</v>
      </c>
      <c r="R22" s="251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</row>
    <row r="23" spans="1:30" ht="30" customHeight="1">
      <c r="A23" s="239"/>
      <c r="B23" s="240">
        <v>5945990</v>
      </c>
      <c r="C23" s="241"/>
      <c r="D23" s="242">
        <v>95.3</v>
      </c>
      <c r="E23" s="242">
        <v>720.7</v>
      </c>
      <c r="F23" s="242">
        <v>539.75</v>
      </c>
      <c r="G23" s="244">
        <f t="shared" si="0"/>
        <v>3.7071492722500002E-2</v>
      </c>
      <c r="H23" s="245">
        <v>14</v>
      </c>
      <c r="I23" s="246"/>
      <c r="J23" s="247">
        <v>1.0200000000000001E-2</v>
      </c>
      <c r="K23" s="248">
        <f t="shared" si="1"/>
        <v>0.14280000000000001</v>
      </c>
      <c r="L23" s="248">
        <f t="shared" si="6"/>
        <v>36.074300000000001</v>
      </c>
      <c r="M23" s="248">
        <v>37.19</v>
      </c>
      <c r="N23" s="248">
        <f t="shared" si="5"/>
        <v>1.1156999999999999</v>
      </c>
      <c r="O23" s="248">
        <v>32.5</v>
      </c>
      <c r="P23" s="249">
        <f t="shared" si="3"/>
        <v>15593.116175000001</v>
      </c>
      <c r="Q23" s="250" t="s">
        <v>80</v>
      </c>
      <c r="R23" s="251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</row>
    <row r="24" spans="1:30" ht="30" customHeight="1">
      <c r="A24" s="239"/>
      <c r="B24" s="240">
        <v>5945989</v>
      </c>
      <c r="C24" s="241"/>
      <c r="D24" s="242">
        <v>95.3</v>
      </c>
      <c r="E24" s="242">
        <v>568.29999999999995</v>
      </c>
      <c r="F24" s="242">
        <v>539.75</v>
      </c>
      <c r="G24" s="244">
        <f t="shared" si="0"/>
        <v>2.9232314852499997E-2</v>
      </c>
      <c r="H24" s="245">
        <v>14</v>
      </c>
      <c r="I24" s="246"/>
      <c r="J24" s="247">
        <v>8.6199999999999992E-3</v>
      </c>
      <c r="K24" s="248">
        <f t="shared" si="1"/>
        <v>0.12067999999999998</v>
      </c>
      <c r="L24" s="248">
        <f t="shared" si="6"/>
        <v>29.759599999999999</v>
      </c>
      <c r="M24" s="248">
        <v>30.68</v>
      </c>
      <c r="N24" s="248">
        <f t="shared" si="5"/>
        <v>0.9204</v>
      </c>
      <c r="O24" s="248">
        <v>32.5</v>
      </c>
      <c r="P24" s="249">
        <f t="shared" si="3"/>
        <v>12863.587099999999</v>
      </c>
      <c r="Q24" s="250" t="s">
        <v>80</v>
      </c>
      <c r="R24" s="251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</row>
    <row r="25" spans="1:30" ht="30" customHeight="1">
      <c r="A25" s="239"/>
      <c r="B25" s="240">
        <v>5945988</v>
      </c>
      <c r="C25" s="241"/>
      <c r="D25" s="242">
        <v>95.3</v>
      </c>
      <c r="E25" s="242">
        <v>492.2</v>
      </c>
      <c r="F25" s="242">
        <v>539.75</v>
      </c>
      <c r="G25" s="244">
        <f t="shared" si="0"/>
        <v>2.5317869734999998E-2</v>
      </c>
      <c r="H25" s="245">
        <v>14</v>
      </c>
      <c r="I25" s="246"/>
      <c r="J25" s="247">
        <v>7.8499999999999993E-3</v>
      </c>
      <c r="K25" s="248">
        <f t="shared" si="1"/>
        <v>0.1099</v>
      </c>
      <c r="L25" s="248"/>
      <c r="M25" s="252"/>
      <c r="N25" s="248">
        <f t="shared" si="4"/>
        <v>0</v>
      </c>
      <c r="O25" s="248">
        <v>32.5</v>
      </c>
      <c r="P25" s="249">
        <f t="shared" si="3"/>
        <v>0</v>
      </c>
      <c r="Q25" s="250" t="s">
        <v>80</v>
      </c>
      <c r="R25" s="251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  <c r="AC25" s="223"/>
      <c r="AD25" s="223"/>
    </row>
    <row r="26" spans="1:30" ht="30" customHeight="1">
      <c r="A26" s="239"/>
      <c r="B26" s="240">
        <v>5945987</v>
      </c>
      <c r="C26" s="241"/>
      <c r="D26" s="242">
        <v>95.3</v>
      </c>
      <c r="E26" s="242">
        <v>415.9</v>
      </c>
      <c r="F26" s="242">
        <v>539.75</v>
      </c>
      <c r="G26" s="244">
        <f t="shared" si="0"/>
        <v>2.1393136982499998E-2</v>
      </c>
      <c r="H26" s="245">
        <v>28</v>
      </c>
      <c r="I26" s="246"/>
      <c r="J26" s="247">
        <v>6.633E-3</v>
      </c>
      <c r="K26" s="248">
        <f t="shared" si="1"/>
        <v>0.185724</v>
      </c>
      <c r="L26" s="248">
        <f t="shared" si="6"/>
        <v>27.499500000000001</v>
      </c>
      <c r="M26" s="248">
        <v>28.35</v>
      </c>
      <c r="N26" s="248">
        <f t="shared" si="5"/>
        <v>0.85050000000000003</v>
      </c>
      <c r="O26" s="248">
        <v>32.5</v>
      </c>
      <c r="P26" s="249">
        <f t="shared" si="3"/>
        <v>23773.317749999998</v>
      </c>
      <c r="Q26" s="250" t="s">
        <v>80</v>
      </c>
      <c r="R26" s="251"/>
      <c r="S26" s="223"/>
      <c r="T26" s="223"/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</row>
    <row r="27" spans="1:30" ht="30" customHeight="1">
      <c r="A27" s="239"/>
      <c r="B27" s="240">
        <v>5927933</v>
      </c>
      <c r="C27" s="241"/>
      <c r="D27" s="242">
        <v>95.3</v>
      </c>
      <c r="E27" s="242">
        <v>339.7</v>
      </c>
      <c r="F27" s="242">
        <v>539.75</v>
      </c>
      <c r="G27" s="244">
        <f t="shared" si="0"/>
        <v>1.7473548047499999E-2</v>
      </c>
      <c r="H27" s="245"/>
      <c r="I27" s="246"/>
      <c r="J27" s="247">
        <v>5.6499999999999996E-3</v>
      </c>
      <c r="K27" s="248">
        <f t="shared" si="1"/>
        <v>0</v>
      </c>
      <c r="L27" s="248">
        <f t="shared" si="6"/>
        <v>24.347000000000001</v>
      </c>
      <c r="M27" s="248">
        <v>25.1</v>
      </c>
      <c r="N27" s="248">
        <f t="shared" si="5"/>
        <v>0.753</v>
      </c>
      <c r="O27" s="248">
        <v>32.5</v>
      </c>
      <c r="P27" s="249">
        <f t="shared" si="3"/>
        <v>0</v>
      </c>
      <c r="Q27" s="250" t="s">
        <v>80</v>
      </c>
      <c r="R27" s="251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</row>
    <row r="28" spans="1:30" ht="30" customHeight="1">
      <c r="A28" s="239" t="s">
        <v>82</v>
      </c>
      <c r="B28" s="240">
        <v>6730068</v>
      </c>
      <c r="C28" s="241"/>
      <c r="D28" s="242">
        <v>63.5</v>
      </c>
      <c r="E28" s="242">
        <v>185.74</v>
      </c>
      <c r="F28" s="242">
        <v>438.15</v>
      </c>
      <c r="G28" s="244">
        <f t="shared" si="0"/>
        <v>5.1677557934999997E-3</v>
      </c>
      <c r="H28" s="245"/>
      <c r="I28" s="246"/>
      <c r="J28" s="247">
        <v>1.09132E-3</v>
      </c>
      <c r="K28" s="248">
        <f t="shared" si="1"/>
        <v>0</v>
      </c>
      <c r="L28" s="248"/>
      <c r="M28" s="252"/>
      <c r="N28" s="248">
        <f t="shared" si="4"/>
        <v>0</v>
      </c>
      <c r="O28" s="248">
        <v>32.5</v>
      </c>
      <c r="P28" s="249">
        <f t="shared" si="3"/>
        <v>0</v>
      </c>
      <c r="Q28" s="250" t="s">
        <v>80</v>
      </c>
      <c r="R28" s="251"/>
      <c r="S28" s="223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</row>
    <row r="29" spans="1:30" ht="30" customHeight="1">
      <c r="A29" s="239"/>
      <c r="B29" s="240">
        <v>6730070</v>
      </c>
      <c r="C29" s="241"/>
      <c r="D29" s="242">
        <v>63.5</v>
      </c>
      <c r="E29" s="242">
        <v>261.94</v>
      </c>
      <c r="F29" s="242">
        <v>438.15</v>
      </c>
      <c r="G29" s="244">
        <f t="shared" si="0"/>
        <v>7.2878321984999987E-3</v>
      </c>
      <c r="H29" s="245"/>
      <c r="I29" s="246"/>
      <c r="J29" s="247">
        <v>1.4328399999999999E-3</v>
      </c>
      <c r="K29" s="248">
        <f t="shared" si="1"/>
        <v>0</v>
      </c>
      <c r="L29" s="248">
        <f t="shared" si="6"/>
        <v>10.582700000000001</v>
      </c>
      <c r="M29" s="248">
        <v>10.91</v>
      </c>
      <c r="N29" s="248">
        <f t="shared" si="5"/>
        <v>0.32729999999999998</v>
      </c>
      <c r="O29" s="248">
        <v>32.5</v>
      </c>
      <c r="P29" s="249">
        <f t="shared" si="3"/>
        <v>0</v>
      </c>
      <c r="Q29" s="250" t="s">
        <v>80</v>
      </c>
      <c r="R29" s="251"/>
      <c r="S29" s="223"/>
      <c r="T29" s="223"/>
      <c r="U29" s="223"/>
      <c r="V29" s="223"/>
      <c r="W29" s="223"/>
      <c r="X29" s="223"/>
      <c r="Y29" s="223"/>
      <c r="Z29" s="223"/>
      <c r="AA29" s="223"/>
      <c r="AB29" s="223"/>
      <c r="AC29" s="223"/>
      <c r="AD29" s="223"/>
    </row>
    <row r="30" spans="1:30" ht="30" customHeight="1">
      <c r="A30" s="239"/>
      <c r="B30" s="240">
        <v>6730072</v>
      </c>
      <c r="C30" s="241"/>
      <c r="D30" s="242">
        <v>63.5</v>
      </c>
      <c r="E30" s="242">
        <v>338.14</v>
      </c>
      <c r="F30" s="242">
        <v>438.15</v>
      </c>
      <c r="G30" s="244">
        <f t="shared" si="0"/>
        <v>9.4079086034999995E-3</v>
      </c>
      <c r="H30" s="245">
        <v>40</v>
      </c>
      <c r="I30" s="246"/>
      <c r="J30" s="247">
        <v>1.7753300000000001E-3</v>
      </c>
      <c r="K30" s="248">
        <f t="shared" si="1"/>
        <v>7.1013199999999999E-2</v>
      </c>
      <c r="L30" s="248">
        <f t="shared" si="6"/>
        <v>12.241399999999999</v>
      </c>
      <c r="M30" s="248">
        <v>12.62</v>
      </c>
      <c r="N30" s="248">
        <f t="shared" si="5"/>
        <v>0.37859999999999994</v>
      </c>
      <c r="O30" s="248">
        <v>32.5</v>
      </c>
      <c r="P30" s="249">
        <f t="shared" si="3"/>
        <v>15118.128999999997</v>
      </c>
      <c r="Q30" s="250" t="s">
        <v>80</v>
      </c>
      <c r="R30" s="251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</row>
    <row r="31" spans="1:30" ht="30" customHeight="1">
      <c r="A31" s="239"/>
      <c r="B31" s="240">
        <v>6730074</v>
      </c>
      <c r="C31" s="241"/>
      <c r="D31" s="242">
        <v>63.5</v>
      </c>
      <c r="E31" s="242">
        <v>414.34</v>
      </c>
      <c r="F31" s="242">
        <v>438.15</v>
      </c>
      <c r="G31" s="244">
        <f t="shared" si="0"/>
        <v>1.1527985008499999E-2</v>
      </c>
      <c r="H31" s="245"/>
      <c r="I31" s="246"/>
      <c r="J31" s="247">
        <v>2.117E-3</v>
      </c>
      <c r="K31" s="248">
        <f t="shared" si="1"/>
        <v>0</v>
      </c>
      <c r="L31" s="248">
        <f t="shared" si="6"/>
        <v>13.8904</v>
      </c>
      <c r="M31" s="248">
        <v>14.32</v>
      </c>
      <c r="N31" s="248">
        <f t="shared" si="5"/>
        <v>0.42959999999999998</v>
      </c>
      <c r="O31" s="248">
        <v>32.5</v>
      </c>
      <c r="P31" s="249">
        <f t="shared" si="3"/>
        <v>0</v>
      </c>
      <c r="Q31" s="250" t="s">
        <v>80</v>
      </c>
      <c r="R31" s="251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</row>
    <row r="32" spans="1:30" ht="30" customHeight="1">
      <c r="A32" s="239"/>
      <c r="B32" s="240">
        <v>6730076</v>
      </c>
      <c r="C32" s="241"/>
      <c r="D32" s="242">
        <v>63.5</v>
      </c>
      <c r="E32" s="242">
        <v>490.54</v>
      </c>
      <c r="F32" s="242">
        <v>438.15</v>
      </c>
      <c r="G32" s="244">
        <f t="shared" si="0"/>
        <v>1.3648061413499999E-2</v>
      </c>
      <c r="H32" s="245">
        <v>20</v>
      </c>
      <c r="I32" s="246"/>
      <c r="J32" s="247">
        <v>2.45933E-3</v>
      </c>
      <c r="K32" s="248">
        <f t="shared" si="1"/>
        <v>4.9186599999999997E-2</v>
      </c>
      <c r="L32" s="248">
        <f t="shared" si="6"/>
        <v>15.1805</v>
      </c>
      <c r="M32" s="248">
        <v>15.65</v>
      </c>
      <c r="N32" s="248">
        <f t="shared" si="5"/>
        <v>0.46949999999999997</v>
      </c>
      <c r="O32" s="248">
        <v>32.5</v>
      </c>
      <c r="P32" s="249">
        <f t="shared" si="3"/>
        <v>9373.9587499999998</v>
      </c>
      <c r="Q32" s="250" t="s">
        <v>80</v>
      </c>
      <c r="R32" s="251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</row>
    <row r="33" spans="1:30" ht="30" customHeight="1">
      <c r="A33" s="239"/>
      <c r="B33" s="240">
        <v>6730078</v>
      </c>
      <c r="C33" s="241"/>
      <c r="D33" s="242">
        <v>63.5</v>
      </c>
      <c r="E33" s="242">
        <v>566.74</v>
      </c>
      <c r="F33" s="242">
        <v>438.15</v>
      </c>
      <c r="G33" s="244">
        <f t="shared" si="0"/>
        <v>1.5768137818499998E-2</v>
      </c>
      <c r="H33" s="245">
        <v>40</v>
      </c>
      <c r="I33" s="246"/>
      <c r="J33" s="247">
        <v>2.4382100000000001E-3</v>
      </c>
      <c r="K33" s="248">
        <f t="shared" si="1"/>
        <v>9.7528400000000001E-2</v>
      </c>
      <c r="L33" s="248">
        <f t="shared" si="6"/>
        <v>15.646099999999999</v>
      </c>
      <c r="M33" s="248">
        <v>16.13</v>
      </c>
      <c r="N33" s="248">
        <f t="shared" si="5"/>
        <v>0.48389999999999994</v>
      </c>
      <c r="O33" s="248">
        <v>32.5</v>
      </c>
      <c r="P33" s="249">
        <f t="shared" si="3"/>
        <v>19322.933499999996</v>
      </c>
      <c r="Q33" s="250" t="s">
        <v>80</v>
      </c>
      <c r="R33" s="251"/>
      <c r="S33" s="223"/>
      <c r="T33" s="223"/>
      <c r="U33" s="223"/>
      <c r="V33" s="223"/>
      <c r="W33" s="223"/>
      <c r="X33" s="223"/>
      <c r="Y33" s="223"/>
      <c r="Z33" s="223"/>
      <c r="AA33" s="223"/>
      <c r="AB33" s="223"/>
      <c r="AC33" s="223"/>
      <c r="AD33" s="223"/>
    </row>
    <row r="34" spans="1:30" ht="30" customHeight="1">
      <c r="A34" s="239"/>
      <c r="B34" s="240">
        <v>6730080</v>
      </c>
      <c r="C34" s="241"/>
      <c r="D34" s="242">
        <v>63.5</v>
      </c>
      <c r="E34" s="242">
        <v>642.94000000000005</v>
      </c>
      <c r="F34" s="242">
        <v>438.15</v>
      </c>
      <c r="G34" s="244">
        <f t="shared" si="0"/>
        <v>1.7888214223499999E-2</v>
      </c>
      <c r="H34" s="245">
        <v>60</v>
      </c>
      <c r="I34" s="246"/>
      <c r="J34" s="247">
        <v>2.7648299999999998E-3</v>
      </c>
      <c r="K34" s="248">
        <f t="shared" si="1"/>
        <v>0.16588979999999998</v>
      </c>
      <c r="L34" s="248">
        <f t="shared" si="6"/>
        <v>16.926500000000001</v>
      </c>
      <c r="M34" s="248">
        <v>17.45</v>
      </c>
      <c r="N34" s="248">
        <f t="shared" si="5"/>
        <v>0.52349999999999997</v>
      </c>
      <c r="O34" s="248">
        <v>32.5</v>
      </c>
      <c r="P34" s="249">
        <f t="shared" si="3"/>
        <v>31356.341250000001</v>
      </c>
      <c r="Q34" s="250" t="s">
        <v>80</v>
      </c>
      <c r="R34" s="251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3"/>
    </row>
    <row r="35" spans="1:30" ht="30" customHeight="1">
      <c r="A35" s="239" t="s">
        <v>83</v>
      </c>
      <c r="B35" s="240">
        <v>6729573</v>
      </c>
      <c r="C35" s="241"/>
      <c r="D35" s="242">
        <v>36.51</v>
      </c>
      <c r="E35" s="242">
        <v>185.34</v>
      </c>
      <c r="F35" s="242">
        <v>499.66</v>
      </c>
      <c r="G35" s="244">
        <f t="shared" si="0"/>
        <v>3.3810810004440001E-3</v>
      </c>
      <c r="H35" s="245">
        <v>10</v>
      </c>
      <c r="I35" s="254"/>
      <c r="J35" s="255">
        <v>9.3999999999999997E-4</v>
      </c>
      <c r="K35" s="248">
        <f t="shared" si="1"/>
        <v>9.4000000000000004E-3</v>
      </c>
      <c r="L35" s="248">
        <f t="shared" si="6"/>
        <v>8.2740999999999989</v>
      </c>
      <c r="M35" s="248">
        <v>8.5299999999999994</v>
      </c>
      <c r="N35" s="248">
        <f t="shared" si="5"/>
        <v>0.25589999999999996</v>
      </c>
      <c r="O35" s="248">
        <v>32.5</v>
      </c>
      <c r="P35" s="249">
        <f t="shared" si="3"/>
        <v>2554.6283749999993</v>
      </c>
      <c r="Q35" s="250" t="s">
        <v>80</v>
      </c>
      <c r="R35" s="251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</row>
    <row r="36" spans="1:30" ht="30" customHeight="1">
      <c r="A36" s="239"/>
      <c r="B36" s="240">
        <v>6729581</v>
      </c>
      <c r="C36" s="241"/>
      <c r="D36" s="242">
        <v>36.51</v>
      </c>
      <c r="E36" s="242">
        <v>261.54000000000002</v>
      </c>
      <c r="F36" s="242">
        <v>499.66</v>
      </c>
      <c r="G36" s="244">
        <f t="shared" si="0"/>
        <v>4.771166099364E-3</v>
      </c>
      <c r="H36" s="245">
        <v>20</v>
      </c>
      <c r="I36" s="246"/>
      <c r="J36" s="247">
        <v>4.5399999999999998E-3</v>
      </c>
      <c r="K36" s="248">
        <f t="shared" si="1"/>
        <v>9.0799999999999992E-2</v>
      </c>
      <c r="L36" s="248">
        <f t="shared" si="6"/>
        <v>10.980399999999999</v>
      </c>
      <c r="M36" s="248">
        <v>11.32</v>
      </c>
      <c r="N36" s="248">
        <f t="shared" si="5"/>
        <v>0.33960000000000001</v>
      </c>
      <c r="O36" s="248">
        <v>32.5</v>
      </c>
      <c r="P36" s="249">
        <f t="shared" si="3"/>
        <v>6780.3969999999999</v>
      </c>
      <c r="Q36" s="250" t="s">
        <v>80</v>
      </c>
      <c r="R36" s="251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</row>
    <row r="37" spans="1:30" ht="30" customHeight="1">
      <c r="A37" s="239"/>
      <c r="B37" s="240">
        <v>6729589</v>
      </c>
      <c r="C37" s="241"/>
      <c r="D37" s="242">
        <v>36.51</v>
      </c>
      <c r="E37" s="256">
        <v>337.74</v>
      </c>
      <c r="F37" s="242">
        <v>499.66</v>
      </c>
      <c r="G37" s="244">
        <f t="shared" si="0"/>
        <v>6.1612511982839999E-3</v>
      </c>
      <c r="H37" s="245">
        <v>80</v>
      </c>
      <c r="I37" s="246"/>
      <c r="J37" s="247">
        <v>2.4499999999999999E-3</v>
      </c>
      <c r="K37" s="248">
        <f t="shared" si="1"/>
        <v>0.19600000000000001</v>
      </c>
      <c r="L37" s="248">
        <f t="shared" si="6"/>
        <v>13.7158</v>
      </c>
      <c r="M37" s="248">
        <v>14.14</v>
      </c>
      <c r="N37" s="248">
        <f t="shared" si="5"/>
        <v>0.42420000000000002</v>
      </c>
      <c r="O37" s="248">
        <v>32.5</v>
      </c>
      <c r="P37" s="249">
        <f t="shared" si="3"/>
        <v>33878.025999999991</v>
      </c>
      <c r="Q37" s="250" t="s">
        <v>80</v>
      </c>
      <c r="R37" s="251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</row>
    <row r="38" spans="1:30" ht="30" customHeight="1">
      <c r="A38" s="239"/>
      <c r="B38" s="240">
        <v>6729597</v>
      </c>
      <c r="C38" s="241"/>
      <c r="D38" s="242">
        <v>36.51</v>
      </c>
      <c r="E38" s="242">
        <v>413.94</v>
      </c>
      <c r="F38" s="242">
        <v>499.66</v>
      </c>
      <c r="G38" s="244">
        <f t="shared" si="0"/>
        <v>7.5513362972039998E-3</v>
      </c>
      <c r="H38" s="245"/>
      <c r="I38" s="246"/>
      <c r="J38" s="247">
        <v>2.5819999999999999E-2</v>
      </c>
      <c r="K38" s="248">
        <f t="shared" si="1"/>
        <v>0</v>
      </c>
      <c r="L38" s="248">
        <f t="shared" si="6"/>
        <v>16.4512</v>
      </c>
      <c r="M38" s="248">
        <v>16.96</v>
      </c>
      <c r="N38" s="248">
        <f t="shared" si="5"/>
        <v>0.50880000000000003</v>
      </c>
      <c r="O38" s="248">
        <v>32.5</v>
      </c>
      <c r="P38" s="249">
        <f t="shared" si="3"/>
        <v>0</v>
      </c>
      <c r="Q38" s="250" t="s">
        <v>80</v>
      </c>
      <c r="R38" s="251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</row>
    <row r="39" spans="1:30" ht="30" customHeight="1">
      <c r="A39" s="239"/>
      <c r="B39" s="240">
        <v>6729605</v>
      </c>
      <c r="C39" s="241"/>
      <c r="D39" s="242">
        <v>36.51</v>
      </c>
      <c r="E39" s="242">
        <v>490.14</v>
      </c>
      <c r="F39" s="242">
        <v>499.66</v>
      </c>
      <c r="G39" s="244">
        <f t="shared" si="0"/>
        <v>8.9414213961239997E-3</v>
      </c>
      <c r="H39" s="245">
        <v>10</v>
      </c>
      <c r="I39" s="246"/>
      <c r="J39" s="247">
        <v>3.5500000000000002E-3</v>
      </c>
      <c r="K39" s="248">
        <f t="shared" si="1"/>
        <v>3.5500000000000004E-2</v>
      </c>
      <c r="L39" s="248">
        <f t="shared" si="6"/>
        <v>18.730699999999999</v>
      </c>
      <c r="M39" s="248">
        <v>19.309999999999999</v>
      </c>
      <c r="N39" s="248">
        <f t="shared" si="5"/>
        <v>0.57929999999999993</v>
      </c>
      <c r="O39" s="248">
        <v>32.5</v>
      </c>
      <c r="P39" s="249">
        <f t="shared" si="3"/>
        <v>5783.1036249999997</v>
      </c>
      <c r="Q39" s="250" t="s">
        <v>80</v>
      </c>
      <c r="R39" s="251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</row>
    <row r="40" spans="1:30" ht="30" customHeight="1">
      <c r="A40" s="239"/>
      <c r="B40" s="240">
        <v>6729613</v>
      </c>
      <c r="C40" s="241"/>
      <c r="D40" s="242">
        <v>36.51</v>
      </c>
      <c r="E40" s="242">
        <v>566.34</v>
      </c>
      <c r="F40" s="242">
        <v>499.66</v>
      </c>
      <c r="G40" s="244">
        <f t="shared" si="0"/>
        <v>1.0331506495044001E-2</v>
      </c>
      <c r="H40" s="245">
        <v>50</v>
      </c>
      <c r="I40" s="246"/>
      <c r="J40" s="247">
        <v>4.0899999999999999E-3</v>
      </c>
      <c r="K40" s="248">
        <f t="shared" si="1"/>
        <v>0.20449999999999999</v>
      </c>
      <c r="L40" s="248">
        <f t="shared" si="6"/>
        <v>21.320599999999999</v>
      </c>
      <c r="M40" s="248">
        <v>21.98</v>
      </c>
      <c r="N40" s="248">
        <f t="shared" si="5"/>
        <v>0.65939999999999999</v>
      </c>
      <c r="O40" s="248">
        <v>32.5</v>
      </c>
      <c r="P40" s="249">
        <f t="shared" si="3"/>
        <v>32913.676249999997</v>
      </c>
      <c r="Q40" s="250" t="s">
        <v>80</v>
      </c>
      <c r="R40" s="251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</row>
    <row r="41" spans="1:30" ht="30" customHeight="1">
      <c r="A41" s="239"/>
      <c r="B41" s="240">
        <v>3745140</v>
      </c>
      <c r="C41" s="241"/>
      <c r="D41" s="242">
        <v>36.51</v>
      </c>
      <c r="E41" s="242">
        <v>223.44</v>
      </c>
      <c r="F41" s="242">
        <v>499.66</v>
      </c>
      <c r="G41" s="244">
        <f t="shared" si="0"/>
        <v>4.076123549904E-3</v>
      </c>
      <c r="H41" s="245"/>
      <c r="I41" s="246"/>
      <c r="J41" s="247">
        <v>1.6199999999999999E-3</v>
      </c>
      <c r="K41" s="248">
        <f t="shared" si="1"/>
        <v>0</v>
      </c>
      <c r="L41" s="248"/>
      <c r="M41" s="248"/>
      <c r="N41" s="248"/>
      <c r="O41" s="248">
        <v>32.5</v>
      </c>
      <c r="P41" s="249">
        <f t="shared" si="3"/>
        <v>0</v>
      </c>
      <c r="Q41" s="250" t="s">
        <v>80</v>
      </c>
      <c r="R41" s="251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</row>
    <row r="42" spans="1:30" ht="30" customHeight="1">
      <c r="A42" s="239"/>
      <c r="B42" s="257">
        <v>3745148</v>
      </c>
      <c r="C42" s="258"/>
      <c r="D42" s="242">
        <v>36.51</v>
      </c>
      <c r="E42" s="259">
        <v>299.64</v>
      </c>
      <c r="F42" s="242">
        <v>499.66</v>
      </c>
      <c r="G42" s="244">
        <f t="shared" si="0"/>
        <v>5.4662086488239999E-3</v>
      </c>
      <c r="H42" s="260"/>
      <c r="I42" s="261"/>
      <c r="J42" s="255">
        <v>2.1700000000000001E-3</v>
      </c>
      <c r="K42" s="248">
        <f t="shared" si="1"/>
        <v>0</v>
      </c>
      <c r="L42" s="248"/>
      <c r="M42" s="262"/>
      <c r="N42" s="248"/>
      <c r="O42" s="248">
        <v>32.5</v>
      </c>
      <c r="P42" s="249">
        <f t="shared" si="3"/>
        <v>0</v>
      </c>
      <c r="Q42" s="250" t="s">
        <v>80</v>
      </c>
      <c r="R42" s="251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</row>
    <row r="43" spans="1:30" ht="30" customHeight="1">
      <c r="A43" s="239"/>
      <c r="B43" s="240">
        <v>3745156</v>
      </c>
      <c r="C43" s="241"/>
      <c r="D43" s="242">
        <v>36.51</v>
      </c>
      <c r="E43" s="242">
        <v>375.84</v>
      </c>
      <c r="F43" s="242">
        <v>499.66</v>
      </c>
      <c r="G43" s="244">
        <f t="shared" si="0"/>
        <v>6.8562937477439998E-3</v>
      </c>
      <c r="H43" s="245"/>
      <c r="I43" s="246"/>
      <c r="J43" s="247">
        <v>2.7200000000000002E-3</v>
      </c>
      <c r="K43" s="248">
        <f t="shared" si="1"/>
        <v>0</v>
      </c>
      <c r="L43" s="248">
        <f t="shared" ref="L43:L60" si="8">M43-N43</f>
        <v>15.044700000000001</v>
      </c>
      <c r="M43" s="248">
        <v>15.51</v>
      </c>
      <c r="N43" s="248">
        <f t="shared" ref="N43:N60" si="9">M43*3%</f>
        <v>0.46529999999999999</v>
      </c>
      <c r="O43" s="248">
        <v>32.5</v>
      </c>
      <c r="P43" s="249">
        <f t="shared" si="3"/>
        <v>0</v>
      </c>
      <c r="Q43" s="250" t="s">
        <v>80</v>
      </c>
      <c r="R43" s="251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</row>
    <row r="44" spans="1:30" ht="30" customHeight="1">
      <c r="A44" s="239"/>
      <c r="B44" s="240">
        <v>3745164</v>
      </c>
      <c r="C44" s="241"/>
      <c r="D44" s="242">
        <v>36.51</v>
      </c>
      <c r="E44" s="242">
        <v>452.04</v>
      </c>
      <c r="F44" s="242">
        <v>499.66</v>
      </c>
      <c r="G44" s="244">
        <f t="shared" si="0"/>
        <v>8.2463788466639997E-3</v>
      </c>
      <c r="H44" s="245"/>
      <c r="I44" s="246"/>
      <c r="J44" s="247">
        <v>3.2799999999999999E-3</v>
      </c>
      <c r="K44" s="248">
        <f t="shared" si="1"/>
        <v>0</v>
      </c>
      <c r="L44" s="248"/>
      <c r="M44" s="252"/>
      <c r="N44" s="248"/>
      <c r="O44" s="248">
        <v>32.5</v>
      </c>
      <c r="P44" s="249">
        <f t="shared" si="3"/>
        <v>0</v>
      </c>
      <c r="Q44" s="250" t="s">
        <v>80</v>
      </c>
      <c r="R44" s="251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</row>
    <row r="45" spans="1:30" ht="30" customHeight="1">
      <c r="A45" s="239"/>
      <c r="B45" s="240">
        <v>3745172</v>
      </c>
      <c r="C45" s="241"/>
      <c r="D45" s="242">
        <v>36.51</v>
      </c>
      <c r="E45" s="242">
        <v>528.24</v>
      </c>
      <c r="F45" s="242">
        <v>499.66</v>
      </c>
      <c r="G45" s="244">
        <f t="shared" si="0"/>
        <v>9.6364639455839996E-3</v>
      </c>
      <c r="H45" s="245"/>
      <c r="I45" s="246"/>
      <c r="J45" s="247">
        <v>3.8300000000000001E-3</v>
      </c>
      <c r="K45" s="248">
        <f t="shared" si="1"/>
        <v>0</v>
      </c>
      <c r="L45" s="248">
        <f t="shared" si="8"/>
        <v>20.049900000000001</v>
      </c>
      <c r="M45" s="248">
        <v>20.67</v>
      </c>
      <c r="N45" s="248">
        <f t="shared" si="9"/>
        <v>0.62009999999999998</v>
      </c>
      <c r="O45" s="248">
        <v>32.5</v>
      </c>
      <c r="P45" s="249">
        <f t="shared" si="3"/>
        <v>0</v>
      </c>
      <c r="Q45" s="250" t="s">
        <v>80</v>
      </c>
      <c r="R45" s="251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</row>
    <row r="46" spans="1:30" ht="30" customHeight="1">
      <c r="A46" s="239"/>
      <c r="B46" s="240">
        <v>3745180</v>
      </c>
      <c r="C46" s="241"/>
      <c r="D46" s="242">
        <v>36.51</v>
      </c>
      <c r="E46" s="242">
        <v>604.44000000000005</v>
      </c>
      <c r="F46" s="242">
        <v>499.66</v>
      </c>
      <c r="G46" s="244">
        <f t="shared" si="0"/>
        <v>1.1026549044504E-2</v>
      </c>
      <c r="H46" s="245"/>
      <c r="I46" s="246"/>
      <c r="J46" s="247">
        <v>4.3800000000000002E-3</v>
      </c>
      <c r="K46" s="248">
        <f t="shared" si="1"/>
        <v>0</v>
      </c>
      <c r="L46" s="248">
        <f t="shared" si="8"/>
        <v>22.639800000000001</v>
      </c>
      <c r="M46" s="248">
        <v>23.34</v>
      </c>
      <c r="N46" s="248">
        <f t="shared" si="9"/>
        <v>0.70019999999999993</v>
      </c>
      <c r="O46" s="248">
        <v>32.5</v>
      </c>
      <c r="P46" s="249">
        <f t="shared" si="3"/>
        <v>0</v>
      </c>
      <c r="Q46" s="250" t="s">
        <v>80</v>
      </c>
      <c r="R46" s="251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</row>
    <row r="47" spans="1:30" ht="30" customHeight="1">
      <c r="A47" s="421"/>
      <c r="B47" s="422">
        <v>9339880</v>
      </c>
      <c r="C47" s="423"/>
      <c r="D47" s="424">
        <v>36.5</v>
      </c>
      <c r="E47" s="424">
        <v>292.10000000000002</v>
      </c>
      <c r="F47" s="424">
        <v>487.4</v>
      </c>
      <c r="G47" s="425">
        <f t="shared" si="0"/>
        <v>5.1964882100000009E-3</v>
      </c>
      <c r="H47" s="426">
        <v>30</v>
      </c>
      <c r="I47" s="427"/>
      <c r="J47" s="428">
        <v>4.3800000000000002E-3</v>
      </c>
      <c r="K47" s="429">
        <f>H47*J47</f>
        <v>0.13140000000000002</v>
      </c>
      <c r="L47" s="429"/>
      <c r="M47" s="429"/>
      <c r="N47" s="429"/>
      <c r="O47" s="429"/>
      <c r="P47" s="430"/>
      <c r="Q47" s="431"/>
      <c r="R47" s="251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</row>
    <row r="48" spans="1:30" ht="30" customHeight="1">
      <c r="A48" s="421"/>
      <c r="B48" s="422">
        <v>9339888</v>
      </c>
      <c r="C48" s="423"/>
      <c r="D48" s="424">
        <v>36.5</v>
      </c>
      <c r="E48" s="424">
        <v>368.3</v>
      </c>
      <c r="F48" s="424">
        <v>487.4</v>
      </c>
      <c r="G48" s="425">
        <f t="shared" si="0"/>
        <v>6.5520938300000003E-3</v>
      </c>
      <c r="H48" s="426">
        <v>10</v>
      </c>
      <c r="I48" s="427"/>
      <c r="J48" s="428">
        <v>4.3800000000000002E-3</v>
      </c>
      <c r="K48" s="429">
        <f t="shared" ref="K48:K51" si="10">H48*J48</f>
        <v>4.3800000000000006E-2</v>
      </c>
      <c r="L48" s="429"/>
      <c r="M48" s="429"/>
      <c r="N48" s="429"/>
      <c r="O48" s="429"/>
      <c r="P48" s="430"/>
      <c r="Q48" s="431"/>
      <c r="R48" s="251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</row>
    <row r="49" spans="1:30" ht="30" customHeight="1">
      <c r="A49" s="421"/>
      <c r="B49" s="422">
        <v>9339889</v>
      </c>
      <c r="C49" s="423"/>
      <c r="D49" s="424">
        <v>36.5</v>
      </c>
      <c r="E49" s="424">
        <v>444.5</v>
      </c>
      <c r="F49" s="424">
        <v>487.4</v>
      </c>
      <c r="G49" s="425">
        <f t="shared" si="0"/>
        <v>7.9076994499999997E-3</v>
      </c>
      <c r="H49" s="426">
        <v>10</v>
      </c>
      <c r="I49" s="427"/>
      <c r="J49" s="428">
        <v>4.3800000000000002E-3</v>
      </c>
      <c r="K49" s="429">
        <f t="shared" si="10"/>
        <v>4.3800000000000006E-2</v>
      </c>
      <c r="L49" s="429"/>
      <c r="M49" s="429"/>
      <c r="N49" s="429"/>
      <c r="O49" s="429"/>
      <c r="P49" s="430"/>
      <c r="Q49" s="431"/>
      <c r="R49" s="251"/>
      <c r="S49" s="223"/>
      <c r="T49" s="223"/>
      <c r="U49" s="223"/>
      <c r="V49" s="223"/>
      <c r="W49" s="223"/>
      <c r="X49" s="223"/>
      <c r="Y49" s="223"/>
      <c r="Z49" s="223"/>
      <c r="AA49" s="223"/>
      <c r="AB49" s="223"/>
      <c r="AC49" s="223"/>
      <c r="AD49" s="223"/>
    </row>
    <row r="50" spans="1:30" ht="30" customHeight="1">
      <c r="A50" s="421"/>
      <c r="B50" s="422">
        <v>9339890</v>
      </c>
      <c r="C50" s="423"/>
      <c r="D50" s="424">
        <v>36.5</v>
      </c>
      <c r="E50" s="424">
        <v>520.70000000000005</v>
      </c>
      <c r="F50" s="424">
        <v>487.4</v>
      </c>
      <c r="G50" s="425">
        <f t="shared" si="0"/>
        <v>9.26330507E-3</v>
      </c>
      <c r="H50" s="426">
        <v>10</v>
      </c>
      <c r="I50" s="427"/>
      <c r="J50" s="428">
        <v>4.3800000000000002E-3</v>
      </c>
      <c r="K50" s="429">
        <f t="shared" si="10"/>
        <v>4.3800000000000006E-2</v>
      </c>
      <c r="L50" s="429"/>
      <c r="M50" s="429"/>
      <c r="N50" s="429"/>
      <c r="O50" s="429"/>
      <c r="P50" s="430"/>
      <c r="Q50" s="431"/>
      <c r="R50" s="251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</row>
    <row r="51" spans="1:30" ht="30" customHeight="1">
      <c r="A51" s="421"/>
      <c r="B51" s="422">
        <v>9339892</v>
      </c>
      <c r="C51" s="423"/>
      <c r="D51" s="424">
        <v>36.5</v>
      </c>
      <c r="E51" s="424">
        <v>596.9</v>
      </c>
      <c r="F51" s="424">
        <v>487.4</v>
      </c>
      <c r="G51" s="425">
        <f t="shared" si="0"/>
        <v>1.0618910689999999E-2</v>
      </c>
      <c r="H51" s="426">
        <v>10</v>
      </c>
      <c r="I51" s="427"/>
      <c r="J51" s="428">
        <v>4.3800000000000002E-3</v>
      </c>
      <c r="K51" s="429">
        <f t="shared" si="10"/>
        <v>4.3800000000000006E-2</v>
      </c>
      <c r="L51" s="429"/>
      <c r="M51" s="429"/>
      <c r="N51" s="429"/>
      <c r="O51" s="429"/>
      <c r="P51" s="430"/>
      <c r="Q51" s="431"/>
      <c r="R51" s="251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</row>
    <row r="52" spans="1:30" ht="30" customHeight="1">
      <c r="A52" s="239" t="s">
        <v>84</v>
      </c>
      <c r="B52" s="240">
        <v>9010418</v>
      </c>
      <c r="C52" s="241"/>
      <c r="D52" s="242">
        <v>57.15</v>
      </c>
      <c r="E52" s="242">
        <v>273.05</v>
      </c>
      <c r="F52" s="242">
        <v>698.5</v>
      </c>
      <c r="G52" s="244">
        <f t="shared" si="0"/>
        <v>1.0899958038750001E-2</v>
      </c>
      <c r="H52" s="245">
        <v>24</v>
      </c>
      <c r="I52" s="246"/>
      <c r="J52" s="247">
        <v>3.0999999999999999E-3</v>
      </c>
      <c r="K52" s="248">
        <f t="shared" si="1"/>
        <v>7.4399999999999994E-2</v>
      </c>
      <c r="L52" s="248">
        <f t="shared" si="8"/>
        <v>29.769300000000001</v>
      </c>
      <c r="M52" s="248">
        <v>30.69</v>
      </c>
      <c r="N52" s="248">
        <f t="shared" si="9"/>
        <v>0.92069999999999996</v>
      </c>
      <c r="O52" s="248">
        <v>32.5</v>
      </c>
      <c r="P52" s="249">
        <f t="shared" si="3"/>
        <v>22059.051299999999</v>
      </c>
      <c r="Q52" s="250" t="s">
        <v>80</v>
      </c>
      <c r="R52" s="251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</row>
    <row r="53" spans="1:30" ht="30" customHeight="1">
      <c r="A53" s="239"/>
      <c r="B53" s="240">
        <v>9010441</v>
      </c>
      <c r="C53" s="241"/>
      <c r="D53" s="242">
        <v>57.15</v>
      </c>
      <c r="E53" s="242">
        <v>565.15</v>
      </c>
      <c r="F53" s="242">
        <v>698.5</v>
      </c>
      <c r="G53" s="244">
        <f t="shared" si="0"/>
        <v>2.256037826625E-2</v>
      </c>
      <c r="H53" s="245">
        <v>24</v>
      </c>
      <c r="I53" s="246"/>
      <c r="J53" s="247">
        <v>5.3E-3</v>
      </c>
      <c r="K53" s="248">
        <f t="shared" si="1"/>
        <v>0.12720000000000001</v>
      </c>
      <c r="L53" s="248">
        <f t="shared" si="8"/>
        <v>34.279800000000002</v>
      </c>
      <c r="M53" s="248">
        <v>35.340000000000003</v>
      </c>
      <c r="N53" s="248">
        <f t="shared" si="9"/>
        <v>1.0602</v>
      </c>
      <c r="O53" s="248">
        <v>32.5</v>
      </c>
      <c r="P53" s="249">
        <f t="shared" si="3"/>
        <v>25401.3318</v>
      </c>
      <c r="Q53" s="250" t="s">
        <v>80</v>
      </c>
      <c r="R53" s="251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</row>
    <row r="54" spans="1:30" ht="30" customHeight="1">
      <c r="A54" s="239"/>
      <c r="B54" s="240">
        <v>9010427</v>
      </c>
      <c r="C54" s="241"/>
      <c r="D54" s="242">
        <v>133.35</v>
      </c>
      <c r="E54" s="242">
        <v>273.05</v>
      </c>
      <c r="F54" s="242">
        <v>698.5</v>
      </c>
      <c r="G54" s="244">
        <f t="shared" si="0"/>
        <v>2.5433235423749999E-2</v>
      </c>
      <c r="H54" s="245">
        <v>15</v>
      </c>
      <c r="I54" s="246"/>
      <c r="J54" s="247">
        <v>6.7999999999999996E-3</v>
      </c>
      <c r="K54" s="248">
        <f t="shared" si="1"/>
        <v>0.10199999999999999</v>
      </c>
      <c r="L54" s="248">
        <f t="shared" si="8"/>
        <v>33.377699999999997</v>
      </c>
      <c r="M54" s="248">
        <v>34.409999999999997</v>
      </c>
      <c r="N54" s="248">
        <f t="shared" si="9"/>
        <v>1.0322999999999998</v>
      </c>
      <c r="O54" s="248">
        <v>32.5</v>
      </c>
      <c r="P54" s="249">
        <f t="shared" si="3"/>
        <v>15458.047312499997</v>
      </c>
      <c r="Q54" s="250" t="s">
        <v>80</v>
      </c>
      <c r="R54" s="251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</row>
    <row r="55" spans="1:30" ht="30" customHeight="1">
      <c r="A55" s="239"/>
      <c r="B55" s="240">
        <v>9010442</v>
      </c>
      <c r="C55" s="241"/>
      <c r="D55" s="242">
        <v>133.35</v>
      </c>
      <c r="E55" s="242">
        <v>565.15</v>
      </c>
      <c r="F55" s="242">
        <v>698.5</v>
      </c>
      <c r="G55" s="244">
        <f t="shared" si="0"/>
        <v>5.2640882621249989E-2</v>
      </c>
      <c r="H55" s="245">
        <v>110</v>
      </c>
      <c r="I55" s="246"/>
      <c r="J55" s="247">
        <v>1.0999999999999999E-2</v>
      </c>
      <c r="K55" s="248">
        <f t="shared" si="1"/>
        <v>1.21</v>
      </c>
      <c r="L55" s="248">
        <f t="shared" si="8"/>
        <v>37.888200000000005</v>
      </c>
      <c r="M55" s="248">
        <v>39.06</v>
      </c>
      <c r="N55" s="248">
        <f t="shared" si="9"/>
        <v>1.1718</v>
      </c>
      <c r="O55" s="248">
        <v>32.5</v>
      </c>
      <c r="P55" s="249">
        <f t="shared" si="3"/>
        <v>128677.79925</v>
      </c>
      <c r="Q55" s="250" t="s">
        <v>80</v>
      </c>
      <c r="R55" s="251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</row>
    <row r="56" spans="1:30" ht="30" customHeight="1">
      <c r="A56" s="239" t="s">
        <v>85</v>
      </c>
      <c r="B56" s="240">
        <v>9014856</v>
      </c>
      <c r="C56" s="241"/>
      <c r="D56" s="242">
        <v>101.6</v>
      </c>
      <c r="E56" s="242">
        <v>228.6</v>
      </c>
      <c r="F56" s="242">
        <v>609.6</v>
      </c>
      <c r="G56" s="244">
        <f t="shared" si="0"/>
        <v>1.4158423296E-2</v>
      </c>
      <c r="H56" s="245"/>
      <c r="I56" s="254"/>
      <c r="J56" s="247">
        <v>3.1600000000000003E-2</v>
      </c>
      <c r="K56" s="248">
        <f t="shared" si="1"/>
        <v>0</v>
      </c>
      <c r="L56" s="248">
        <f t="shared" si="8"/>
        <v>17.324200000000001</v>
      </c>
      <c r="M56" s="263">
        <v>17.86</v>
      </c>
      <c r="N56" s="248">
        <f t="shared" si="9"/>
        <v>0.53579999999999994</v>
      </c>
      <c r="O56" s="248">
        <v>32.5</v>
      </c>
      <c r="P56" s="249">
        <f t="shared" si="3"/>
        <v>0</v>
      </c>
      <c r="Q56" s="250" t="s">
        <v>80</v>
      </c>
      <c r="R56" s="251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</row>
    <row r="57" spans="1:30" ht="30" customHeight="1">
      <c r="A57" s="264"/>
      <c r="B57" s="265">
        <v>9014859</v>
      </c>
      <c r="C57" s="241"/>
      <c r="D57" s="242">
        <v>101.6</v>
      </c>
      <c r="E57" s="242">
        <v>304.8</v>
      </c>
      <c r="F57" s="242">
        <v>609.6</v>
      </c>
      <c r="G57" s="244">
        <f t="shared" si="0"/>
        <v>1.8877897728000002E-2</v>
      </c>
      <c r="H57" s="245">
        <v>18</v>
      </c>
      <c r="I57" s="254"/>
      <c r="J57" s="247">
        <v>3.7000000000000002E-3</v>
      </c>
      <c r="K57" s="248">
        <f t="shared" si="1"/>
        <v>6.6600000000000006E-2</v>
      </c>
      <c r="L57" s="248">
        <f t="shared" si="8"/>
        <v>21.378799999999998</v>
      </c>
      <c r="M57" s="263">
        <v>22.04</v>
      </c>
      <c r="N57" s="248">
        <f t="shared" si="9"/>
        <v>0.6611999999999999</v>
      </c>
      <c r="O57" s="248">
        <v>32.5</v>
      </c>
      <c r="P57" s="249">
        <f t="shared" si="3"/>
        <v>11881.268099999999</v>
      </c>
      <c r="Q57" s="250" t="s">
        <v>80</v>
      </c>
      <c r="R57" s="251"/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3"/>
    </row>
    <row r="58" spans="1:30" ht="30" customHeight="1">
      <c r="A58" s="239"/>
      <c r="B58" s="265">
        <v>9014863</v>
      </c>
      <c r="C58" s="241"/>
      <c r="D58" s="242">
        <v>101.6</v>
      </c>
      <c r="E58" s="243">
        <v>381</v>
      </c>
      <c r="F58" s="242">
        <v>609.6</v>
      </c>
      <c r="G58" s="244">
        <f t="shared" si="0"/>
        <v>2.3597372160000001E-2</v>
      </c>
      <c r="H58" s="245"/>
      <c r="I58" s="254"/>
      <c r="J58" s="247">
        <v>4.3E-3</v>
      </c>
      <c r="K58" s="248">
        <f t="shared" si="1"/>
        <v>0</v>
      </c>
      <c r="L58" s="248">
        <f t="shared" si="8"/>
        <v>25.617699999999999</v>
      </c>
      <c r="M58" s="263">
        <v>26.41</v>
      </c>
      <c r="N58" s="248">
        <f t="shared" si="9"/>
        <v>0.7923</v>
      </c>
      <c r="O58" s="248">
        <v>32.5</v>
      </c>
      <c r="P58" s="249">
        <f t="shared" si="3"/>
        <v>0</v>
      </c>
      <c r="Q58" s="250" t="s">
        <v>80</v>
      </c>
      <c r="R58" s="251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</row>
    <row r="59" spans="1:30" ht="30" customHeight="1">
      <c r="A59" s="239"/>
      <c r="B59" s="265">
        <v>9014864</v>
      </c>
      <c r="C59" s="241"/>
      <c r="D59" s="242">
        <v>101.6</v>
      </c>
      <c r="E59" s="266">
        <v>457.2</v>
      </c>
      <c r="F59" s="266">
        <v>609.6</v>
      </c>
      <c r="G59" s="244">
        <f t="shared" si="0"/>
        <v>2.8316846592000001E-2</v>
      </c>
      <c r="H59" s="245">
        <v>12</v>
      </c>
      <c r="I59" s="254"/>
      <c r="J59" s="247">
        <v>4.7999999999999996E-3</v>
      </c>
      <c r="K59" s="248">
        <f t="shared" si="1"/>
        <v>5.7599999999999998E-2</v>
      </c>
      <c r="L59" s="248">
        <f t="shared" si="8"/>
        <v>29.769300000000001</v>
      </c>
      <c r="M59" s="263">
        <v>30.69</v>
      </c>
      <c r="N59" s="248">
        <f t="shared" si="9"/>
        <v>0.92069999999999996</v>
      </c>
      <c r="O59" s="248">
        <v>32.5</v>
      </c>
      <c r="P59" s="249">
        <f t="shared" si="3"/>
        <v>11029.52565</v>
      </c>
      <c r="Q59" s="250" t="s">
        <v>80</v>
      </c>
      <c r="R59" s="251"/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3"/>
    </row>
    <row r="60" spans="1:30" ht="30" customHeight="1">
      <c r="A60" s="239" t="s">
        <v>86</v>
      </c>
      <c r="B60" s="267">
        <v>4851149</v>
      </c>
      <c r="C60" s="241"/>
      <c r="D60" s="268">
        <v>63.5</v>
      </c>
      <c r="E60" s="269">
        <v>562.1</v>
      </c>
      <c r="F60" s="269">
        <v>493.7</v>
      </c>
      <c r="G60" s="270">
        <f t="shared" si="0"/>
        <v>1.7621806894999998E-2</v>
      </c>
      <c r="H60" s="245"/>
      <c r="I60" s="254"/>
      <c r="J60" s="247">
        <v>7.1939999999999999E-3</v>
      </c>
      <c r="K60" s="248">
        <f t="shared" si="1"/>
        <v>0</v>
      </c>
      <c r="L60" s="248">
        <f t="shared" si="8"/>
        <v>35.7057</v>
      </c>
      <c r="M60" s="263">
        <v>36.81</v>
      </c>
      <c r="N60" s="248">
        <f t="shared" si="9"/>
        <v>1.1043000000000001</v>
      </c>
      <c r="O60" s="248">
        <v>32.5</v>
      </c>
      <c r="P60" s="249">
        <f t="shared" si="3"/>
        <v>0</v>
      </c>
      <c r="Q60" s="250" t="s">
        <v>80</v>
      </c>
      <c r="R60" s="251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</row>
    <row r="61" spans="1:30" ht="30" customHeight="1">
      <c r="A61" s="239"/>
      <c r="B61" s="267">
        <v>4888757</v>
      </c>
      <c r="C61" s="241"/>
      <c r="D61" s="268">
        <v>63.5</v>
      </c>
      <c r="E61" s="269">
        <v>333.5</v>
      </c>
      <c r="F61" s="269">
        <v>493.7</v>
      </c>
      <c r="G61" s="270">
        <f t="shared" si="0"/>
        <v>1.0455208325E-2</v>
      </c>
      <c r="H61" s="245"/>
      <c r="I61" s="254"/>
      <c r="J61" s="247">
        <v>4.6820000000000004E-3</v>
      </c>
      <c r="K61" s="248">
        <f t="shared" si="1"/>
        <v>0</v>
      </c>
      <c r="L61" s="248"/>
      <c r="M61" s="263"/>
      <c r="N61" s="248"/>
      <c r="O61" s="248">
        <v>32.5</v>
      </c>
      <c r="P61" s="249">
        <f t="shared" si="3"/>
        <v>0</v>
      </c>
      <c r="Q61" s="250" t="s">
        <v>80</v>
      </c>
      <c r="R61" s="251"/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</row>
    <row r="62" spans="1:30" ht="30" customHeight="1">
      <c r="A62" s="239" t="s">
        <v>87</v>
      </c>
      <c r="B62" s="240">
        <v>8177319</v>
      </c>
      <c r="C62" s="241"/>
      <c r="D62" s="242">
        <v>38.590000000000003</v>
      </c>
      <c r="E62" s="516">
        <v>711.2</v>
      </c>
      <c r="F62" s="517"/>
      <c r="G62" s="270">
        <f>((E62/2)*(E62/2)*3.14*D62)/1000000000</f>
        <v>1.5322440064736003E-2</v>
      </c>
      <c r="H62" s="245"/>
      <c r="I62" s="254"/>
      <c r="J62" s="255">
        <v>6.0600000000000003E-3</v>
      </c>
      <c r="K62" s="248">
        <f t="shared" si="1"/>
        <v>0</v>
      </c>
      <c r="L62" s="248"/>
      <c r="M62" s="271"/>
      <c r="N62" s="248"/>
      <c r="O62" s="248">
        <v>32.5</v>
      </c>
      <c r="P62" s="249">
        <f t="shared" si="3"/>
        <v>0</v>
      </c>
      <c r="Q62" s="250" t="s">
        <v>80</v>
      </c>
      <c r="R62" s="251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</row>
    <row r="63" spans="1:30" ht="30" customHeight="1">
      <c r="A63" s="239"/>
      <c r="B63" s="240">
        <v>8177323</v>
      </c>
      <c r="C63" s="241"/>
      <c r="D63" s="242">
        <v>38.590000000000003</v>
      </c>
      <c r="E63" s="507">
        <v>812.8</v>
      </c>
      <c r="F63" s="508"/>
      <c r="G63" s="270">
        <f t="shared" ref="G63:G69" si="11">((E63/2)*(E63/2)*3.14*D63)/1000000000</f>
        <v>2.0012982941696005E-2</v>
      </c>
      <c r="H63" s="245"/>
      <c r="I63" s="272"/>
      <c r="J63" s="247">
        <v>6.96E-3</v>
      </c>
      <c r="K63" s="248">
        <f t="shared" si="1"/>
        <v>0</v>
      </c>
      <c r="L63" s="248">
        <f t="shared" ref="L63:L67" si="12">M63-N63</f>
        <v>12.988300000000001</v>
      </c>
      <c r="M63" s="263">
        <v>13.39</v>
      </c>
      <c r="N63" s="248">
        <f t="shared" ref="N63" si="13">M63*3%</f>
        <v>0.4017</v>
      </c>
      <c r="O63" s="248">
        <v>32.5</v>
      </c>
      <c r="P63" s="249">
        <f t="shared" si="3"/>
        <v>0</v>
      </c>
      <c r="Q63" s="250" t="s">
        <v>80</v>
      </c>
      <c r="R63" s="251"/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</row>
    <row r="64" spans="1:30" ht="30" customHeight="1">
      <c r="A64" s="239"/>
      <c r="B64" s="240">
        <v>8179126</v>
      </c>
      <c r="C64" s="241"/>
      <c r="D64" s="242">
        <v>38.590000000000003</v>
      </c>
      <c r="E64" s="507">
        <v>711.2</v>
      </c>
      <c r="F64" s="508"/>
      <c r="G64" s="270">
        <f t="shared" si="11"/>
        <v>1.5322440064736003E-2</v>
      </c>
      <c r="H64" s="245"/>
      <c r="I64" s="254"/>
      <c r="J64" s="255">
        <v>6.0600000000000003E-3</v>
      </c>
      <c r="K64" s="248">
        <f t="shared" si="1"/>
        <v>0</v>
      </c>
      <c r="L64" s="248"/>
      <c r="M64" s="271"/>
      <c r="N64" s="248"/>
      <c r="O64" s="248">
        <v>32.5</v>
      </c>
      <c r="P64" s="249">
        <f t="shared" si="3"/>
        <v>0</v>
      </c>
      <c r="Q64" s="250" t="s">
        <v>80</v>
      </c>
      <c r="R64" s="251"/>
      <c r="S64" s="223"/>
      <c r="T64" s="223"/>
      <c r="U64" s="223"/>
      <c r="V64" s="223"/>
      <c r="W64" s="223"/>
      <c r="X64" s="223"/>
      <c r="Y64" s="223"/>
      <c r="Z64" s="223"/>
      <c r="AA64" s="223"/>
      <c r="AB64" s="223"/>
      <c r="AC64" s="223"/>
      <c r="AD64" s="223"/>
    </row>
    <row r="65" spans="1:30" ht="30" customHeight="1">
      <c r="A65" s="239"/>
      <c r="B65" s="240">
        <v>9232315</v>
      </c>
      <c r="C65" s="241"/>
      <c r="D65" s="242">
        <v>38.590000000000003</v>
      </c>
      <c r="E65" s="507">
        <v>711.2</v>
      </c>
      <c r="F65" s="508"/>
      <c r="G65" s="270">
        <f t="shared" si="11"/>
        <v>1.5322440064736003E-2</v>
      </c>
      <c r="H65" s="245">
        <v>40</v>
      </c>
      <c r="I65" s="254"/>
      <c r="J65" s="255">
        <v>6.0600000000000003E-3</v>
      </c>
      <c r="K65" s="248">
        <f t="shared" si="1"/>
        <v>0.2424</v>
      </c>
      <c r="L65" s="248">
        <f t="shared" si="12"/>
        <v>11.1938</v>
      </c>
      <c r="M65" s="263">
        <v>11.54</v>
      </c>
      <c r="N65" s="248">
        <f t="shared" ref="N65:N67" si="14">M65*3%</f>
        <v>0.34619999999999995</v>
      </c>
      <c r="O65" s="248">
        <v>32.5</v>
      </c>
      <c r="P65" s="249">
        <f t="shared" si="3"/>
        <v>13824.342999999999</v>
      </c>
      <c r="Q65" s="250" t="s">
        <v>80</v>
      </c>
      <c r="R65" s="251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</row>
    <row r="66" spans="1:30" ht="30" customHeight="1">
      <c r="A66" s="239"/>
      <c r="B66" s="240">
        <v>9232335</v>
      </c>
      <c r="C66" s="241"/>
      <c r="D66" s="242">
        <v>38.590000000000003</v>
      </c>
      <c r="E66" s="507">
        <v>812.8</v>
      </c>
      <c r="F66" s="508"/>
      <c r="G66" s="270">
        <f t="shared" si="11"/>
        <v>2.0012982941696005E-2</v>
      </c>
      <c r="H66" s="245">
        <v>440</v>
      </c>
      <c r="I66" s="254"/>
      <c r="J66" s="247">
        <v>6.96E-3</v>
      </c>
      <c r="K66" s="248">
        <f t="shared" si="1"/>
        <v>3.0624000000000002</v>
      </c>
      <c r="L66" s="248">
        <f t="shared" si="12"/>
        <v>12.988300000000001</v>
      </c>
      <c r="M66" s="263">
        <v>13.39</v>
      </c>
      <c r="N66" s="248">
        <f t="shared" si="14"/>
        <v>0.4017</v>
      </c>
      <c r="O66" s="248">
        <v>32.5</v>
      </c>
      <c r="P66" s="249">
        <f t="shared" si="3"/>
        <v>176446.05549999999</v>
      </c>
      <c r="Q66" s="250" t="s">
        <v>80</v>
      </c>
      <c r="R66" s="251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</row>
    <row r="67" spans="1:30" ht="30" customHeight="1">
      <c r="A67" s="239"/>
      <c r="B67" s="240">
        <v>9237601</v>
      </c>
      <c r="C67" s="241"/>
      <c r="D67" s="242">
        <v>38.590000000000003</v>
      </c>
      <c r="E67" s="507">
        <v>711.2</v>
      </c>
      <c r="F67" s="508"/>
      <c r="G67" s="270">
        <f t="shared" si="11"/>
        <v>1.5322440064736003E-2</v>
      </c>
      <c r="H67" s="245"/>
      <c r="I67" s="254"/>
      <c r="J67" s="255">
        <v>6.0600000000000003E-3</v>
      </c>
      <c r="K67" s="248">
        <f t="shared" si="1"/>
        <v>0</v>
      </c>
      <c r="L67" s="248">
        <f t="shared" si="12"/>
        <v>11.1938</v>
      </c>
      <c r="M67" s="263">
        <v>11.54</v>
      </c>
      <c r="N67" s="248">
        <f t="shared" si="14"/>
        <v>0.34619999999999995</v>
      </c>
      <c r="O67" s="248">
        <v>32.5</v>
      </c>
      <c r="P67" s="249">
        <f t="shared" si="3"/>
        <v>0</v>
      </c>
      <c r="Q67" s="250" t="s">
        <v>80</v>
      </c>
      <c r="R67" s="251"/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</row>
    <row r="68" spans="1:30" ht="30" customHeight="1">
      <c r="A68" s="239"/>
      <c r="B68" s="240">
        <v>3079129</v>
      </c>
      <c r="C68" s="241"/>
      <c r="D68" s="242">
        <v>25.4</v>
      </c>
      <c r="E68" s="507">
        <v>711.2</v>
      </c>
      <c r="F68" s="508"/>
      <c r="G68" s="270">
        <f t="shared" si="11"/>
        <v>1.0085254668160001E-2</v>
      </c>
      <c r="H68" s="245"/>
      <c r="I68" s="254"/>
      <c r="J68" s="273"/>
      <c r="K68" s="248">
        <f t="shared" si="1"/>
        <v>0</v>
      </c>
      <c r="L68" s="248"/>
      <c r="M68" s="271"/>
      <c r="N68" s="248"/>
      <c r="O68" s="248">
        <v>32.5</v>
      </c>
      <c r="P68" s="249">
        <f>H68*L68*O68*0.95</f>
        <v>0</v>
      </c>
      <c r="Q68" s="250"/>
      <c r="R68" s="251"/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</row>
    <row r="69" spans="1:30" ht="30" customHeight="1">
      <c r="A69" s="239"/>
      <c r="B69" s="240">
        <v>3079132</v>
      </c>
      <c r="C69" s="241"/>
      <c r="D69" s="242">
        <v>25.4</v>
      </c>
      <c r="E69" s="507">
        <v>812.8</v>
      </c>
      <c r="F69" s="508"/>
      <c r="G69" s="270">
        <f t="shared" si="11"/>
        <v>1.3172577525759999E-2</v>
      </c>
      <c r="H69" s="245"/>
      <c r="I69" s="254"/>
      <c r="J69" s="273"/>
      <c r="K69" s="248">
        <f t="shared" si="1"/>
        <v>0</v>
      </c>
      <c r="L69" s="248"/>
      <c r="M69" s="252"/>
      <c r="N69" s="248"/>
      <c r="O69" s="248">
        <v>32.5</v>
      </c>
      <c r="P69" s="249">
        <f t="shared" si="3"/>
        <v>0</v>
      </c>
      <c r="Q69" s="250"/>
      <c r="R69" s="251"/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3"/>
    </row>
    <row r="70" spans="1:30" ht="30" customHeight="1">
      <c r="A70" s="509" t="s">
        <v>18</v>
      </c>
      <c r="B70" s="510"/>
      <c r="C70" s="510"/>
      <c r="D70" s="510"/>
      <c r="E70" s="510"/>
      <c r="F70" s="511"/>
      <c r="G70" s="274"/>
      <c r="H70" s="275">
        <f>SUM(H4:H69)</f>
        <v>2333</v>
      </c>
      <c r="I70" s="276"/>
      <c r="J70" s="277"/>
      <c r="K70" s="278">
        <f>SUM(K4:K69)</f>
        <v>18.327644609167997</v>
      </c>
      <c r="L70" s="279">
        <f>H70/K70</f>
        <v>127.29404403842317</v>
      </c>
      <c r="M70" s="280"/>
      <c r="N70" s="280"/>
      <c r="O70" s="248"/>
      <c r="P70" s="278">
        <f>SUM(P4:P69)</f>
        <v>1736615.5009125001</v>
      </c>
      <c r="Q70" s="281"/>
      <c r="R70" s="223"/>
      <c r="S70" s="282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</row>
    <row r="71" spans="1:30" ht="23.25" customHeight="1">
      <c r="A71" s="223"/>
      <c r="B71" s="223"/>
      <c r="C71" s="283"/>
      <c r="D71" s="223"/>
      <c r="E71" s="223"/>
      <c r="F71" s="284"/>
      <c r="G71" s="285"/>
      <c r="H71" s="283"/>
      <c r="I71" s="283"/>
      <c r="J71" s="283"/>
      <c r="K71" s="286"/>
      <c r="L71" s="286"/>
      <c r="M71" s="287"/>
      <c r="N71" s="287"/>
      <c r="O71" s="287"/>
      <c r="P71" s="288"/>
      <c r="Q71" s="289"/>
      <c r="R71" s="223"/>
      <c r="S71" s="223"/>
      <c r="T71" s="223"/>
      <c r="U71" s="223"/>
      <c r="V71" s="223"/>
      <c r="W71" s="223"/>
      <c r="X71" s="223"/>
      <c r="Y71" s="223"/>
      <c r="Z71" s="223"/>
      <c r="AA71" s="223"/>
      <c r="AB71" s="223"/>
      <c r="AC71" s="223"/>
      <c r="AD71" s="223"/>
    </row>
    <row r="72" spans="1:30" ht="23.25" customHeight="1">
      <c r="A72" s="223"/>
      <c r="B72" s="223"/>
      <c r="C72" s="283"/>
      <c r="D72" s="223"/>
      <c r="E72" s="223"/>
      <c r="F72" s="284"/>
      <c r="G72" s="285"/>
      <c r="H72" s="283"/>
      <c r="I72" s="283"/>
      <c r="J72" s="283"/>
      <c r="K72" s="286"/>
      <c r="L72" s="286"/>
      <c r="M72" s="283"/>
      <c r="N72" s="283"/>
      <c r="O72" s="283"/>
      <c r="P72" s="223"/>
      <c r="Q72" s="28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</row>
    <row r="73" spans="1:30" ht="23.25" customHeight="1">
      <c r="A73" s="223"/>
      <c r="B73" s="223"/>
      <c r="C73" s="283"/>
      <c r="D73" s="223"/>
      <c r="E73" s="223"/>
      <c r="F73" s="284"/>
      <c r="G73" s="285"/>
      <c r="H73" s="283"/>
      <c r="I73" s="283"/>
      <c r="J73" s="283"/>
      <c r="K73" s="286"/>
      <c r="L73" s="286"/>
      <c r="M73" s="283"/>
      <c r="N73" s="283"/>
      <c r="O73" s="283"/>
      <c r="P73" s="223"/>
      <c r="Q73" s="283"/>
      <c r="R73" s="223"/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3"/>
    </row>
    <row r="74" spans="1:30" ht="23.25" customHeight="1">
      <c r="A74" s="223"/>
      <c r="B74" s="223"/>
      <c r="C74" s="283"/>
      <c r="D74" s="223"/>
      <c r="E74" s="223"/>
      <c r="F74" s="284"/>
      <c r="G74" s="285"/>
      <c r="H74" s="283"/>
      <c r="I74" s="283"/>
      <c r="J74" s="283"/>
      <c r="K74" s="286"/>
      <c r="L74" s="286"/>
      <c r="M74" s="283"/>
      <c r="N74" s="283"/>
      <c r="O74" s="283"/>
      <c r="P74" s="223"/>
      <c r="Q74" s="28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</row>
    <row r="75" spans="1:30" ht="23.25" customHeight="1">
      <c r="A75" s="223"/>
      <c r="B75" s="223"/>
      <c r="C75" s="283"/>
      <c r="D75" s="223"/>
      <c r="E75" s="223"/>
      <c r="F75" s="284"/>
      <c r="G75" s="285"/>
      <c r="H75" s="283"/>
      <c r="I75" s="283"/>
      <c r="J75" s="283"/>
      <c r="K75" s="286"/>
      <c r="L75" s="286"/>
      <c r="M75" s="283"/>
      <c r="N75" s="283"/>
      <c r="O75" s="283"/>
      <c r="P75" s="223"/>
      <c r="Q75" s="283"/>
      <c r="R75" s="223"/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</row>
    <row r="76" spans="1:30" ht="23.25" customHeight="1">
      <c r="A76" s="223"/>
      <c r="B76" s="223"/>
      <c r="C76" s="283"/>
      <c r="D76" s="223"/>
      <c r="E76" s="223"/>
      <c r="F76" s="284"/>
      <c r="G76" s="285"/>
      <c r="H76" s="283"/>
      <c r="I76" s="283"/>
      <c r="J76" s="283"/>
      <c r="K76" s="286"/>
      <c r="L76" s="286"/>
      <c r="M76" s="283"/>
      <c r="N76" s="283"/>
      <c r="O76" s="283"/>
      <c r="P76" s="223"/>
      <c r="Q76" s="28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</row>
    <row r="77" spans="1:30" ht="23.25" customHeight="1">
      <c r="A77" s="223"/>
      <c r="B77" s="223"/>
      <c r="C77" s="283"/>
      <c r="D77" s="223"/>
      <c r="E77" s="223"/>
      <c r="F77" s="284"/>
      <c r="G77" s="285"/>
      <c r="H77" s="283"/>
      <c r="I77" s="283"/>
      <c r="J77" s="283"/>
      <c r="K77" s="286"/>
      <c r="L77" s="286"/>
      <c r="M77" s="283"/>
      <c r="N77" s="283"/>
      <c r="O77" s="283"/>
      <c r="P77" s="223"/>
      <c r="Q77" s="283"/>
      <c r="R77" s="223"/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</row>
    <row r="78" spans="1:30" ht="23.25" customHeight="1">
      <c r="A78" s="223"/>
      <c r="B78" s="223"/>
      <c r="C78" s="283"/>
      <c r="D78" s="223"/>
      <c r="E78" s="223"/>
      <c r="F78" s="284"/>
      <c r="G78" s="285"/>
      <c r="H78" s="283"/>
      <c r="I78" s="283"/>
      <c r="J78" s="283"/>
      <c r="K78" s="286"/>
      <c r="L78" s="286"/>
      <c r="M78" s="283"/>
      <c r="N78" s="283"/>
      <c r="O78" s="283"/>
      <c r="P78" s="223"/>
      <c r="Q78" s="28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</row>
    <row r="79" spans="1:30" ht="23.25" customHeight="1">
      <c r="A79" s="223"/>
      <c r="B79" s="223"/>
      <c r="C79" s="283"/>
      <c r="D79" s="223"/>
      <c r="E79" s="223"/>
      <c r="F79" s="284"/>
      <c r="G79" s="285"/>
      <c r="H79" s="283"/>
      <c r="I79" s="283"/>
      <c r="J79" s="283"/>
      <c r="K79" s="286"/>
      <c r="L79" s="286"/>
      <c r="M79" s="283"/>
      <c r="N79" s="283"/>
      <c r="O79" s="283"/>
      <c r="P79" s="223"/>
      <c r="Q79" s="283"/>
      <c r="R79" s="223"/>
      <c r="S79" s="223"/>
      <c r="T79" s="223"/>
      <c r="U79" s="223"/>
      <c r="V79" s="223"/>
      <c r="W79" s="223"/>
      <c r="X79" s="223"/>
      <c r="Y79" s="223"/>
      <c r="Z79" s="223"/>
      <c r="AA79" s="223"/>
      <c r="AB79" s="223"/>
      <c r="AC79" s="223"/>
      <c r="AD79" s="223"/>
    </row>
    <row r="80" spans="1:30" ht="23.25" customHeight="1">
      <c r="A80" s="223"/>
      <c r="B80" s="223"/>
      <c r="C80" s="283"/>
      <c r="D80" s="223"/>
      <c r="E80" s="223"/>
      <c r="F80" s="284"/>
      <c r="G80" s="285"/>
      <c r="H80" s="283"/>
      <c r="I80" s="283"/>
      <c r="J80" s="283"/>
      <c r="K80" s="286"/>
      <c r="L80" s="286"/>
      <c r="M80" s="283"/>
      <c r="N80" s="283"/>
      <c r="O80" s="283"/>
      <c r="P80" s="223"/>
      <c r="Q80" s="28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</row>
    <row r="81" spans="1:30" ht="23.25" customHeight="1">
      <c r="A81" s="223"/>
      <c r="B81" s="223"/>
      <c r="C81" s="283"/>
      <c r="D81" s="223"/>
      <c r="E81" s="223"/>
      <c r="F81" s="284"/>
      <c r="G81" s="285"/>
      <c r="H81" s="283"/>
      <c r="I81" s="283"/>
      <c r="J81" s="283"/>
      <c r="K81" s="286"/>
      <c r="L81" s="286"/>
      <c r="M81" s="283"/>
      <c r="N81" s="283"/>
      <c r="O81" s="283"/>
      <c r="P81" s="223"/>
      <c r="Q81" s="283"/>
      <c r="R81" s="223"/>
      <c r="S81" s="223"/>
      <c r="T81" s="223"/>
      <c r="U81" s="223"/>
      <c r="V81" s="223"/>
      <c r="W81" s="223"/>
      <c r="X81" s="223"/>
      <c r="Y81" s="223"/>
      <c r="Z81" s="223"/>
      <c r="AA81" s="223"/>
      <c r="AB81" s="223"/>
      <c r="AC81" s="223"/>
      <c r="AD81" s="223"/>
    </row>
    <row r="82" spans="1:30" ht="23.25" customHeight="1">
      <c r="A82" s="223"/>
      <c r="B82" s="223"/>
      <c r="C82" s="283"/>
      <c r="D82" s="223"/>
      <c r="E82" s="223"/>
      <c r="F82" s="284"/>
      <c r="G82" s="285"/>
      <c r="H82" s="283"/>
      <c r="I82" s="283"/>
      <c r="J82" s="283"/>
      <c r="K82" s="286"/>
      <c r="L82" s="286"/>
      <c r="M82" s="283"/>
      <c r="N82" s="283"/>
      <c r="O82" s="283"/>
      <c r="P82" s="223"/>
      <c r="Q82" s="283"/>
      <c r="R82" s="223"/>
      <c r="S82" s="223"/>
      <c r="T82" s="223"/>
      <c r="U82" s="223"/>
      <c r="V82" s="223"/>
      <c r="W82" s="223"/>
      <c r="X82" s="223"/>
      <c r="Y82" s="223"/>
      <c r="Z82" s="223"/>
      <c r="AA82" s="223"/>
      <c r="AB82" s="223"/>
      <c r="AC82" s="223"/>
      <c r="AD82" s="223"/>
    </row>
    <row r="83" spans="1:30" ht="23.25" customHeight="1">
      <c r="A83" s="223"/>
      <c r="B83" s="223"/>
      <c r="C83" s="283"/>
      <c r="D83" s="223"/>
      <c r="E83" s="223"/>
      <c r="F83" s="284"/>
      <c r="G83" s="285"/>
      <c r="H83" s="283"/>
      <c r="I83" s="283"/>
      <c r="J83" s="283"/>
      <c r="K83" s="286"/>
      <c r="L83" s="286"/>
      <c r="M83" s="283"/>
      <c r="N83" s="283"/>
      <c r="O83" s="283"/>
      <c r="P83" s="223"/>
      <c r="Q83" s="283"/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</row>
    <row r="84" spans="1:30" ht="23.25" customHeight="1">
      <c r="A84" s="223"/>
      <c r="B84" s="223"/>
      <c r="C84" s="283"/>
      <c r="D84" s="223"/>
      <c r="E84" s="223"/>
      <c r="F84" s="284"/>
      <c r="G84" s="285"/>
      <c r="H84" s="283"/>
      <c r="I84" s="283"/>
      <c r="J84" s="283"/>
      <c r="K84" s="286"/>
      <c r="L84" s="286"/>
      <c r="M84" s="283"/>
      <c r="N84" s="283"/>
      <c r="O84" s="283"/>
      <c r="P84" s="223"/>
      <c r="Q84" s="283"/>
      <c r="R84" s="223"/>
      <c r="S84" s="223"/>
      <c r="T84" s="223"/>
      <c r="U84" s="223"/>
      <c r="V84" s="223"/>
      <c r="W84" s="223"/>
      <c r="X84" s="223"/>
      <c r="Y84" s="223"/>
      <c r="Z84" s="223"/>
      <c r="AA84" s="223"/>
      <c r="AB84" s="223"/>
      <c r="AC84" s="223"/>
      <c r="AD84" s="223"/>
    </row>
    <row r="85" spans="1:30" ht="23.25" customHeight="1">
      <c r="A85" s="223"/>
      <c r="B85" s="223"/>
      <c r="C85" s="283"/>
      <c r="D85" s="223"/>
      <c r="E85" s="223"/>
      <c r="F85" s="284"/>
      <c r="G85" s="285"/>
      <c r="H85" s="283"/>
      <c r="I85" s="283"/>
      <c r="J85" s="283"/>
      <c r="K85" s="286"/>
      <c r="L85" s="286"/>
      <c r="M85" s="283"/>
      <c r="N85" s="283"/>
      <c r="O85" s="283"/>
      <c r="P85" s="223"/>
      <c r="Q85" s="283"/>
      <c r="R85" s="223"/>
      <c r="S85" s="223"/>
      <c r="T85" s="223"/>
      <c r="U85" s="223"/>
      <c r="V85" s="223"/>
      <c r="W85" s="223"/>
      <c r="X85" s="223"/>
      <c r="Y85" s="223"/>
      <c r="Z85" s="223"/>
      <c r="AA85" s="223"/>
      <c r="AB85" s="223"/>
      <c r="AC85" s="223"/>
      <c r="AD85" s="223"/>
    </row>
    <row r="86" spans="1:30" ht="23.25" customHeight="1">
      <c r="A86" s="223"/>
      <c r="B86" s="223"/>
      <c r="C86" s="283"/>
      <c r="D86" s="223"/>
      <c r="E86" s="223"/>
      <c r="F86" s="284"/>
      <c r="G86" s="285"/>
      <c r="H86" s="283"/>
      <c r="I86" s="283"/>
      <c r="J86" s="283"/>
      <c r="K86" s="286"/>
      <c r="L86" s="286"/>
      <c r="M86" s="283"/>
      <c r="N86" s="283"/>
      <c r="O86" s="283"/>
      <c r="P86" s="223"/>
      <c r="Q86" s="28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</row>
    <row r="87" spans="1:30" ht="23.25" customHeight="1">
      <c r="A87" s="223"/>
      <c r="B87" s="223"/>
      <c r="C87" s="283"/>
      <c r="D87" s="223"/>
      <c r="E87" s="223"/>
      <c r="F87" s="284"/>
      <c r="G87" s="285"/>
      <c r="H87" s="283"/>
      <c r="I87" s="283"/>
      <c r="J87" s="283"/>
      <c r="K87" s="286"/>
      <c r="L87" s="286"/>
      <c r="M87" s="283"/>
      <c r="N87" s="283"/>
      <c r="O87" s="283"/>
      <c r="P87" s="223"/>
      <c r="Q87" s="28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</row>
    <row r="88" spans="1:30" ht="23.25" customHeight="1">
      <c r="A88" s="223"/>
      <c r="B88" s="223"/>
      <c r="C88" s="283"/>
      <c r="D88" s="223"/>
      <c r="E88" s="223"/>
      <c r="F88" s="284"/>
      <c r="G88" s="285"/>
      <c r="H88" s="283"/>
      <c r="I88" s="283"/>
      <c r="J88" s="283"/>
      <c r="K88" s="286"/>
      <c r="L88" s="286"/>
      <c r="M88" s="283"/>
      <c r="N88" s="283"/>
      <c r="O88" s="283"/>
      <c r="P88" s="223"/>
      <c r="Q88" s="283"/>
      <c r="R88" s="223"/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</row>
    <row r="89" spans="1:30" ht="23.25" customHeight="1">
      <c r="A89" s="223"/>
      <c r="B89" s="223"/>
      <c r="C89" s="283"/>
      <c r="D89" s="223"/>
      <c r="E89" s="223"/>
      <c r="F89" s="284"/>
      <c r="G89" s="285"/>
      <c r="H89" s="283"/>
      <c r="I89" s="283"/>
      <c r="J89" s="283"/>
      <c r="K89" s="286"/>
      <c r="L89" s="286"/>
      <c r="M89" s="283"/>
      <c r="N89" s="283"/>
      <c r="O89" s="283"/>
      <c r="P89" s="223"/>
      <c r="Q89" s="283"/>
      <c r="R89" s="223"/>
      <c r="S89" s="223"/>
      <c r="T89" s="223"/>
      <c r="U89" s="223"/>
      <c r="V89" s="223"/>
      <c r="W89" s="223"/>
      <c r="X89" s="223"/>
      <c r="Y89" s="223"/>
      <c r="Z89" s="223"/>
      <c r="AA89" s="223"/>
      <c r="AB89" s="223"/>
      <c r="AC89" s="223"/>
      <c r="AD89" s="223"/>
    </row>
    <row r="90" spans="1:30" ht="23.25" customHeight="1">
      <c r="A90" s="223"/>
      <c r="B90" s="223"/>
      <c r="C90" s="283"/>
      <c r="D90" s="223"/>
      <c r="E90" s="223"/>
      <c r="F90" s="284"/>
      <c r="G90" s="285"/>
      <c r="H90" s="283"/>
      <c r="I90" s="283"/>
      <c r="J90" s="283"/>
      <c r="K90" s="286"/>
      <c r="L90" s="286"/>
      <c r="M90" s="283"/>
      <c r="N90" s="283"/>
      <c r="O90" s="283"/>
      <c r="P90" s="223"/>
      <c r="Q90" s="283"/>
      <c r="R90" s="223"/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3"/>
    </row>
    <row r="91" spans="1:30" ht="23.25" customHeight="1">
      <c r="A91" s="223"/>
      <c r="B91" s="223"/>
      <c r="C91" s="283"/>
      <c r="D91" s="223"/>
      <c r="E91" s="223"/>
      <c r="F91" s="284"/>
      <c r="G91" s="285"/>
      <c r="H91" s="283"/>
      <c r="I91" s="283"/>
      <c r="J91" s="283"/>
      <c r="K91" s="286"/>
      <c r="L91" s="286"/>
      <c r="M91" s="283"/>
      <c r="N91" s="283"/>
      <c r="O91" s="283"/>
      <c r="P91" s="223"/>
      <c r="Q91" s="283"/>
      <c r="R91" s="223"/>
      <c r="S91" s="223"/>
      <c r="T91" s="223"/>
      <c r="U91" s="223"/>
      <c r="V91" s="223"/>
      <c r="W91" s="223"/>
      <c r="X91" s="223"/>
      <c r="Y91" s="223"/>
      <c r="Z91" s="223"/>
      <c r="AA91" s="223"/>
      <c r="AB91" s="223"/>
      <c r="AC91" s="223"/>
      <c r="AD91" s="223"/>
    </row>
    <row r="92" spans="1:30" ht="23.25" customHeight="1">
      <c r="A92" s="223"/>
      <c r="B92" s="223"/>
      <c r="C92" s="283"/>
      <c r="D92" s="223"/>
      <c r="E92" s="223"/>
      <c r="F92" s="284"/>
      <c r="G92" s="285"/>
      <c r="H92" s="283"/>
      <c r="I92" s="283"/>
      <c r="J92" s="283"/>
      <c r="K92" s="286"/>
      <c r="L92" s="286"/>
      <c r="M92" s="283"/>
      <c r="N92" s="283"/>
      <c r="O92" s="283"/>
      <c r="P92" s="223"/>
      <c r="Q92" s="283"/>
      <c r="R92" s="223"/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3"/>
    </row>
    <row r="93" spans="1:30" ht="23.25" customHeight="1">
      <c r="A93" s="223"/>
      <c r="B93" s="223"/>
      <c r="C93" s="283"/>
      <c r="D93" s="223"/>
      <c r="E93" s="223"/>
      <c r="F93" s="284"/>
      <c r="G93" s="285"/>
      <c r="H93" s="283"/>
      <c r="I93" s="283"/>
      <c r="J93" s="283"/>
      <c r="K93" s="286"/>
      <c r="L93" s="286"/>
      <c r="M93" s="283"/>
      <c r="N93" s="283"/>
      <c r="O93" s="283"/>
      <c r="P93" s="223"/>
      <c r="Q93" s="283"/>
      <c r="R93" s="223"/>
      <c r="S93" s="223"/>
      <c r="T93" s="223"/>
      <c r="U93" s="223"/>
      <c r="V93" s="223"/>
      <c r="W93" s="223"/>
      <c r="X93" s="223"/>
      <c r="Y93" s="223"/>
      <c r="Z93" s="223"/>
      <c r="AA93" s="223"/>
      <c r="AB93" s="223"/>
      <c r="AC93" s="223"/>
      <c r="AD93" s="223"/>
    </row>
    <row r="94" spans="1:30" ht="23.25" customHeight="1">
      <c r="A94" s="223"/>
      <c r="B94" s="223"/>
      <c r="C94" s="283"/>
      <c r="D94" s="223"/>
      <c r="E94" s="223"/>
      <c r="F94" s="284"/>
      <c r="G94" s="285"/>
      <c r="H94" s="283"/>
      <c r="I94" s="283"/>
      <c r="J94" s="283"/>
      <c r="K94" s="286"/>
      <c r="L94" s="286"/>
      <c r="M94" s="283"/>
      <c r="N94" s="283"/>
      <c r="O94" s="283"/>
      <c r="P94" s="223"/>
      <c r="Q94" s="283"/>
      <c r="R94" s="223"/>
      <c r="S94" s="223"/>
      <c r="T94" s="223"/>
      <c r="U94" s="223"/>
      <c r="V94" s="223"/>
      <c r="W94" s="223"/>
      <c r="X94" s="223"/>
      <c r="Y94" s="223"/>
      <c r="Z94" s="223"/>
      <c r="AA94" s="223"/>
      <c r="AB94" s="223"/>
      <c r="AC94" s="223"/>
      <c r="AD94" s="223"/>
    </row>
    <row r="95" spans="1:30" ht="23.25" customHeight="1">
      <c r="A95" s="223"/>
      <c r="B95" s="223"/>
      <c r="C95" s="283"/>
      <c r="D95" s="223"/>
      <c r="E95" s="223"/>
      <c r="F95" s="284"/>
      <c r="G95" s="285"/>
      <c r="H95" s="283"/>
      <c r="I95" s="283"/>
      <c r="J95" s="283"/>
      <c r="K95" s="286"/>
      <c r="L95" s="286"/>
      <c r="M95" s="283"/>
      <c r="N95" s="283"/>
      <c r="O95" s="283"/>
      <c r="P95" s="223"/>
      <c r="Q95" s="283"/>
      <c r="R95" s="223"/>
      <c r="S95" s="223"/>
      <c r="T95" s="223"/>
      <c r="U95" s="223"/>
      <c r="V95" s="223"/>
      <c r="W95" s="223"/>
      <c r="X95" s="223"/>
      <c r="Y95" s="223"/>
      <c r="Z95" s="223"/>
      <c r="AA95" s="223"/>
      <c r="AB95" s="223"/>
      <c r="AC95" s="223"/>
      <c r="AD95" s="223"/>
    </row>
    <row r="96" spans="1:30" ht="23.25" customHeight="1">
      <c r="A96" s="223"/>
      <c r="B96" s="223"/>
      <c r="C96" s="283"/>
      <c r="D96" s="223"/>
      <c r="E96" s="223"/>
      <c r="F96" s="284"/>
      <c r="G96" s="285"/>
      <c r="H96" s="283"/>
      <c r="I96" s="283"/>
      <c r="J96" s="283"/>
      <c r="K96" s="286"/>
      <c r="L96" s="286"/>
      <c r="M96" s="283"/>
      <c r="N96" s="283"/>
      <c r="O96" s="283"/>
      <c r="P96" s="223"/>
      <c r="Q96" s="28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</row>
    <row r="97" spans="1:30" ht="23.25" customHeight="1">
      <c r="A97" s="223"/>
      <c r="B97" s="223"/>
      <c r="C97" s="283"/>
      <c r="D97" s="223"/>
      <c r="E97" s="223"/>
      <c r="F97" s="284"/>
      <c r="G97" s="285"/>
      <c r="H97" s="283"/>
      <c r="I97" s="283"/>
      <c r="J97" s="283"/>
      <c r="K97" s="286"/>
      <c r="L97" s="286"/>
      <c r="M97" s="283"/>
      <c r="N97" s="283"/>
      <c r="O97" s="283"/>
      <c r="P97" s="223"/>
      <c r="Q97" s="283"/>
      <c r="R97" s="223"/>
      <c r="S97" s="223"/>
      <c r="T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</row>
    <row r="98" spans="1:30" ht="23.25" customHeight="1">
      <c r="A98" s="223"/>
      <c r="B98" s="223"/>
      <c r="C98" s="283"/>
      <c r="D98" s="223"/>
      <c r="E98" s="223"/>
      <c r="F98" s="284"/>
      <c r="G98" s="285"/>
      <c r="H98" s="283"/>
      <c r="I98" s="283"/>
      <c r="J98" s="283"/>
      <c r="K98" s="286"/>
      <c r="L98" s="286"/>
      <c r="M98" s="283"/>
      <c r="N98" s="283"/>
      <c r="O98" s="283"/>
      <c r="P98" s="223"/>
      <c r="Q98" s="283"/>
      <c r="R98" s="223"/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</row>
    <row r="99" spans="1:30" ht="23.25" customHeight="1">
      <c r="A99" s="223"/>
      <c r="B99" s="223"/>
      <c r="C99" s="283"/>
      <c r="D99" s="223"/>
      <c r="E99" s="223"/>
      <c r="F99" s="284"/>
      <c r="G99" s="285"/>
      <c r="H99" s="283"/>
      <c r="I99" s="283"/>
      <c r="J99" s="283"/>
      <c r="K99" s="286"/>
      <c r="L99" s="286"/>
      <c r="M99" s="283"/>
      <c r="N99" s="283"/>
      <c r="O99" s="283"/>
      <c r="P99" s="223"/>
      <c r="Q99" s="283"/>
      <c r="R99" s="223"/>
      <c r="S99" s="223"/>
      <c r="T99" s="223"/>
      <c r="U99" s="223"/>
      <c r="V99" s="223"/>
      <c r="W99" s="223"/>
      <c r="X99" s="223"/>
      <c r="Y99" s="223"/>
      <c r="Z99" s="223"/>
      <c r="AA99" s="223"/>
      <c r="AB99" s="223"/>
      <c r="AC99" s="223"/>
      <c r="AD99" s="223"/>
    </row>
    <row r="100" spans="1:30" ht="23.25" customHeight="1">
      <c r="A100" s="223"/>
      <c r="B100" s="223"/>
      <c r="C100" s="283"/>
      <c r="D100" s="223"/>
      <c r="E100" s="223"/>
      <c r="F100" s="284"/>
      <c r="G100" s="285"/>
      <c r="H100" s="283"/>
      <c r="I100" s="283"/>
      <c r="J100" s="283"/>
      <c r="K100" s="286"/>
      <c r="L100" s="286"/>
      <c r="M100" s="283"/>
      <c r="N100" s="283"/>
      <c r="O100" s="283"/>
      <c r="P100" s="223"/>
      <c r="Q100" s="28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</row>
    <row r="101" spans="1:30" ht="23.25" customHeight="1">
      <c r="A101" s="223"/>
      <c r="B101" s="223"/>
      <c r="C101" s="283"/>
      <c r="D101" s="223"/>
      <c r="E101" s="223"/>
      <c r="F101" s="284"/>
      <c r="G101" s="285"/>
      <c r="H101" s="283"/>
      <c r="I101" s="283"/>
      <c r="J101" s="283"/>
      <c r="K101" s="286"/>
      <c r="L101" s="286"/>
      <c r="M101" s="283"/>
      <c r="N101" s="283"/>
      <c r="O101" s="283"/>
      <c r="P101" s="223"/>
      <c r="Q101" s="283"/>
      <c r="R101" s="223"/>
      <c r="S101" s="223"/>
      <c r="T101" s="223"/>
      <c r="U101" s="223"/>
      <c r="V101" s="223"/>
      <c r="W101" s="223"/>
      <c r="X101" s="223"/>
      <c r="Y101" s="223"/>
      <c r="Z101" s="223"/>
      <c r="AA101" s="223"/>
      <c r="AB101" s="223"/>
      <c r="AC101" s="223"/>
      <c r="AD101" s="223"/>
    </row>
    <row r="102" spans="1:30" ht="23.25" customHeight="1">
      <c r="A102" s="223"/>
      <c r="B102" s="223"/>
      <c r="C102" s="283"/>
      <c r="D102" s="223"/>
      <c r="E102" s="223"/>
      <c r="F102" s="284"/>
      <c r="G102" s="285"/>
      <c r="H102" s="283"/>
      <c r="I102" s="283"/>
      <c r="J102" s="283"/>
      <c r="K102" s="286"/>
      <c r="L102" s="286"/>
      <c r="M102" s="283"/>
      <c r="N102" s="283"/>
      <c r="O102" s="283"/>
      <c r="P102" s="223"/>
      <c r="Q102" s="283"/>
      <c r="R102" s="223"/>
      <c r="S102" s="223"/>
      <c r="T102" s="223"/>
      <c r="U102" s="223"/>
      <c r="V102" s="223"/>
      <c r="W102" s="223"/>
      <c r="X102" s="223"/>
      <c r="Y102" s="223"/>
      <c r="Z102" s="223"/>
      <c r="AA102" s="223"/>
      <c r="AB102" s="223"/>
      <c r="AC102" s="223"/>
      <c r="AD102" s="223"/>
    </row>
    <row r="103" spans="1:30" ht="23.25" customHeight="1">
      <c r="A103" s="223"/>
      <c r="B103" s="223"/>
      <c r="C103" s="283"/>
      <c r="D103" s="223"/>
      <c r="E103" s="223"/>
      <c r="F103" s="284"/>
      <c r="G103" s="285"/>
      <c r="H103" s="283"/>
      <c r="I103" s="283"/>
      <c r="J103" s="283"/>
      <c r="K103" s="286"/>
      <c r="L103" s="286"/>
      <c r="M103" s="283"/>
      <c r="N103" s="283"/>
      <c r="O103" s="283"/>
      <c r="P103" s="223"/>
      <c r="Q103" s="283"/>
      <c r="R103" s="223"/>
      <c r="S103" s="223"/>
      <c r="T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23"/>
    </row>
    <row r="104" spans="1:30" ht="23.25" customHeight="1">
      <c r="A104" s="223"/>
      <c r="B104" s="223"/>
      <c r="C104" s="283"/>
      <c r="D104" s="223"/>
      <c r="E104" s="223"/>
      <c r="F104" s="284"/>
      <c r="G104" s="285"/>
      <c r="H104" s="283"/>
      <c r="I104" s="283"/>
      <c r="J104" s="283"/>
      <c r="K104" s="286"/>
      <c r="L104" s="286"/>
      <c r="M104" s="283"/>
      <c r="N104" s="283"/>
      <c r="O104" s="283"/>
      <c r="P104" s="223"/>
      <c r="Q104" s="283"/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</row>
    <row r="105" spans="1:30" ht="23.25" customHeight="1">
      <c r="A105" s="223"/>
      <c r="B105" s="223"/>
      <c r="C105" s="283"/>
      <c r="D105" s="223"/>
      <c r="E105" s="223"/>
      <c r="F105" s="284"/>
      <c r="G105" s="285"/>
      <c r="H105" s="283"/>
      <c r="I105" s="283"/>
      <c r="J105" s="283"/>
      <c r="K105" s="286"/>
      <c r="L105" s="286"/>
      <c r="M105" s="283"/>
      <c r="N105" s="283"/>
      <c r="O105" s="283"/>
      <c r="P105" s="223"/>
      <c r="Q105" s="283"/>
      <c r="R105" s="223"/>
      <c r="S105" s="223"/>
      <c r="T105" s="223"/>
      <c r="U105" s="223"/>
      <c r="V105" s="223"/>
      <c r="W105" s="223"/>
      <c r="X105" s="223"/>
      <c r="Y105" s="223"/>
      <c r="Z105" s="223"/>
      <c r="AA105" s="223"/>
      <c r="AB105" s="223"/>
      <c r="AC105" s="223"/>
      <c r="AD105" s="223"/>
    </row>
    <row r="106" spans="1:30" ht="23.25" customHeight="1">
      <c r="A106" s="223"/>
      <c r="B106" s="223"/>
      <c r="C106" s="283"/>
      <c r="D106" s="223"/>
      <c r="E106" s="223"/>
      <c r="F106" s="284"/>
      <c r="G106" s="285"/>
      <c r="H106" s="283"/>
      <c r="I106" s="283"/>
      <c r="J106" s="283"/>
      <c r="K106" s="286"/>
      <c r="L106" s="286"/>
      <c r="M106" s="283"/>
      <c r="N106" s="283"/>
      <c r="O106" s="283"/>
      <c r="P106" s="223"/>
      <c r="Q106" s="283"/>
      <c r="R106" s="223"/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3"/>
    </row>
    <row r="107" spans="1:30" ht="23.25" customHeight="1">
      <c r="A107" s="223"/>
      <c r="B107" s="223"/>
      <c r="C107" s="283"/>
      <c r="D107" s="223"/>
      <c r="E107" s="223"/>
      <c r="F107" s="284"/>
      <c r="G107" s="285"/>
      <c r="H107" s="283"/>
      <c r="I107" s="283"/>
      <c r="J107" s="283"/>
      <c r="K107" s="286"/>
      <c r="L107" s="286"/>
      <c r="M107" s="283"/>
      <c r="N107" s="283"/>
      <c r="O107" s="283"/>
      <c r="P107" s="223"/>
      <c r="Q107" s="28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</row>
    <row r="108" spans="1:30" ht="23.25" customHeight="1">
      <c r="A108" s="223"/>
      <c r="B108" s="223"/>
      <c r="C108" s="283"/>
      <c r="D108" s="223"/>
      <c r="E108" s="223"/>
      <c r="F108" s="284"/>
      <c r="G108" s="285"/>
      <c r="H108" s="283"/>
      <c r="I108" s="283"/>
      <c r="J108" s="283"/>
      <c r="K108" s="286"/>
      <c r="L108" s="286"/>
      <c r="M108" s="283"/>
      <c r="N108" s="283"/>
      <c r="O108" s="283"/>
      <c r="P108" s="223"/>
      <c r="Q108" s="28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</row>
    <row r="109" spans="1:30" ht="23.25" customHeight="1">
      <c r="A109" s="223"/>
      <c r="B109" s="223"/>
      <c r="C109" s="283"/>
      <c r="D109" s="223"/>
      <c r="E109" s="223"/>
      <c r="F109" s="284"/>
      <c r="G109" s="285"/>
      <c r="H109" s="283"/>
      <c r="I109" s="283"/>
      <c r="J109" s="283"/>
      <c r="K109" s="286"/>
      <c r="L109" s="286"/>
      <c r="M109" s="283"/>
      <c r="N109" s="283"/>
      <c r="O109" s="283"/>
      <c r="P109" s="223"/>
      <c r="Q109" s="283"/>
      <c r="R109" s="223"/>
      <c r="S109" s="223"/>
      <c r="T109" s="223"/>
      <c r="U109" s="223"/>
      <c r="V109" s="223"/>
      <c r="W109" s="223"/>
      <c r="X109" s="223"/>
      <c r="Y109" s="223"/>
      <c r="Z109" s="223"/>
      <c r="AA109" s="223"/>
      <c r="AB109" s="223"/>
      <c r="AC109" s="223"/>
      <c r="AD109" s="223"/>
    </row>
    <row r="110" spans="1:30" ht="23.25" customHeight="1">
      <c r="A110" s="223"/>
      <c r="B110" s="223"/>
      <c r="C110" s="283"/>
      <c r="D110" s="223"/>
      <c r="E110" s="223"/>
      <c r="F110" s="284"/>
      <c r="G110" s="285"/>
      <c r="H110" s="283"/>
      <c r="I110" s="283"/>
      <c r="J110" s="283"/>
      <c r="K110" s="286"/>
      <c r="L110" s="286"/>
      <c r="M110" s="283"/>
      <c r="N110" s="283"/>
      <c r="O110" s="283"/>
      <c r="P110" s="223"/>
      <c r="Q110" s="283"/>
      <c r="R110" s="223"/>
      <c r="S110" s="223"/>
      <c r="T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23"/>
    </row>
    <row r="111" spans="1:30" ht="23.25" customHeight="1">
      <c r="A111" s="223"/>
      <c r="B111" s="223"/>
      <c r="C111" s="283"/>
      <c r="D111" s="223"/>
      <c r="E111" s="223"/>
      <c r="F111" s="284"/>
      <c r="G111" s="285"/>
      <c r="H111" s="283"/>
      <c r="I111" s="283"/>
      <c r="J111" s="283"/>
      <c r="K111" s="286"/>
      <c r="L111" s="286"/>
      <c r="M111" s="283"/>
      <c r="N111" s="283"/>
      <c r="O111" s="283"/>
      <c r="P111" s="223"/>
      <c r="Q111" s="28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</row>
    <row r="112" spans="1:30" ht="23.25" customHeight="1">
      <c r="A112" s="223"/>
      <c r="B112" s="223"/>
      <c r="C112" s="283"/>
      <c r="D112" s="223"/>
      <c r="E112" s="223"/>
      <c r="F112" s="284"/>
      <c r="G112" s="285"/>
      <c r="H112" s="283"/>
      <c r="I112" s="283"/>
      <c r="J112" s="283"/>
      <c r="K112" s="286"/>
      <c r="L112" s="286"/>
      <c r="M112" s="283"/>
      <c r="N112" s="283"/>
      <c r="O112" s="283"/>
      <c r="P112" s="223"/>
      <c r="Q112" s="283"/>
      <c r="R112" s="223"/>
      <c r="S112" s="223"/>
      <c r="T112" s="223"/>
      <c r="U112" s="223"/>
      <c r="V112" s="223"/>
      <c r="W112" s="223"/>
      <c r="X112" s="223"/>
      <c r="Y112" s="223"/>
      <c r="Z112" s="223"/>
      <c r="AA112" s="223"/>
      <c r="AB112" s="223"/>
      <c r="AC112" s="223"/>
      <c r="AD112" s="223"/>
    </row>
    <row r="113" spans="1:30" ht="23.25" customHeight="1">
      <c r="A113" s="223"/>
      <c r="B113" s="223"/>
      <c r="C113" s="283"/>
      <c r="D113" s="223"/>
      <c r="E113" s="223"/>
      <c r="F113" s="284"/>
      <c r="G113" s="285"/>
      <c r="H113" s="283"/>
      <c r="I113" s="283"/>
      <c r="J113" s="283"/>
      <c r="K113" s="286"/>
      <c r="L113" s="286"/>
      <c r="M113" s="283"/>
      <c r="N113" s="283"/>
      <c r="O113" s="283"/>
      <c r="P113" s="223"/>
      <c r="Q113" s="283"/>
      <c r="R113" s="223"/>
      <c r="S113" s="223"/>
      <c r="T113" s="223"/>
      <c r="U113" s="223"/>
      <c r="V113" s="223"/>
      <c r="W113" s="223"/>
      <c r="X113" s="223"/>
      <c r="Y113" s="223"/>
      <c r="Z113" s="223"/>
      <c r="AA113" s="223"/>
      <c r="AB113" s="223"/>
      <c r="AC113" s="223"/>
      <c r="AD113" s="223"/>
    </row>
    <row r="114" spans="1:30" ht="23.25" customHeight="1">
      <c r="A114" s="223"/>
      <c r="B114" s="223"/>
      <c r="C114" s="283"/>
      <c r="D114" s="223"/>
      <c r="E114" s="223"/>
      <c r="F114" s="284"/>
      <c r="G114" s="285"/>
      <c r="H114" s="283"/>
      <c r="I114" s="283"/>
      <c r="J114" s="283"/>
      <c r="K114" s="286"/>
      <c r="L114" s="286"/>
      <c r="M114" s="283"/>
      <c r="N114" s="283"/>
      <c r="O114" s="283"/>
      <c r="P114" s="223"/>
      <c r="Q114" s="283"/>
      <c r="R114" s="223"/>
      <c r="S114" s="223"/>
      <c r="T114" s="223"/>
      <c r="U114" s="223"/>
      <c r="V114" s="223"/>
      <c r="W114" s="223"/>
      <c r="X114" s="223"/>
      <c r="Y114" s="223"/>
      <c r="Z114" s="223"/>
      <c r="AA114" s="223"/>
      <c r="AB114" s="223"/>
      <c r="AC114" s="223"/>
      <c r="AD114" s="223"/>
    </row>
    <row r="115" spans="1:30" ht="23.25" customHeight="1">
      <c r="A115" s="223"/>
      <c r="B115" s="223"/>
      <c r="C115" s="283"/>
      <c r="D115" s="223"/>
      <c r="E115" s="223"/>
      <c r="F115" s="284"/>
      <c r="G115" s="285"/>
      <c r="H115" s="283"/>
      <c r="I115" s="283"/>
      <c r="J115" s="283"/>
      <c r="K115" s="286"/>
      <c r="L115" s="286"/>
      <c r="M115" s="283"/>
      <c r="N115" s="283"/>
      <c r="O115" s="283"/>
      <c r="P115" s="223"/>
      <c r="Q115" s="283"/>
      <c r="R115" s="223"/>
      <c r="S115" s="223"/>
      <c r="T115" s="223"/>
      <c r="U115" s="223"/>
      <c r="V115" s="223"/>
      <c r="W115" s="223"/>
      <c r="X115" s="223"/>
      <c r="Y115" s="223"/>
      <c r="Z115" s="223"/>
      <c r="AA115" s="223"/>
      <c r="AB115" s="223"/>
      <c r="AC115" s="223"/>
      <c r="AD115" s="223"/>
    </row>
    <row r="116" spans="1:30" ht="23.25" customHeight="1">
      <c r="A116" s="223"/>
      <c r="B116" s="223"/>
      <c r="C116" s="283"/>
      <c r="D116" s="223"/>
      <c r="E116" s="223"/>
      <c r="F116" s="284"/>
      <c r="G116" s="285"/>
      <c r="H116" s="283"/>
      <c r="I116" s="283"/>
      <c r="J116" s="283"/>
      <c r="K116" s="286"/>
      <c r="L116" s="286"/>
      <c r="M116" s="283"/>
      <c r="N116" s="283"/>
      <c r="O116" s="283"/>
      <c r="P116" s="223"/>
      <c r="Q116" s="283"/>
      <c r="R116" s="223"/>
      <c r="S116" s="223"/>
      <c r="T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23"/>
    </row>
    <row r="117" spans="1:30" ht="23.25" customHeight="1">
      <c r="A117" s="223"/>
      <c r="B117" s="223"/>
      <c r="C117" s="283"/>
      <c r="D117" s="223"/>
      <c r="E117" s="223"/>
      <c r="F117" s="284"/>
      <c r="G117" s="285"/>
      <c r="H117" s="283"/>
      <c r="I117" s="283"/>
      <c r="J117" s="283"/>
      <c r="K117" s="286"/>
      <c r="L117" s="286"/>
      <c r="M117" s="283"/>
      <c r="N117" s="283"/>
      <c r="O117" s="283"/>
      <c r="P117" s="223"/>
      <c r="Q117" s="283"/>
      <c r="R117" s="223"/>
      <c r="S117" s="223"/>
      <c r="T117" s="223"/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23"/>
    </row>
    <row r="118" spans="1:30" ht="23.25" customHeight="1">
      <c r="A118" s="223"/>
      <c r="B118" s="223"/>
      <c r="C118" s="283"/>
      <c r="D118" s="223"/>
      <c r="E118" s="223"/>
      <c r="F118" s="284"/>
      <c r="G118" s="285"/>
      <c r="H118" s="283"/>
      <c r="I118" s="283"/>
      <c r="J118" s="283"/>
      <c r="K118" s="286"/>
      <c r="L118" s="286"/>
      <c r="M118" s="283"/>
      <c r="N118" s="283"/>
      <c r="O118" s="283"/>
      <c r="P118" s="223"/>
      <c r="Q118" s="283"/>
      <c r="R118" s="223"/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</row>
    <row r="119" spans="1:30" ht="23.25" customHeight="1">
      <c r="A119" s="223"/>
      <c r="B119" s="223"/>
      <c r="C119" s="283"/>
      <c r="D119" s="223"/>
      <c r="E119" s="223"/>
      <c r="F119" s="284"/>
      <c r="G119" s="285"/>
      <c r="H119" s="283"/>
      <c r="I119" s="283"/>
      <c r="J119" s="283"/>
      <c r="K119" s="286"/>
      <c r="L119" s="286"/>
      <c r="M119" s="283"/>
      <c r="N119" s="283"/>
      <c r="O119" s="283"/>
      <c r="P119" s="223"/>
      <c r="Q119" s="283"/>
      <c r="R119" s="223"/>
      <c r="S119" s="223"/>
      <c r="T119" s="223"/>
      <c r="U119" s="223"/>
      <c r="V119" s="223"/>
      <c r="W119" s="223"/>
      <c r="X119" s="223"/>
      <c r="Y119" s="223"/>
      <c r="Z119" s="223"/>
      <c r="AA119" s="223"/>
      <c r="AB119" s="223"/>
      <c r="AC119" s="223"/>
      <c r="AD119" s="223"/>
    </row>
    <row r="120" spans="1:30" ht="23.25" customHeight="1">
      <c r="A120" s="223"/>
      <c r="B120" s="223"/>
      <c r="C120" s="283"/>
      <c r="D120" s="223"/>
      <c r="E120" s="223"/>
      <c r="F120" s="284"/>
      <c r="G120" s="285"/>
      <c r="H120" s="283"/>
      <c r="I120" s="283"/>
      <c r="J120" s="283"/>
      <c r="K120" s="286"/>
      <c r="L120" s="286"/>
      <c r="M120" s="283"/>
      <c r="N120" s="283"/>
      <c r="O120" s="283"/>
      <c r="P120" s="223"/>
      <c r="Q120" s="283"/>
      <c r="R120" s="223"/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</row>
    <row r="121" spans="1:30" ht="23.25" customHeight="1">
      <c r="A121" s="223"/>
      <c r="B121" s="223"/>
      <c r="C121" s="283"/>
      <c r="D121" s="223"/>
      <c r="E121" s="223"/>
      <c r="F121" s="284"/>
      <c r="G121" s="285"/>
      <c r="H121" s="283"/>
      <c r="I121" s="283"/>
      <c r="J121" s="283"/>
      <c r="K121" s="286"/>
      <c r="L121" s="286"/>
      <c r="M121" s="283"/>
      <c r="N121" s="283"/>
      <c r="O121" s="283"/>
      <c r="P121" s="223"/>
      <c r="Q121" s="283"/>
      <c r="R121" s="223"/>
      <c r="S121" s="223"/>
      <c r="T121" s="223"/>
      <c r="U121" s="223"/>
      <c r="V121" s="223"/>
      <c r="W121" s="223"/>
      <c r="X121" s="223"/>
      <c r="Y121" s="223"/>
      <c r="Z121" s="223"/>
      <c r="AA121" s="223"/>
      <c r="AB121" s="223"/>
      <c r="AC121" s="223"/>
      <c r="AD121" s="223"/>
    </row>
    <row r="122" spans="1:30" ht="23.25" customHeight="1">
      <c r="A122" s="223"/>
      <c r="B122" s="223"/>
      <c r="C122" s="283"/>
      <c r="D122" s="223"/>
      <c r="E122" s="223"/>
      <c r="F122" s="284"/>
      <c r="G122" s="285"/>
      <c r="H122" s="283"/>
      <c r="I122" s="283"/>
      <c r="J122" s="283"/>
      <c r="K122" s="286"/>
      <c r="L122" s="286"/>
      <c r="M122" s="283"/>
      <c r="N122" s="283"/>
      <c r="O122" s="283"/>
      <c r="P122" s="223"/>
      <c r="Q122" s="28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</row>
    <row r="123" spans="1:30" ht="23.25" customHeight="1">
      <c r="A123" s="223"/>
      <c r="B123" s="223"/>
      <c r="C123" s="283"/>
      <c r="D123" s="223"/>
      <c r="E123" s="223"/>
      <c r="F123" s="284"/>
      <c r="G123" s="285"/>
      <c r="H123" s="283"/>
      <c r="I123" s="283"/>
      <c r="J123" s="283"/>
      <c r="K123" s="286"/>
      <c r="L123" s="286"/>
      <c r="M123" s="283"/>
      <c r="N123" s="283"/>
      <c r="O123" s="283"/>
      <c r="P123" s="223"/>
      <c r="Q123" s="28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223"/>
    </row>
    <row r="124" spans="1:30" ht="23.25" customHeight="1">
      <c r="A124" s="223"/>
      <c r="B124" s="223"/>
      <c r="C124" s="283"/>
      <c r="D124" s="223"/>
      <c r="E124" s="223"/>
      <c r="F124" s="284"/>
      <c r="G124" s="285"/>
      <c r="H124" s="283"/>
      <c r="I124" s="283"/>
      <c r="J124" s="283"/>
      <c r="K124" s="286"/>
      <c r="L124" s="286"/>
      <c r="M124" s="283"/>
      <c r="N124" s="283"/>
      <c r="O124" s="283"/>
      <c r="P124" s="223"/>
      <c r="Q124" s="283"/>
      <c r="R124" s="223"/>
      <c r="S124" s="223"/>
      <c r="T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</row>
    <row r="125" spans="1:30" ht="23.25" customHeight="1">
      <c r="A125" s="223"/>
      <c r="B125" s="223"/>
      <c r="C125" s="283"/>
      <c r="D125" s="223"/>
      <c r="E125" s="223"/>
      <c r="F125" s="284"/>
      <c r="G125" s="285"/>
      <c r="H125" s="283"/>
      <c r="I125" s="283"/>
      <c r="J125" s="283"/>
      <c r="K125" s="286"/>
      <c r="L125" s="286"/>
      <c r="M125" s="283"/>
      <c r="N125" s="283"/>
      <c r="O125" s="283"/>
      <c r="P125" s="223"/>
      <c r="Q125" s="283"/>
      <c r="R125" s="223"/>
      <c r="S125" s="223"/>
      <c r="T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23"/>
    </row>
    <row r="126" spans="1:30" ht="23.25" customHeight="1">
      <c r="A126" s="223"/>
      <c r="B126" s="223"/>
      <c r="C126" s="283"/>
      <c r="D126" s="223"/>
      <c r="E126" s="223"/>
      <c r="F126" s="284"/>
      <c r="G126" s="285"/>
      <c r="H126" s="283"/>
      <c r="I126" s="283"/>
      <c r="J126" s="283"/>
      <c r="K126" s="286"/>
      <c r="L126" s="286"/>
      <c r="M126" s="283"/>
      <c r="N126" s="283"/>
      <c r="O126" s="283"/>
      <c r="P126" s="223"/>
      <c r="Q126" s="283"/>
      <c r="R126" s="223"/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</row>
    <row r="127" spans="1:30" ht="23.25" customHeight="1">
      <c r="A127" s="223"/>
      <c r="B127" s="223"/>
      <c r="C127" s="283"/>
      <c r="D127" s="223"/>
      <c r="E127" s="223"/>
      <c r="F127" s="284"/>
      <c r="G127" s="285"/>
      <c r="H127" s="283"/>
      <c r="I127" s="283"/>
      <c r="J127" s="283"/>
      <c r="K127" s="286"/>
      <c r="L127" s="286"/>
      <c r="M127" s="283"/>
      <c r="N127" s="283"/>
      <c r="O127" s="283"/>
      <c r="P127" s="223"/>
      <c r="Q127" s="283"/>
      <c r="R127" s="223"/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</row>
    <row r="128" spans="1:30" ht="23.25" customHeight="1">
      <c r="A128" s="223"/>
      <c r="B128" s="223"/>
      <c r="C128" s="283"/>
      <c r="D128" s="223"/>
      <c r="E128" s="223"/>
      <c r="F128" s="284"/>
      <c r="G128" s="285"/>
      <c r="H128" s="283"/>
      <c r="I128" s="283"/>
      <c r="J128" s="283"/>
      <c r="K128" s="286"/>
      <c r="L128" s="286"/>
      <c r="M128" s="283"/>
      <c r="N128" s="283"/>
      <c r="O128" s="283"/>
      <c r="P128" s="223"/>
      <c r="Q128" s="283"/>
      <c r="R128" s="223"/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</row>
    <row r="129" spans="1:30" ht="23.25" customHeight="1">
      <c r="A129" s="223"/>
      <c r="B129" s="223"/>
      <c r="C129" s="283"/>
      <c r="D129" s="223"/>
      <c r="E129" s="223"/>
      <c r="F129" s="284"/>
      <c r="G129" s="285"/>
      <c r="H129" s="283"/>
      <c r="I129" s="283"/>
      <c r="J129" s="283"/>
      <c r="K129" s="286"/>
      <c r="L129" s="286"/>
      <c r="M129" s="283"/>
      <c r="N129" s="283"/>
      <c r="O129" s="283"/>
      <c r="P129" s="223"/>
      <c r="Q129" s="283"/>
      <c r="R129" s="223"/>
      <c r="S129" s="223"/>
      <c r="T129" s="223"/>
      <c r="U129" s="223"/>
      <c r="V129" s="223"/>
      <c r="W129" s="223"/>
      <c r="X129" s="223"/>
      <c r="Y129" s="223"/>
      <c r="Z129" s="223"/>
      <c r="AA129" s="223"/>
      <c r="AB129" s="223"/>
      <c r="AC129" s="223"/>
      <c r="AD129" s="223"/>
    </row>
    <row r="130" spans="1:30" ht="23.25" customHeight="1">
      <c r="A130" s="223"/>
      <c r="B130" s="223"/>
      <c r="C130" s="283"/>
      <c r="D130" s="223"/>
      <c r="E130" s="223"/>
      <c r="F130" s="284"/>
      <c r="G130" s="285"/>
      <c r="H130" s="283"/>
      <c r="I130" s="283"/>
      <c r="J130" s="283"/>
      <c r="K130" s="286"/>
      <c r="L130" s="286"/>
      <c r="M130" s="283"/>
      <c r="N130" s="283"/>
      <c r="O130" s="283"/>
      <c r="P130" s="223"/>
      <c r="Q130" s="283"/>
      <c r="R130" s="223"/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</row>
    <row r="131" spans="1:30" ht="23.25" customHeight="1">
      <c r="A131" s="223"/>
      <c r="B131" s="223"/>
      <c r="C131" s="283"/>
      <c r="D131" s="223"/>
      <c r="E131" s="223"/>
      <c r="F131" s="284"/>
      <c r="G131" s="285"/>
      <c r="H131" s="283"/>
      <c r="I131" s="283"/>
      <c r="J131" s="283"/>
      <c r="K131" s="286"/>
      <c r="L131" s="286"/>
      <c r="M131" s="283"/>
      <c r="N131" s="283"/>
      <c r="O131" s="283"/>
      <c r="P131" s="223"/>
      <c r="Q131" s="283"/>
      <c r="R131" s="223"/>
      <c r="S131" s="223"/>
      <c r="T131" s="223"/>
      <c r="U131" s="223"/>
      <c r="V131" s="223"/>
      <c r="W131" s="223"/>
      <c r="X131" s="223"/>
      <c r="Y131" s="223"/>
      <c r="Z131" s="223"/>
      <c r="AA131" s="223"/>
      <c r="AB131" s="223"/>
      <c r="AC131" s="223"/>
      <c r="AD131" s="223"/>
    </row>
    <row r="132" spans="1:30" ht="23.25" customHeight="1">
      <c r="A132" s="223"/>
      <c r="B132" s="223"/>
      <c r="C132" s="283"/>
      <c r="D132" s="223"/>
      <c r="E132" s="223"/>
      <c r="F132" s="284"/>
      <c r="G132" s="285"/>
      <c r="H132" s="283"/>
      <c r="I132" s="283"/>
      <c r="J132" s="283"/>
      <c r="K132" s="286"/>
      <c r="L132" s="286"/>
      <c r="M132" s="283"/>
      <c r="N132" s="283"/>
      <c r="O132" s="283"/>
      <c r="P132" s="223"/>
      <c r="Q132" s="283"/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</row>
    <row r="133" spans="1:30" ht="23.25" customHeight="1">
      <c r="A133" s="223"/>
      <c r="B133" s="223"/>
      <c r="C133" s="283"/>
      <c r="D133" s="223"/>
      <c r="E133" s="223"/>
      <c r="F133" s="284"/>
      <c r="G133" s="285"/>
      <c r="H133" s="283"/>
      <c r="I133" s="283"/>
      <c r="J133" s="283"/>
      <c r="K133" s="286"/>
      <c r="L133" s="286"/>
      <c r="M133" s="283"/>
      <c r="N133" s="283"/>
      <c r="O133" s="283"/>
      <c r="P133" s="223"/>
      <c r="Q133" s="283"/>
      <c r="R133" s="223"/>
      <c r="S133" s="223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23"/>
    </row>
    <row r="134" spans="1:30" ht="23.25" customHeight="1">
      <c r="A134" s="223"/>
      <c r="B134" s="223"/>
      <c r="C134" s="283"/>
      <c r="D134" s="223"/>
      <c r="E134" s="223"/>
      <c r="F134" s="284"/>
      <c r="G134" s="285"/>
      <c r="H134" s="283"/>
      <c r="I134" s="283"/>
      <c r="J134" s="283"/>
      <c r="K134" s="286"/>
      <c r="L134" s="286"/>
      <c r="M134" s="283"/>
      <c r="N134" s="283"/>
      <c r="O134" s="283"/>
      <c r="P134" s="223"/>
      <c r="Q134" s="283"/>
      <c r="R134" s="223"/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3"/>
    </row>
    <row r="135" spans="1:30" ht="23.25" customHeight="1">
      <c r="A135" s="223"/>
      <c r="B135" s="223"/>
      <c r="C135" s="283"/>
      <c r="D135" s="223"/>
      <c r="E135" s="223"/>
      <c r="F135" s="284"/>
      <c r="G135" s="285"/>
      <c r="H135" s="283"/>
      <c r="I135" s="283"/>
      <c r="J135" s="283"/>
      <c r="K135" s="286"/>
      <c r="L135" s="286"/>
      <c r="M135" s="283"/>
      <c r="N135" s="283"/>
      <c r="O135" s="283"/>
      <c r="P135" s="223"/>
      <c r="Q135" s="283"/>
      <c r="R135" s="223"/>
      <c r="S135" s="223"/>
      <c r="T135" s="223"/>
      <c r="U135" s="223"/>
      <c r="V135" s="223"/>
      <c r="W135" s="223"/>
      <c r="X135" s="223"/>
      <c r="Y135" s="223"/>
      <c r="Z135" s="223"/>
      <c r="AA135" s="223"/>
      <c r="AB135" s="223"/>
      <c r="AC135" s="223"/>
      <c r="AD135" s="223"/>
    </row>
    <row r="136" spans="1:30" ht="23.25" customHeight="1">
      <c r="A136" s="223"/>
      <c r="B136" s="223"/>
      <c r="C136" s="283"/>
      <c r="D136" s="223"/>
      <c r="E136" s="223"/>
      <c r="F136" s="284"/>
      <c r="G136" s="285"/>
      <c r="H136" s="283"/>
      <c r="I136" s="283"/>
      <c r="J136" s="283"/>
      <c r="K136" s="286"/>
      <c r="L136" s="286"/>
      <c r="M136" s="283"/>
      <c r="N136" s="283"/>
      <c r="O136" s="283"/>
      <c r="P136" s="223"/>
      <c r="Q136" s="28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</row>
    <row r="137" spans="1:30" ht="23.25" customHeight="1">
      <c r="A137" s="223"/>
      <c r="B137" s="223"/>
      <c r="C137" s="283"/>
      <c r="D137" s="223"/>
      <c r="E137" s="223"/>
      <c r="F137" s="284"/>
      <c r="G137" s="285"/>
      <c r="H137" s="283"/>
      <c r="I137" s="283"/>
      <c r="J137" s="283"/>
      <c r="K137" s="286"/>
      <c r="L137" s="286"/>
      <c r="M137" s="283"/>
      <c r="N137" s="283"/>
      <c r="O137" s="283"/>
      <c r="P137" s="223"/>
      <c r="Q137" s="283"/>
      <c r="R137" s="223"/>
      <c r="S137" s="223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23"/>
    </row>
    <row r="138" spans="1:30" ht="23.25" customHeight="1">
      <c r="A138" s="223"/>
      <c r="B138" s="223"/>
      <c r="C138" s="283"/>
      <c r="D138" s="223"/>
      <c r="E138" s="223"/>
      <c r="F138" s="284"/>
      <c r="G138" s="285"/>
      <c r="H138" s="283"/>
      <c r="I138" s="283"/>
      <c r="J138" s="283"/>
      <c r="K138" s="286"/>
      <c r="L138" s="286"/>
      <c r="M138" s="283"/>
      <c r="N138" s="283"/>
      <c r="O138" s="283"/>
      <c r="P138" s="223"/>
      <c r="Q138" s="283"/>
      <c r="R138" s="223"/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</row>
    <row r="139" spans="1:30" ht="23.25" customHeight="1">
      <c r="A139" s="223"/>
      <c r="B139" s="223"/>
      <c r="C139" s="283"/>
      <c r="D139" s="223"/>
      <c r="E139" s="223"/>
      <c r="F139" s="284"/>
      <c r="G139" s="285"/>
      <c r="H139" s="283"/>
      <c r="I139" s="283"/>
      <c r="J139" s="283"/>
      <c r="K139" s="286"/>
      <c r="L139" s="286"/>
      <c r="M139" s="283"/>
      <c r="N139" s="283"/>
      <c r="O139" s="283"/>
      <c r="P139" s="223"/>
      <c r="Q139" s="283"/>
      <c r="R139" s="223"/>
      <c r="S139" s="223"/>
      <c r="T139" s="223"/>
      <c r="U139" s="223"/>
      <c r="V139" s="223"/>
      <c r="W139" s="223"/>
      <c r="X139" s="223"/>
      <c r="Y139" s="223"/>
      <c r="Z139" s="223"/>
      <c r="AA139" s="223"/>
      <c r="AB139" s="223"/>
      <c r="AC139" s="223"/>
      <c r="AD139" s="223"/>
    </row>
    <row r="140" spans="1:30" ht="23.25" customHeight="1">
      <c r="A140" s="223"/>
      <c r="B140" s="223"/>
      <c r="C140" s="283"/>
      <c r="D140" s="223"/>
      <c r="E140" s="223"/>
      <c r="F140" s="284"/>
      <c r="G140" s="285"/>
      <c r="H140" s="283"/>
      <c r="I140" s="283"/>
      <c r="J140" s="283"/>
      <c r="K140" s="286"/>
      <c r="L140" s="286"/>
      <c r="M140" s="283"/>
      <c r="N140" s="283"/>
      <c r="O140" s="283"/>
      <c r="P140" s="223"/>
      <c r="Q140" s="28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</row>
    <row r="141" spans="1:30" ht="23.25" customHeight="1">
      <c r="A141" s="223"/>
      <c r="B141" s="223"/>
      <c r="C141" s="283"/>
      <c r="D141" s="223"/>
      <c r="E141" s="223"/>
      <c r="F141" s="284"/>
      <c r="G141" s="285"/>
      <c r="H141" s="283"/>
      <c r="I141" s="283"/>
      <c r="J141" s="283"/>
      <c r="K141" s="286"/>
      <c r="L141" s="286"/>
      <c r="M141" s="283"/>
      <c r="N141" s="283"/>
      <c r="O141" s="283"/>
      <c r="P141" s="223"/>
      <c r="Q141" s="283"/>
      <c r="R141" s="223"/>
      <c r="S141" s="223"/>
      <c r="T141" s="223"/>
      <c r="U141" s="223"/>
      <c r="V141" s="223"/>
      <c r="W141" s="223"/>
      <c r="X141" s="223"/>
      <c r="Y141" s="223"/>
      <c r="Z141" s="223"/>
      <c r="AA141" s="223"/>
      <c r="AB141" s="223"/>
      <c r="AC141" s="223"/>
      <c r="AD141" s="223"/>
    </row>
    <row r="142" spans="1:30" ht="23.25" customHeight="1">
      <c r="A142" s="223"/>
      <c r="B142" s="223"/>
      <c r="C142" s="283"/>
      <c r="D142" s="223"/>
      <c r="E142" s="223"/>
      <c r="F142" s="284"/>
      <c r="G142" s="285"/>
      <c r="H142" s="283"/>
      <c r="I142" s="283"/>
      <c r="J142" s="283"/>
      <c r="K142" s="286"/>
      <c r="L142" s="286"/>
      <c r="M142" s="283"/>
      <c r="N142" s="283"/>
      <c r="O142" s="283"/>
      <c r="P142" s="223"/>
      <c r="Q142" s="283"/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23"/>
    </row>
    <row r="143" spans="1:30" ht="23.25" customHeight="1">
      <c r="A143" s="223"/>
      <c r="B143" s="223"/>
      <c r="C143" s="283"/>
      <c r="D143" s="223"/>
      <c r="E143" s="223"/>
      <c r="F143" s="284"/>
      <c r="G143" s="285"/>
      <c r="H143" s="283"/>
      <c r="I143" s="283"/>
      <c r="J143" s="283"/>
      <c r="K143" s="286"/>
      <c r="L143" s="286"/>
      <c r="M143" s="283"/>
      <c r="N143" s="283"/>
      <c r="O143" s="283"/>
      <c r="P143" s="223"/>
      <c r="Q143" s="283"/>
      <c r="R143" s="223"/>
      <c r="S143" s="223"/>
      <c r="T143" s="223"/>
      <c r="U143" s="223"/>
      <c r="V143" s="223"/>
      <c r="W143" s="223"/>
      <c r="X143" s="223"/>
      <c r="Y143" s="223"/>
      <c r="Z143" s="223"/>
      <c r="AA143" s="223"/>
      <c r="AB143" s="223"/>
      <c r="AC143" s="223"/>
      <c r="AD143" s="223"/>
    </row>
    <row r="144" spans="1:30" ht="23.25" customHeight="1">
      <c r="A144" s="223"/>
      <c r="B144" s="223"/>
      <c r="C144" s="283"/>
      <c r="D144" s="223"/>
      <c r="E144" s="223"/>
      <c r="F144" s="284"/>
      <c r="G144" s="285"/>
      <c r="H144" s="283"/>
      <c r="I144" s="283"/>
      <c r="J144" s="283"/>
      <c r="K144" s="286"/>
      <c r="L144" s="286"/>
      <c r="M144" s="283"/>
      <c r="N144" s="283"/>
      <c r="O144" s="283"/>
      <c r="P144" s="223"/>
      <c r="Q144" s="28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23"/>
    </row>
    <row r="145" spans="1:30" ht="23.25" customHeight="1">
      <c r="A145" s="223"/>
      <c r="B145" s="223"/>
      <c r="C145" s="283"/>
      <c r="D145" s="223"/>
      <c r="E145" s="223"/>
      <c r="F145" s="284"/>
      <c r="G145" s="285"/>
      <c r="H145" s="283"/>
      <c r="I145" s="283"/>
      <c r="J145" s="283"/>
      <c r="K145" s="286"/>
      <c r="L145" s="286"/>
      <c r="M145" s="283"/>
      <c r="N145" s="283"/>
      <c r="O145" s="283"/>
      <c r="P145" s="223"/>
      <c r="Q145" s="283"/>
      <c r="R145" s="223"/>
      <c r="S145" s="223"/>
      <c r="T145" s="223"/>
      <c r="U145" s="223"/>
      <c r="V145" s="223"/>
      <c r="W145" s="223"/>
      <c r="X145" s="223"/>
      <c r="Y145" s="223"/>
      <c r="Z145" s="223"/>
      <c r="AA145" s="223"/>
      <c r="AB145" s="223"/>
      <c r="AC145" s="223"/>
      <c r="AD145" s="223"/>
    </row>
    <row r="146" spans="1:30" ht="23.25" customHeight="1">
      <c r="A146" s="223"/>
      <c r="B146" s="223"/>
      <c r="C146" s="283"/>
      <c r="D146" s="223"/>
      <c r="E146" s="223"/>
      <c r="F146" s="284"/>
      <c r="G146" s="285"/>
      <c r="H146" s="283"/>
      <c r="I146" s="283"/>
      <c r="J146" s="283"/>
      <c r="K146" s="286"/>
      <c r="L146" s="286"/>
      <c r="M146" s="283"/>
      <c r="N146" s="283"/>
      <c r="O146" s="283"/>
      <c r="P146" s="223"/>
      <c r="Q146" s="28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3"/>
    </row>
    <row r="147" spans="1:30" ht="23.25" customHeight="1">
      <c r="A147" s="223"/>
      <c r="B147" s="223"/>
      <c r="C147" s="283"/>
      <c r="D147" s="223"/>
      <c r="E147" s="223"/>
      <c r="F147" s="284"/>
      <c r="G147" s="285"/>
      <c r="H147" s="283"/>
      <c r="I147" s="283"/>
      <c r="J147" s="283"/>
      <c r="K147" s="286"/>
      <c r="L147" s="286"/>
      <c r="M147" s="283"/>
      <c r="N147" s="283"/>
      <c r="O147" s="283"/>
      <c r="P147" s="223"/>
      <c r="Q147" s="283"/>
      <c r="R147" s="223"/>
      <c r="S147" s="223"/>
      <c r="T147" s="223"/>
      <c r="U147" s="223"/>
      <c r="V147" s="223"/>
      <c r="W147" s="223"/>
      <c r="X147" s="223"/>
      <c r="Y147" s="223"/>
      <c r="Z147" s="223"/>
      <c r="AA147" s="223"/>
      <c r="AB147" s="223"/>
      <c r="AC147" s="223"/>
      <c r="AD147" s="223"/>
    </row>
    <row r="148" spans="1:30" ht="23.25" customHeight="1">
      <c r="A148" s="223"/>
      <c r="B148" s="223"/>
      <c r="C148" s="283"/>
      <c r="D148" s="223"/>
      <c r="E148" s="223"/>
      <c r="F148" s="284"/>
      <c r="G148" s="285"/>
      <c r="H148" s="283"/>
      <c r="I148" s="283"/>
      <c r="J148" s="283"/>
      <c r="K148" s="286"/>
      <c r="L148" s="286"/>
      <c r="M148" s="283"/>
      <c r="N148" s="283"/>
      <c r="O148" s="283"/>
      <c r="P148" s="223"/>
      <c r="Q148" s="283"/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23"/>
    </row>
    <row r="149" spans="1:30" ht="23.25" customHeight="1">
      <c r="A149" s="223"/>
      <c r="B149" s="223"/>
      <c r="C149" s="283"/>
      <c r="D149" s="223"/>
      <c r="E149" s="223"/>
      <c r="F149" s="284"/>
      <c r="G149" s="285"/>
      <c r="H149" s="283"/>
      <c r="I149" s="283"/>
      <c r="J149" s="283"/>
      <c r="K149" s="286"/>
      <c r="L149" s="286"/>
      <c r="M149" s="283"/>
      <c r="N149" s="283"/>
      <c r="O149" s="283"/>
      <c r="P149" s="223"/>
      <c r="Q149" s="283"/>
      <c r="R149" s="223"/>
      <c r="S149" s="223"/>
      <c r="T149" s="223"/>
      <c r="U149" s="223"/>
      <c r="V149" s="223"/>
      <c r="W149" s="223"/>
      <c r="X149" s="223"/>
      <c r="Y149" s="223"/>
      <c r="Z149" s="223"/>
      <c r="AA149" s="223"/>
      <c r="AB149" s="223"/>
      <c r="AC149" s="223"/>
      <c r="AD149" s="223"/>
    </row>
    <row r="150" spans="1:30" ht="23.25" customHeight="1">
      <c r="A150" s="223"/>
      <c r="B150" s="223"/>
      <c r="C150" s="283"/>
      <c r="D150" s="223"/>
      <c r="E150" s="223"/>
      <c r="F150" s="284"/>
      <c r="G150" s="285"/>
      <c r="H150" s="283"/>
      <c r="I150" s="283"/>
      <c r="J150" s="283"/>
      <c r="K150" s="286"/>
      <c r="L150" s="286"/>
      <c r="M150" s="283"/>
      <c r="N150" s="283"/>
      <c r="O150" s="283"/>
      <c r="P150" s="223"/>
      <c r="Q150" s="283"/>
      <c r="R150" s="223"/>
      <c r="S150" s="223"/>
      <c r="T150" s="223"/>
      <c r="U150" s="223"/>
      <c r="V150" s="223"/>
      <c r="W150" s="223"/>
      <c r="X150" s="223"/>
      <c r="Y150" s="223"/>
      <c r="Z150" s="223"/>
      <c r="AA150" s="223"/>
      <c r="AB150" s="223"/>
      <c r="AC150" s="223"/>
      <c r="AD150" s="223"/>
    </row>
    <row r="151" spans="1:30" ht="23.25" customHeight="1">
      <c r="A151" s="223"/>
      <c r="B151" s="223"/>
      <c r="C151" s="283"/>
      <c r="D151" s="223"/>
      <c r="E151" s="223"/>
      <c r="F151" s="284"/>
      <c r="G151" s="285"/>
      <c r="H151" s="283"/>
      <c r="I151" s="283"/>
      <c r="J151" s="283"/>
      <c r="K151" s="286"/>
      <c r="L151" s="286"/>
      <c r="M151" s="283"/>
      <c r="N151" s="283"/>
      <c r="O151" s="283"/>
      <c r="P151" s="223"/>
      <c r="Q151" s="283"/>
      <c r="R151" s="223"/>
      <c r="S151" s="223"/>
      <c r="T151" s="223"/>
      <c r="U151" s="223"/>
      <c r="V151" s="223"/>
      <c r="W151" s="223"/>
      <c r="X151" s="223"/>
      <c r="Y151" s="223"/>
      <c r="Z151" s="223"/>
      <c r="AA151" s="223"/>
      <c r="AB151" s="223"/>
      <c r="AC151" s="223"/>
      <c r="AD151" s="223"/>
    </row>
    <row r="152" spans="1:30" ht="23.25" customHeight="1">
      <c r="A152" s="223"/>
      <c r="B152" s="223"/>
      <c r="C152" s="283"/>
      <c r="D152" s="223"/>
      <c r="E152" s="223"/>
      <c r="F152" s="284"/>
      <c r="G152" s="285"/>
      <c r="H152" s="283"/>
      <c r="I152" s="283"/>
      <c r="J152" s="283"/>
      <c r="K152" s="286"/>
      <c r="L152" s="286"/>
      <c r="M152" s="283"/>
      <c r="N152" s="283"/>
      <c r="O152" s="283"/>
      <c r="P152" s="223"/>
      <c r="Q152" s="283"/>
      <c r="R152" s="223"/>
      <c r="S152" s="223"/>
      <c r="T152" s="223"/>
      <c r="U152" s="223"/>
      <c r="V152" s="223"/>
      <c r="W152" s="223"/>
      <c r="X152" s="223"/>
      <c r="Y152" s="223"/>
      <c r="Z152" s="223"/>
      <c r="AA152" s="223"/>
      <c r="AB152" s="223"/>
      <c r="AC152" s="223"/>
      <c r="AD152" s="223"/>
    </row>
    <row r="153" spans="1:30" ht="23.25" customHeight="1">
      <c r="A153" s="223"/>
      <c r="B153" s="223"/>
      <c r="C153" s="283"/>
      <c r="D153" s="223"/>
      <c r="E153" s="223"/>
      <c r="F153" s="284"/>
      <c r="G153" s="285"/>
      <c r="H153" s="283"/>
      <c r="I153" s="283"/>
      <c r="J153" s="283"/>
      <c r="K153" s="286"/>
      <c r="L153" s="286"/>
      <c r="M153" s="283"/>
      <c r="N153" s="283"/>
      <c r="O153" s="283"/>
      <c r="P153" s="223"/>
      <c r="Q153" s="283"/>
      <c r="R153" s="223"/>
      <c r="S153" s="223"/>
      <c r="T153" s="223"/>
      <c r="U153" s="223"/>
      <c r="V153" s="223"/>
      <c r="W153" s="223"/>
      <c r="X153" s="223"/>
      <c r="Y153" s="223"/>
      <c r="Z153" s="223"/>
      <c r="AA153" s="223"/>
      <c r="AB153" s="223"/>
      <c r="AC153" s="223"/>
      <c r="AD153" s="223"/>
    </row>
    <row r="154" spans="1:30" ht="23.25" customHeight="1">
      <c r="A154" s="223"/>
      <c r="B154" s="223"/>
      <c r="C154" s="283"/>
      <c r="D154" s="223"/>
      <c r="E154" s="223"/>
      <c r="F154" s="284"/>
      <c r="G154" s="285"/>
      <c r="H154" s="283"/>
      <c r="I154" s="283"/>
      <c r="J154" s="283"/>
      <c r="K154" s="286"/>
      <c r="L154" s="286"/>
      <c r="M154" s="283"/>
      <c r="N154" s="283"/>
      <c r="O154" s="283"/>
      <c r="P154" s="223"/>
      <c r="Q154" s="283"/>
      <c r="R154" s="223"/>
      <c r="S154" s="223"/>
      <c r="T154" s="223"/>
      <c r="U154" s="223"/>
      <c r="V154" s="223"/>
      <c r="W154" s="223"/>
      <c r="X154" s="223"/>
      <c r="Y154" s="223"/>
      <c r="Z154" s="223"/>
      <c r="AA154" s="223"/>
      <c r="AB154" s="223"/>
      <c r="AC154" s="223"/>
      <c r="AD154" s="223"/>
    </row>
    <row r="155" spans="1:30" ht="23.25" customHeight="1">
      <c r="A155" s="223"/>
      <c r="B155" s="223"/>
      <c r="C155" s="283"/>
      <c r="D155" s="223"/>
      <c r="E155" s="223"/>
      <c r="F155" s="284"/>
      <c r="G155" s="285"/>
      <c r="H155" s="283"/>
      <c r="I155" s="283"/>
      <c r="J155" s="283"/>
      <c r="K155" s="286"/>
      <c r="L155" s="286"/>
      <c r="M155" s="283"/>
      <c r="N155" s="283"/>
      <c r="O155" s="283"/>
      <c r="P155" s="223"/>
      <c r="Q155" s="283"/>
      <c r="R155" s="223"/>
      <c r="S155" s="223"/>
      <c r="T155" s="223"/>
      <c r="U155" s="223"/>
      <c r="V155" s="223"/>
      <c r="W155" s="223"/>
      <c r="X155" s="223"/>
      <c r="Y155" s="223"/>
      <c r="Z155" s="223"/>
      <c r="AA155" s="223"/>
      <c r="AB155" s="223"/>
      <c r="AC155" s="223"/>
      <c r="AD155" s="223"/>
    </row>
    <row r="156" spans="1:30" ht="23.25" customHeight="1">
      <c r="A156" s="223"/>
      <c r="B156" s="223"/>
      <c r="C156" s="283"/>
      <c r="D156" s="223"/>
      <c r="E156" s="223"/>
      <c r="F156" s="284"/>
      <c r="G156" s="285"/>
      <c r="H156" s="283"/>
      <c r="I156" s="283"/>
      <c r="J156" s="283"/>
      <c r="K156" s="286"/>
      <c r="L156" s="286"/>
      <c r="M156" s="283"/>
      <c r="N156" s="283"/>
      <c r="O156" s="283"/>
      <c r="P156" s="223"/>
      <c r="Q156" s="283"/>
      <c r="R156" s="223"/>
      <c r="S156" s="223"/>
      <c r="T156" s="223"/>
      <c r="U156" s="223"/>
      <c r="V156" s="223"/>
      <c r="W156" s="223"/>
      <c r="X156" s="223"/>
      <c r="Y156" s="223"/>
      <c r="Z156" s="223"/>
      <c r="AA156" s="223"/>
      <c r="AB156" s="223"/>
      <c r="AC156" s="223"/>
      <c r="AD156" s="223"/>
    </row>
    <row r="157" spans="1:30" ht="23.25" customHeight="1">
      <c r="A157" s="223"/>
      <c r="B157" s="223"/>
      <c r="C157" s="283"/>
      <c r="D157" s="223"/>
      <c r="E157" s="223"/>
      <c r="F157" s="284"/>
      <c r="G157" s="285"/>
      <c r="H157" s="283"/>
      <c r="I157" s="283"/>
      <c r="J157" s="283"/>
      <c r="K157" s="286"/>
      <c r="L157" s="286"/>
      <c r="M157" s="283"/>
      <c r="N157" s="283"/>
      <c r="O157" s="283"/>
      <c r="P157" s="223"/>
      <c r="Q157" s="283"/>
      <c r="R157" s="223"/>
      <c r="S157" s="223"/>
      <c r="T157" s="223"/>
      <c r="U157" s="223"/>
      <c r="V157" s="223"/>
      <c r="W157" s="223"/>
      <c r="X157" s="223"/>
      <c r="Y157" s="223"/>
      <c r="Z157" s="223"/>
      <c r="AA157" s="223"/>
      <c r="AB157" s="223"/>
      <c r="AC157" s="223"/>
      <c r="AD157" s="223"/>
    </row>
    <row r="158" spans="1:30" ht="23.25" customHeight="1">
      <c r="A158" s="223"/>
      <c r="B158" s="223"/>
      <c r="C158" s="283"/>
      <c r="D158" s="223"/>
      <c r="E158" s="223"/>
      <c r="F158" s="284"/>
      <c r="G158" s="285"/>
      <c r="H158" s="283"/>
      <c r="I158" s="283"/>
      <c r="J158" s="283"/>
      <c r="K158" s="286"/>
      <c r="L158" s="286"/>
      <c r="M158" s="283"/>
      <c r="N158" s="283"/>
      <c r="O158" s="283"/>
      <c r="P158" s="223"/>
      <c r="Q158" s="283"/>
      <c r="R158" s="223"/>
      <c r="S158" s="223"/>
      <c r="T158" s="223"/>
      <c r="U158" s="223"/>
      <c r="V158" s="223"/>
      <c r="W158" s="223"/>
      <c r="X158" s="223"/>
      <c r="Y158" s="223"/>
      <c r="Z158" s="223"/>
      <c r="AA158" s="223"/>
      <c r="AB158" s="223"/>
      <c r="AC158" s="223"/>
      <c r="AD158" s="223"/>
    </row>
    <row r="159" spans="1:30" ht="23.25" customHeight="1">
      <c r="A159" s="223"/>
      <c r="B159" s="223"/>
      <c r="C159" s="283"/>
      <c r="D159" s="223"/>
      <c r="E159" s="223"/>
      <c r="F159" s="284"/>
      <c r="G159" s="285"/>
      <c r="H159" s="283"/>
      <c r="I159" s="283"/>
      <c r="J159" s="283"/>
      <c r="K159" s="286"/>
      <c r="L159" s="286"/>
      <c r="M159" s="283"/>
      <c r="N159" s="283"/>
      <c r="O159" s="283"/>
      <c r="P159" s="223"/>
      <c r="Q159" s="283"/>
      <c r="R159" s="223"/>
      <c r="S159" s="223"/>
      <c r="T159" s="223"/>
      <c r="U159" s="223"/>
      <c r="V159" s="223"/>
      <c r="W159" s="223"/>
      <c r="X159" s="223"/>
      <c r="Y159" s="223"/>
      <c r="Z159" s="223"/>
      <c r="AA159" s="223"/>
      <c r="AB159" s="223"/>
      <c r="AC159" s="223"/>
      <c r="AD159" s="223"/>
    </row>
    <row r="160" spans="1:30" ht="23.25" customHeight="1">
      <c r="A160" s="223"/>
      <c r="B160" s="223"/>
      <c r="C160" s="283"/>
      <c r="D160" s="223"/>
      <c r="E160" s="223"/>
      <c r="F160" s="284"/>
      <c r="G160" s="285"/>
      <c r="H160" s="283"/>
      <c r="I160" s="283"/>
      <c r="J160" s="283"/>
      <c r="K160" s="286"/>
      <c r="L160" s="286"/>
      <c r="M160" s="283"/>
      <c r="N160" s="283"/>
      <c r="O160" s="283"/>
      <c r="P160" s="223"/>
      <c r="Q160" s="28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  <c r="AB160" s="223"/>
      <c r="AC160" s="223"/>
      <c r="AD160" s="223"/>
    </row>
    <row r="161" spans="1:30" ht="23.25" customHeight="1">
      <c r="A161" s="223"/>
      <c r="B161" s="223"/>
      <c r="C161" s="283"/>
      <c r="D161" s="223"/>
      <c r="E161" s="223"/>
      <c r="F161" s="284"/>
      <c r="G161" s="285"/>
      <c r="H161" s="283"/>
      <c r="I161" s="283"/>
      <c r="J161" s="283"/>
      <c r="K161" s="286"/>
      <c r="L161" s="286"/>
      <c r="M161" s="283"/>
      <c r="N161" s="283"/>
      <c r="O161" s="283"/>
      <c r="P161" s="223"/>
      <c r="Q161" s="283"/>
      <c r="R161" s="223"/>
      <c r="S161" s="223"/>
      <c r="T161" s="223"/>
      <c r="U161" s="223"/>
      <c r="V161" s="223"/>
      <c r="W161" s="223"/>
      <c r="X161" s="223"/>
      <c r="Y161" s="223"/>
      <c r="Z161" s="223"/>
      <c r="AA161" s="223"/>
      <c r="AB161" s="223"/>
      <c r="AC161" s="223"/>
      <c r="AD161" s="223"/>
    </row>
    <row r="162" spans="1:30" ht="23.25" customHeight="1">
      <c r="A162" s="223"/>
      <c r="B162" s="223"/>
      <c r="C162" s="283"/>
      <c r="D162" s="223"/>
      <c r="E162" s="223"/>
      <c r="F162" s="284"/>
      <c r="G162" s="285"/>
      <c r="H162" s="283"/>
      <c r="I162" s="283"/>
      <c r="J162" s="283"/>
      <c r="K162" s="286"/>
      <c r="L162" s="286"/>
      <c r="M162" s="283"/>
      <c r="N162" s="283"/>
      <c r="O162" s="283"/>
      <c r="P162" s="223"/>
      <c r="Q162" s="283"/>
      <c r="R162" s="223"/>
      <c r="S162" s="223"/>
      <c r="T162" s="223"/>
      <c r="U162" s="223"/>
      <c r="V162" s="223"/>
      <c r="W162" s="223"/>
      <c r="X162" s="223"/>
      <c r="Y162" s="223"/>
      <c r="Z162" s="223"/>
      <c r="AA162" s="223"/>
      <c r="AB162" s="223"/>
      <c r="AC162" s="223"/>
      <c r="AD162" s="223"/>
    </row>
    <row r="163" spans="1:30" ht="23.25" customHeight="1">
      <c r="A163" s="223"/>
      <c r="B163" s="223"/>
      <c r="C163" s="283"/>
      <c r="D163" s="223"/>
      <c r="E163" s="223"/>
      <c r="F163" s="284"/>
      <c r="G163" s="285"/>
      <c r="H163" s="283"/>
      <c r="I163" s="283"/>
      <c r="J163" s="283"/>
      <c r="K163" s="286"/>
      <c r="L163" s="286"/>
      <c r="M163" s="283"/>
      <c r="N163" s="283"/>
      <c r="O163" s="283"/>
      <c r="P163" s="223"/>
      <c r="Q163" s="283"/>
      <c r="R163" s="223"/>
      <c r="S163" s="223"/>
      <c r="T163" s="223"/>
      <c r="U163" s="223"/>
      <c r="V163" s="223"/>
      <c r="W163" s="223"/>
      <c r="X163" s="223"/>
      <c r="Y163" s="223"/>
      <c r="Z163" s="223"/>
      <c r="AA163" s="223"/>
      <c r="AB163" s="223"/>
      <c r="AC163" s="223"/>
      <c r="AD163" s="223"/>
    </row>
    <row r="164" spans="1:30" ht="23.25" customHeight="1">
      <c r="A164" s="223"/>
      <c r="B164" s="223"/>
      <c r="C164" s="283"/>
      <c r="D164" s="223"/>
      <c r="E164" s="223"/>
      <c r="F164" s="284"/>
      <c r="G164" s="285"/>
      <c r="H164" s="283"/>
      <c r="I164" s="283"/>
      <c r="J164" s="283"/>
      <c r="K164" s="286"/>
      <c r="L164" s="286"/>
      <c r="M164" s="283"/>
      <c r="N164" s="283"/>
      <c r="O164" s="283"/>
      <c r="P164" s="223"/>
      <c r="Q164" s="283"/>
      <c r="R164" s="223"/>
      <c r="S164" s="223"/>
      <c r="T164" s="223"/>
      <c r="U164" s="223"/>
      <c r="V164" s="223"/>
      <c r="W164" s="223"/>
      <c r="X164" s="223"/>
      <c r="Y164" s="223"/>
      <c r="Z164" s="223"/>
      <c r="AA164" s="223"/>
      <c r="AB164" s="223"/>
      <c r="AC164" s="223"/>
      <c r="AD164" s="223"/>
    </row>
    <row r="165" spans="1:30" ht="23.25" customHeight="1">
      <c r="A165" s="223"/>
      <c r="B165" s="223"/>
      <c r="C165" s="283"/>
      <c r="D165" s="223"/>
      <c r="E165" s="223"/>
      <c r="F165" s="284"/>
      <c r="G165" s="285"/>
      <c r="H165" s="283"/>
      <c r="I165" s="283"/>
      <c r="J165" s="283"/>
      <c r="K165" s="286"/>
      <c r="L165" s="286"/>
      <c r="M165" s="283"/>
      <c r="N165" s="283"/>
      <c r="O165" s="283"/>
      <c r="P165" s="223"/>
      <c r="Q165" s="283"/>
      <c r="R165" s="223"/>
      <c r="S165" s="223"/>
      <c r="T165" s="223"/>
      <c r="U165" s="223"/>
      <c r="V165" s="223"/>
      <c r="W165" s="223"/>
      <c r="X165" s="223"/>
      <c r="Y165" s="223"/>
      <c r="Z165" s="223"/>
      <c r="AA165" s="223"/>
      <c r="AB165" s="223"/>
      <c r="AC165" s="223"/>
      <c r="AD165" s="223"/>
    </row>
    <row r="166" spans="1:30" ht="23.25" customHeight="1">
      <c r="A166" s="223"/>
      <c r="B166" s="223"/>
      <c r="C166" s="283"/>
      <c r="D166" s="223"/>
      <c r="E166" s="223"/>
      <c r="F166" s="284"/>
      <c r="G166" s="285"/>
      <c r="H166" s="283"/>
      <c r="I166" s="283"/>
      <c r="J166" s="283"/>
      <c r="K166" s="286"/>
      <c r="L166" s="286"/>
      <c r="M166" s="283"/>
      <c r="N166" s="283"/>
      <c r="O166" s="283"/>
      <c r="P166" s="223"/>
      <c r="Q166" s="283"/>
      <c r="R166" s="223"/>
      <c r="S166" s="223"/>
      <c r="T166" s="223"/>
      <c r="U166" s="223"/>
      <c r="V166" s="223"/>
      <c r="W166" s="223"/>
      <c r="X166" s="223"/>
      <c r="Y166" s="223"/>
      <c r="Z166" s="223"/>
      <c r="AA166" s="223"/>
      <c r="AB166" s="223"/>
      <c r="AC166" s="223"/>
      <c r="AD166" s="223"/>
    </row>
    <row r="167" spans="1:30" ht="23.25" customHeight="1">
      <c r="A167" s="223"/>
      <c r="B167" s="223"/>
      <c r="C167" s="283"/>
      <c r="D167" s="223"/>
      <c r="E167" s="223"/>
      <c r="F167" s="284"/>
      <c r="G167" s="285"/>
      <c r="H167" s="283"/>
      <c r="I167" s="283"/>
      <c r="J167" s="283"/>
      <c r="K167" s="286"/>
      <c r="L167" s="286"/>
      <c r="M167" s="283"/>
      <c r="N167" s="283"/>
      <c r="O167" s="283"/>
      <c r="P167" s="223"/>
      <c r="Q167" s="283"/>
      <c r="R167" s="223"/>
      <c r="S167" s="223"/>
      <c r="T167" s="223"/>
      <c r="U167" s="223"/>
      <c r="V167" s="223"/>
      <c r="W167" s="223"/>
      <c r="X167" s="223"/>
      <c r="Y167" s="223"/>
      <c r="Z167" s="223"/>
      <c r="AA167" s="223"/>
      <c r="AB167" s="223"/>
      <c r="AC167" s="223"/>
      <c r="AD167" s="223"/>
    </row>
    <row r="168" spans="1:30" ht="23.25" customHeight="1">
      <c r="A168" s="223"/>
      <c r="B168" s="223"/>
      <c r="C168" s="283"/>
      <c r="D168" s="223"/>
      <c r="E168" s="223"/>
      <c r="F168" s="284"/>
      <c r="G168" s="285"/>
      <c r="H168" s="283"/>
      <c r="I168" s="283"/>
      <c r="J168" s="283"/>
      <c r="K168" s="286"/>
      <c r="L168" s="286"/>
      <c r="M168" s="283"/>
      <c r="N168" s="283"/>
      <c r="O168" s="283"/>
      <c r="P168" s="223"/>
      <c r="Q168" s="283"/>
      <c r="R168" s="223"/>
      <c r="S168" s="223"/>
      <c r="T168" s="223"/>
      <c r="U168" s="223"/>
      <c r="V168" s="223"/>
      <c r="W168" s="223"/>
      <c r="X168" s="223"/>
      <c r="Y168" s="223"/>
      <c r="Z168" s="223"/>
      <c r="AA168" s="223"/>
      <c r="AB168" s="223"/>
      <c r="AC168" s="223"/>
      <c r="AD168" s="223"/>
    </row>
    <row r="169" spans="1:30" ht="23.25" customHeight="1">
      <c r="A169" s="223"/>
      <c r="B169" s="223"/>
      <c r="C169" s="283"/>
      <c r="D169" s="223"/>
      <c r="E169" s="223"/>
      <c r="F169" s="284"/>
      <c r="G169" s="285"/>
      <c r="H169" s="283"/>
      <c r="I169" s="283"/>
      <c r="J169" s="283"/>
      <c r="K169" s="286"/>
      <c r="L169" s="286"/>
      <c r="M169" s="283"/>
      <c r="N169" s="283"/>
      <c r="O169" s="283"/>
      <c r="P169" s="223"/>
      <c r="Q169" s="283"/>
      <c r="R169" s="223"/>
      <c r="S169" s="223"/>
      <c r="T169" s="223"/>
      <c r="U169" s="223"/>
      <c r="V169" s="223"/>
      <c r="W169" s="223"/>
      <c r="X169" s="223"/>
      <c r="Y169" s="223"/>
      <c r="Z169" s="223"/>
      <c r="AA169" s="223"/>
      <c r="AB169" s="223"/>
      <c r="AC169" s="223"/>
      <c r="AD169" s="223"/>
    </row>
    <row r="170" spans="1:30" ht="23.25" customHeight="1">
      <c r="A170" s="223"/>
      <c r="B170" s="223"/>
      <c r="C170" s="283"/>
      <c r="D170" s="223"/>
      <c r="E170" s="223"/>
      <c r="F170" s="284"/>
      <c r="G170" s="285"/>
      <c r="H170" s="283"/>
      <c r="I170" s="283"/>
      <c r="J170" s="283"/>
      <c r="K170" s="286"/>
      <c r="L170" s="286"/>
      <c r="M170" s="283"/>
      <c r="N170" s="283"/>
      <c r="O170" s="283"/>
      <c r="P170" s="223"/>
      <c r="Q170" s="283"/>
      <c r="R170" s="223"/>
      <c r="S170" s="223"/>
      <c r="T170" s="223"/>
      <c r="U170" s="223"/>
      <c r="V170" s="223"/>
      <c r="W170" s="223"/>
      <c r="X170" s="223"/>
      <c r="Y170" s="223"/>
      <c r="Z170" s="223"/>
      <c r="AA170" s="223"/>
      <c r="AB170" s="223"/>
      <c r="AC170" s="223"/>
      <c r="AD170" s="223"/>
    </row>
    <row r="171" spans="1:30" ht="23.25" customHeight="1">
      <c r="A171" s="223"/>
      <c r="B171" s="223"/>
      <c r="C171" s="283"/>
      <c r="D171" s="223"/>
      <c r="E171" s="223"/>
      <c r="F171" s="284"/>
      <c r="G171" s="285"/>
      <c r="H171" s="283"/>
      <c r="I171" s="283"/>
      <c r="J171" s="283"/>
      <c r="K171" s="286"/>
      <c r="L171" s="286"/>
      <c r="M171" s="283"/>
      <c r="N171" s="283"/>
      <c r="O171" s="283"/>
      <c r="P171" s="223"/>
      <c r="Q171" s="283"/>
      <c r="R171" s="223"/>
      <c r="S171" s="223"/>
      <c r="T171" s="223"/>
      <c r="U171" s="223"/>
      <c r="V171" s="223"/>
      <c r="W171" s="223"/>
      <c r="X171" s="223"/>
      <c r="Y171" s="223"/>
      <c r="Z171" s="223"/>
      <c r="AA171" s="223"/>
      <c r="AB171" s="223"/>
      <c r="AC171" s="223"/>
      <c r="AD171" s="223"/>
    </row>
    <row r="172" spans="1:30" ht="23.25" customHeight="1">
      <c r="A172" s="223"/>
      <c r="B172" s="223"/>
      <c r="C172" s="283"/>
      <c r="D172" s="223"/>
      <c r="E172" s="223"/>
      <c r="F172" s="284"/>
      <c r="G172" s="285"/>
      <c r="H172" s="283"/>
      <c r="I172" s="283"/>
      <c r="J172" s="283"/>
      <c r="K172" s="286"/>
      <c r="L172" s="286"/>
      <c r="M172" s="283"/>
      <c r="N172" s="283"/>
      <c r="O172" s="283"/>
      <c r="P172" s="223"/>
      <c r="Q172" s="283"/>
      <c r="R172" s="223"/>
      <c r="S172" s="223"/>
      <c r="T172" s="223"/>
      <c r="U172" s="223"/>
      <c r="V172" s="223"/>
      <c r="W172" s="223"/>
      <c r="X172" s="223"/>
      <c r="Y172" s="223"/>
      <c r="Z172" s="223"/>
      <c r="AA172" s="223"/>
      <c r="AB172" s="223"/>
      <c r="AC172" s="223"/>
      <c r="AD172" s="223"/>
    </row>
    <row r="173" spans="1:30" ht="23.25" customHeight="1">
      <c r="A173" s="223"/>
      <c r="B173" s="223"/>
      <c r="C173" s="283"/>
      <c r="D173" s="223"/>
      <c r="E173" s="223"/>
      <c r="F173" s="284"/>
      <c r="G173" s="285"/>
      <c r="H173" s="283"/>
      <c r="I173" s="283"/>
      <c r="J173" s="283"/>
      <c r="K173" s="286"/>
      <c r="L173" s="286"/>
      <c r="M173" s="283"/>
      <c r="N173" s="283"/>
      <c r="O173" s="283"/>
      <c r="P173" s="223"/>
      <c r="Q173" s="283"/>
      <c r="R173" s="223"/>
      <c r="S173" s="223"/>
      <c r="T173" s="223"/>
      <c r="U173" s="223"/>
      <c r="V173" s="223"/>
      <c r="W173" s="223"/>
      <c r="X173" s="223"/>
      <c r="Y173" s="223"/>
      <c r="Z173" s="223"/>
      <c r="AA173" s="223"/>
      <c r="AB173" s="223"/>
      <c r="AC173" s="223"/>
      <c r="AD173" s="223"/>
    </row>
    <row r="174" spans="1:30" ht="23.25" customHeight="1">
      <c r="A174" s="223"/>
      <c r="B174" s="223"/>
      <c r="C174" s="283"/>
      <c r="D174" s="223"/>
      <c r="E174" s="223"/>
      <c r="F174" s="284"/>
      <c r="G174" s="285"/>
      <c r="H174" s="283"/>
      <c r="I174" s="283"/>
      <c r="J174" s="283"/>
      <c r="K174" s="286"/>
      <c r="L174" s="286"/>
      <c r="M174" s="283"/>
      <c r="N174" s="283"/>
      <c r="O174" s="283"/>
      <c r="P174" s="223"/>
      <c r="Q174" s="283"/>
      <c r="R174" s="223"/>
      <c r="S174" s="223"/>
      <c r="T174" s="223"/>
      <c r="U174" s="223"/>
      <c r="V174" s="223"/>
      <c r="W174" s="223"/>
      <c r="X174" s="223"/>
      <c r="Y174" s="223"/>
      <c r="Z174" s="223"/>
      <c r="AA174" s="223"/>
      <c r="AB174" s="223"/>
      <c r="AC174" s="223"/>
      <c r="AD174" s="223"/>
    </row>
    <row r="175" spans="1:30" ht="23.25" customHeight="1">
      <c r="A175" s="223"/>
      <c r="B175" s="223"/>
      <c r="C175" s="283"/>
      <c r="D175" s="223"/>
      <c r="E175" s="223"/>
      <c r="F175" s="284"/>
      <c r="G175" s="285"/>
      <c r="H175" s="283"/>
      <c r="I175" s="283"/>
      <c r="J175" s="283"/>
      <c r="K175" s="286"/>
      <c r="L175" s="286"/>
      <c r="M175" s="283"/>
      <c r="N175" s="283"/>
      <c r="O175" s="283"/>
      <c r="P175" s="223"/>
      <c r="Q175" s="283"/>
      <c r="R175" s="223"/>
      <c r="S175" s="223"/>
      <c r="T175" s="223"/>
      <c r="U175" s="223"/>
      <c r="V175" s="223"/>
      <c r="W175" s="223"/>
      <c r="X175" s="223"/>
      <c r="Y175" s="223"/>
      <c r="Z175" s="223"/>
      <c r="AA175" s="223"/>
      <c r="AB175" s="223"/>
      <c r="AC175" s="223"/>
      <c r="AD175" s="223"/>
    </row>
    <row r="176" spans="1:30" ht="23.25" customHeight="1">
      <c r="A176" s="223"/>
      <c r="B176" s="223"/>
      <c r="C176" s="283"/>
      <c r="D176" s="223"/>
      <c r="E176" s="223"/>
      <c r="F176" s="284"/>
      <c r="G176" s="285"/>
      <c r="H176" s="283"/>
      <c r="I176" s="283"/>
      <c r="J176" s="283"/>
      <c r="K176" s="286"/>
      <c r="L176" s="286"/>
      <c r="M176" s="283"/>
      <c r="N176" s="283"/>
      <c r="O176" s="283"/>
      <c r="P176" s="223"/>
      <c r="Q176" s="283"/>
      <c r="R176" s="223"/>
      <c r="S176" s="223"/>
      <c r="T176" s="223"/>
      <c r="U176" s="223"/>
      <c r="V176" s="223"/>
      <c r="W176" s="223"/>
      <c r="X176" s="223"/>
      <c r="Y176" s="223"/>
      <c r="Z176" s="223"/>
      <c r="AA176" s="223"/>
      <c r="AB176" s="223"/>
      <c r="AC176" s="223"/>
      <c r="AD176" s="223"/>
    </row>
    <row r="177" spans="1:30" ht="23.25" customHeight="1">
      <c r="A177" s="223"/>
      <c r="B177" s="223"/>
      <c r="C177" s="283"/>
      <c r="D177" s="223"/>
      <c r="E177" s="223"/>
      <c r="F177" s="284"/>
      <c r="G177" s="285"/>
      <c r="H177" s="283"/>
      <c r="I177" s="283"/>
      <c r="J177" s="283"/>
      <c r="K177" s="286"/>
      <c r="L177" s="286"/>
      <c r="M177" s="283"/>
      <c r="N177" s="283"/>
      <c r="O177" s="283"/>
      <c r="P177" s="223"/>
      <c r="Q177" s="283"/>
      <c r="R177" s="223"/>
      <c r="S177" s="223"/>
      <c r="T177" s="223"/>
      <c r="U177" s="223"/>
      <c r="V177" s="223"/>
      <c r="W177" s="223"/>
      <c r="X177" s="223"/>
      <c r="Y177" s="223"/>
      <c r="Z177" s="223"/>
      <c r="AA177" s="223"/>
      <c r="AB177" s="223"/>
      <c r="AC177" s="223"/>
      <c r="AD177" s="223"/>
    </row>
    <row r="178" spans="1:30" ht="23.25" customHeight="1">
      <c r="A178" s="223"/>
      <c r="B178" s="223"/>
      <c r="C178" s="283"/>
      <c r="D178" s="223"/>
      <c r="E178" s="223"/>
      <c r="F178" s="284"/>
      <c r="G178" s="285"/>
      <c r="H178" s="283"/>
      <c r="I178" s="283"/>
      <c r="J178" s="283"/>
      <c r="K178" s="286"/>
      <c r="L178" s="286"/>
      <c r="M178" s="283"/>
      <c r="N178" s="283"/>
      <c r="O178" s="283"/>
      <c r="P178" s="223"/>
      <c r="Q178" s="283"/>
      <c r="R178" s="223"/>
      <c r="S178" s="223"/>
      <c r="T178" s="223"/>
      <c r="U178" s="223"/>
      <c r="V178" s="223"/>
      <c r="W178" s="223"/>
      <c r="X178" s="223"/>
      <c r="Y178" s="223"/>
      <c r="Z178" s="223"/>
      <c r="AA178" s="223"/>
      <c r="AB178" s="223"/>
      <c r="AC178" s="223"/>
      <c r="AD178" s="223"/>
    </row>
    <row r="179" spans="1:30" ht="23.25" customHeight="1">
      <c r="A179" s="223"/>
      <c r="B179" s="223"/>
      <c r="C179" s="283"/>
      <c r="D179" s="223"/>
      <c r="E179" s="223"/>
      <c r="F179" s="284"/>
      <c r="G179" s="285"/>
      <c r="H179" s="283"/>
      <c r="I179" s="283"/>
      <c r="J179" s="283"/>
      <c r="K179" s="286"/>
      <c r="L179" s="286"/>
      <c r="M179" s="283"/>
      <c r="N179" s="283"/>
      <c r="O179" s="283"/>
      <c r="P179" s="223"/>
      <c r="Q179" s="283"/>
      <c r="R179" s="223"/>
      <c r="S179" s="223"/>
      <c r="T179" s="223"/>
      <c r="U179" s="223"/>
      <c r="V179" s="223"/>
      <c r="W179" s="223"/>
      <c r="X179" s="223"/>
      <c r="Y179" s="223"/>
      <c r="Z179" s="223"/>
      <c r="AA179" s="223"/>
      <c r="AB179" s="223"/>
      <c r="AC179" s="223"/>
      <c r="AD179" s="223"/>
    </row>
    <row r="180" spans="1:30" ht="23.25" customHeight="1">
      <c r="A180" s="223"/>
      <c r="B180" s="223"/>
      <c r="C180" s="283"/>
      <c r="D180" s="223"/>
      <c r="E180" s="223"/>
      <c r="F180" s="284"/>
      <c r="G180" s="285"/>
      <c r="H180" s="283"/>
      <c r="I180" s="283"/>
      <c r="J180" s="283"/>
      <c r="K180" s="286"/>
      <c r="L180" s="286"/>
      <c r="M180" s="283"/>
      <c r="N180" s="283"/>
      <c r="O180" s="283"/>
      <c r="P180" s="223"/>
      <c r="Q180" s="283"/>
      <c r="R180" s="223"/>
      <c r="S180" s="223"/>
      <c r="T180" s="223"/>
      <c r="U180" s="223"/>
      <c r="V180" s="223"/>
      <c r="W180" s="223"/>
      <c r="X180" s="223"/>
      <c r="Y180" s="223"/>
      <c r="Z180" s="223"/>
      <c r="AA180" s="223"/>
      <c r="AB180" s="223"/>
      <c r="AC180" s="223"/>
      <c r="AD180" s="223"/>
    </row>
    <row r="181" spans="1:30" ht="23.25" customHeight="1">
      <c r="A181" s="223"/>
      <c r="B181" s="223"/>
      <c r="C181" s="283"/>
      <c r="D181" s="223"/>
      <c r="E181" s="223"/>
      <c r="F181" s="284"/>
      <c r="G181" s="285"/>
      <c r="H181" s="283"/>
      <c r="I181" s="283"/>
      <c r="J181" s="283"/>
      <c r="K181" s="286"/>
      <c r="L181" s="286"/>
      <c r="M181" s="283"/>
      <c r="N181" s="283"/>
      <c r="O181" s="283"/>
      <c r="P181" s="223"/>
      <c r="Q181" s="283"/>
      <c r="R181" s="223"/>
      <c r="S181" s="223"/>
      <c r="T181" s="223"/>
      <c r="U181" s="223"/>
      <c r="V181" s="223"/>
      <c r="W181" s="223"/>
      <c r="X181" s="223"/>
      <c r="Y181" s="223"/>
      <c r="Z181" s="223"/>
      <c r="AA181" s="223"/>
      <c r="AB181" s="223"/>
      <c r="AC181" s="223"/>
      <c r="AD181" s="223"/>
    </row>
    <row r="182" spans="1:30" ht="23.25" customHeight="1">
      <c r="A182" s="223"/>
      <c r="B182" s="223"/>
      <c r="C182" s="283"/>
      <c r="D182" s="223"/>
      <c r="E182" s="223"/>
      <c r="F182" s="284"/>
      <c r="G182" s="285"/>
      <c r="H182" s="283"/>
      <c r="I182" s="283"/>
      <c r="J182" s="283"/>
      <c r="K182" s="286"/>
      <c r="L182" s="286"/>
      <c r="M182" s="283"/>
      <c r="N182" s="283"/>
      <c r="O182" s="283"/>
      <c r="P182" s="223"/>
      <c r="Q182" s="283"/>
      <c r="R182" s="223"/>
      <c r="S182" s="223"/>
      <c r="T182" s="223"/>
      <c r="U182" s="223"/>
      <c r="V182" s="223"/>
      <c r="W182" s="223"/>
      <c r="X182" s="223"/>
      <c r="Y182" s="223"/>
      <c r="Z182" s="223"/>
      <c r="AA182" s="223"/>
      <c r="AB182" s="223"/>
      <c r="AC182" s="223"/>
      <c r="AD182" s="223"/>
    </row>
    <row r="183" spans="1:30" ht="23.25" customHeight="1">
      <c r="A183" s="223"/>
      <c r="B183" s="223"/>
      <c r="C183" s="283"/>
      <c r="D183" s="223"/>
      <c r="E183" s="223"/>
      <c r="F183" s="284"/>
      <c r="G183" s="285"/>
      <c r="H183" s="283"/>
      <c r="I183" s="283"/>
      <c r="J183" s="283"/>
      <c r="K183" s="286"/>
      <c r="L183" s="286"/>
      <c r="M183" s="283"/>
      <c r="N183" s="283"/>
      <c r="O183" s="283"/>
      <c r="P183" s="223"/>
      <c r="Q183" s="283"/>
      <c r="R183" s="223"/>
      <c r="S183" s="223"/>
      <c r="T183" s="223"/>
      <c r="U183" s="223"/>
      <c r="V183" s="223"/>
      <c r="W183" s="223"/>
      <c r="X183" s="223"/>
      <c r="Y183" s="223"/>
      <c r="Z183" s="223"/>
      <c r="AA183" s="223"/>
      <c r="AB183" s="223"/>
      <c r="AC183" s="223"/>
      <c r="AD183" s="223"/>
    </row>
    <row r="184" spans="1:30" ht="23.25" customHeight="1">
      <c r="A184" s="223"/>
      <c r="B184" s="223"/>
      <c r="C184" s="283"/>
      <c r="D184" s="223"/>
      <c r="E184" s="223"/>
      <c r="F184" s="284"/>
      <c r="G184" s="285"/>
      <c r="H184" s="283"/>
      <c r="I184" s="283"/>
      <c r="J184" s="283"/>
      <c r="K184" s="286"/>
      <c r="L184" s="286"/>
      <c r="M184" s="283"/>
      <c r="N184" s="283"/>
      <c r="O184" s="283"/>
      <c r="P184" s="223"/>
      <c r="Q184" s="283"/>
      <c r="R184" s="223"/>
      <c r="S184" s="223"/>
      <c r="T184" s="223"/>
      <c r="U184" s="223"/>
      <c r="V184" s="223"/>
      <c r="W184" s="223"/>
      <c r="X184" s="223"/>
      <c r="Y184" s="223"/>
      <c r="Z184" s="223"/>
      <c r="AA184" s="223"/>
      <c r="AB184" s="223"/>
      <c r="AC184" s="223"/>
      <c r="AD184" s="223"/>
    </row>
    <row r="185" spans="1:30" ht="23.25" customHeight="1">
      <c r="A185" s="223"/>
      <c r="B185" s="223"/>
      <c r="C185" s="283"/>
      <c r="D185" s="223"/>
      <c r="E185" s="223"/>
      <c r="F185" s="284"/>
      <c r="G185" s="285"/>
      <c r="H185" s="283"/>
      <c r="I185" s="283"/>
      <c r="J185" s="283"/>
      <c r="K185" s="286"/>
      <c r="L185" s="286"/>
      <c r="M185" s="283"/>
      <c r="N185" s="283"/>
      <c r="O185" s="283"/>
      <c r="P185" s="223"/>
      <c r="Q185" s="283"/>
      <c r="R185" s="223"/>
      <c r="S185" s="223"/>
      <c r="T185" s="223"/>
      <c r="U185" s="223"/>
      <c r="V185" s="223"/>
      <c r="W185" s="223"/>
      <c r="X185" s="223"/>
      <c r="Y185" s="223"/>
      <c r="Z185" s="223"/>
      <c r="AA185" s="223"/>
      <c r="AB185" s="223"/>
      <c r="AC185" s="223"/>
      <c r="AD185" s="223"/>
    </row>
    <row r="186" spans="1:30" ht="23.25" customHeight="1">
      <c r="A186" s="223"/>
      <c r="B186" s="223"/>
      <c r="C186" s="283"/>
      <c r="D186" s="223"/>
      <c r="E186" s="223"/>
      <c r="F186" s="284"/>
      <c r="G186" s="285"/>
      <c r="H186" s="283"/>
      <c r="I186" s="283"/>
      <c r="J186" s="283"/>
      <c r="K186" s="286"/>
      <c r="L186" s="286"/>
      <c r="M186" s="283"/>
      <c r="N186" s="283"/>
      <c r="O186" s="283"/>
      <c r="P186" s="223"/>
      <c r="Q186" s="283"/>
      <c r="R186" s="223"/>
      <c r="S186" s="223"/>
      <c r="T186" s="223"/>
      <c r="U186" s="223"/>
      <c r="V186" s="223"/>
      <c r="W186" s="223"/>
      <c r="X186" s="223"/>
      <c r="Y186" s="223"/>
      <c r="Z186" s="223"/>
      <c r="AA186" s="223"/>
      <c r="AB186" s="223"/>
      <c r="AC186" s="223"/>
      <c r="AD186" s="223"/>
    </row>
    <row r="187" spans="1:30" ht="23.25" customHeight="1">
      <c r="A187" s="223"/>
      <c r="B187" s="223"/>
      <c r="C187" s="283"/>
      <c r="D187" s="223"/>
      <c r="E187" s="223"/>
      <c r="F187" s="284"/>
      <c r="G187" s="285"/>
      <c r="H187" s="283"/>
      <c r="I187" s="283"/>
      <c r="J187" s="283"/>
      <c r="K187" s="286"/>
      <c r="L187" s="286"/>
      <c r="M187" s="283"/>
      <c r="N187" s="283"/>
      <c r="O187" s="283"/>
      <c r="P187" s="223"/>
      <c r="Q187" s="283"/>
      <c r="R187" s="223"/>
      <c r="S187" s="223"/>
      <c r="T187" s="223"/>
      <c r="U187" s="223"/>
      <c r="V187" s="223"/>
      <c r="W187" s="223"/>
      <c r="X187" s="223"/>
      <c r="Y187" s="223"/>
      <c r="Z187" s="223"/>
      <c r="AA187" s="223"/>
      <c r="AB187" s="223"/>
      <c r="AC187" s="223"/>
      <c r="AD187" s="223"/>
    </row>
    <row r="188" spans="1:30" ht="23.25" customHeight="1">
      <c r="A188" s="223"/>
      <c r="B188" s="223"/>
      <c r="C188" s="283"/>
      <c r="D188" s="223"/>
      <c r="E188" s="223"/>
      <c r="F188" s="284"/>
      <c r="G188" s="285"/>
      <c r="H188" s="283"/>
      <c r="I188" s="283"/>
      <c r="J188" s="283"/>
      <c r="K188" s="286"/>
      <c r="L188" s="286"/>
      <c r="M188" s="283"/>
      <c r="N188" s="283"/>
      <c r="O188" s="283"/>
      <c r="P188" s="223"/>
      <c r="Q188" s="283"/>
      <c r="R188" s="223"/>
      <c r="S188" s="223"/>
      <c r="T188" s="223"/>
      <c r="U188" s="223"/>
      <c r="V188" s="223"/>
      <c r="W188" s="223"/>
      <c r="X188" s="223"/>
      <c r="Y188" s="223"/>
      <c r="Z188" s="223"/>
      <c r="AA188" s="223"/>
      <c r="AB188" s="223"/>
      <c r="AC188" s="223"/>
      <c r="AD188" s="223"/>
    </row>
    <row r="189" spans="1:30" ht="23.25" customHeight="1">
      <c r="A189" s="223"/>
      <c r="B189" s="223"/>
      <c r="C189" s="283"/>
      <c r="D189" s="223"/>
      <c r="E189" s="223"/>
      <c r="F189" s="284"/>
      <c r="G189" s="285"/>
      <c r="H189" s="283"/>
      <c r="I189" s="283"/>
      <c r="J189" s="283"/>
      <c r="K189" s="286"/>
      <c r="L189" s="286"/>
      <c r="M189" s="283"/>
      <c r="N189" s="283"/>
      <c r="O189" s="283"/>
      <c r="P189" s="223"/>
      <c r="Q189" s="283"/>
      <c r="R189" s="223"/>
      <c r="S189" s="223"/>
      <c r="T189" s="223"/>
      <c r="U189" s="223"/>
      <c r="V189" s="223"/>
      <c r="W189" s="223"/>
      <c r="X189" s="223"/>
      <c r="Y189" s="223"/>
      <c r="Z189" s="223"/>
      <c r="AA189" s="223"/>
      <c r="AB189" s="223"/>
      <c r="AC189" s="223"/>
      <c r="AD189" s="223"/>
    </row>
    <row r="190" spans="1:30" ht="23.25" customHeight="1">
      <c r="A190" s="223"/>
      <c r="B190" s="223"/>
      <c r="C190" s="283"/>
      <c r="D190" s="223"/>
      <c r="E190" s="223"/>
      <c r="F190" s="284"/>
      <c r="G190" s="285"/>
      <c r="H190" s="283"/>
      <c r="I190" s="283"/>
      <c r="J190" s="283"/>
      <c r="K190" s="286"/>
      <c r="L190" s="286"/>
      <c r="M190" s="283"/>
      <c r="N190" s="283"/>
      <c r="O190" s="283"/>
      <c r="P190" s="223"/>
      <c r="Q190" s="283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  <c r="AB190" s="223"/>
      <c r="AC190" s="223"/>
      <c r="AD190" s="223"/>
    </row>
    <row r="191" spans="1:30" ht="23.25" customHeight="1">
      <c r="A191" s="223"/>
      <c r="B191" s="223"/>
      <c r="C191" s="283"/>
      <c r="D191" s="223"/>
      <c r="E191" s="223"/>
      <c r="F191" s="284"/>
      <c r="G191" s="285"/>
      <c r="H191" s="283"/>
      <c r="I191" s="283"/>
      <c r="J191" s="283"/>
      <c r="K191" s="286"/>
      <c r="L191" s="286"/>
      <c r="M191" s="283"/>
      <c r="N191" s="283"/>
      <c r="O191" s="283"/>
      <c r="P191" s="223"/>
      <c r="Q191" s="283"/>
      <c r="R191" s="223"/>
      <c r="S191" s="223"/>
      <c r="T191" s="223"/>
      <c r="U191" s="223"/>
      <c r="V191" s="223"/>
      <c r="W191" s="223"/>
      <c r="X191" s="223"/>
      <c r="Y191" s="223"/>
      <c r="Z191" s="223"/>
      <c r="AA191" s="223"/>
      <c r="AB191" s="223"/>
      <c r="AC191" s="223"/>
      <c r="AD191" s="223"/>
    </row>
    <row r="192" spans="1:30" ht="23.25" customHeight="1">
      <c r="A192" s="223"/>
      <c r="B192" s="223"/>
      <c r="C192" s="283"/>
      <c r="D192" s="223"/>
      <c r="E192" s="223"/>
      <c r="F192" s="284"/>
      <c r="G192" s="285"/>
      <c r="H192" s="283"/>
      <c r="I192" s="283"/>
      <c r="J192" s="283"/>
      <c r="K192" s="286"/>
      <c r="L192" s="286"/>
      <c r="M192" s="283"/>
      <c r="N192" s="283"/>
      <c r="O192" s="283"/>
      <c r="P192" s="223"/>
      <c r="Q192" s="283"/>
      <c r="R192" s="223"/>
      <c r="S192" s="223"/>
      <c r="T192" s="223"/>
      <c r="U192" s="223"/>
      <c r="V192" s="223"/>
      <c r="W192" s="223"/>
      <c r="X192" s="223"/>
      <c r="Y192" s="223"/>
      <c r="Z192" s="223"/>
      <c r="AA192" s="223"/>
      <c r="AB192" s="223"/>
      <c r="AC192" s="223"/>
      <c r="AD192" s="223"/>
    </row>
    <row r="193" spans="1:30" ht="23.25" customHeight="1">
      <c r="A193" s="223"/>
      <c r="B193" s="223"/>
      <c r="C193" s="283"/>
      <c r="D193" s="223"/>
      <c r="E193" s="223"/>
      <c r="F193" s="284"/>
      <c r="G193" s="285"/>
      <c r="H193" s="283"/>
      <c r="I193" s="283"/>
      <c r="J193" s="283"/>
      <c r="K193" s="286"/>
      <c r="L193" s="286"/>
      <c r="M193" s="283"/>
      <c r="N193" s="283"/>
      <c r="O193" s="283"/>
      <c r="P193" s="223"/>
      <c r="Q193" s="283"/>
      <c r="R193" s="223"/>
      <c r="S193" s="223"/>
      <c r="T193" s="223"/>
      <c r="U193" s="223"/>
      <c r="V193" s="223"/>
      <c r="W193" s="223"/>
      <c r="X193" s="223"/>
      <c r="Y193" s="223"/>
      <c r="Z193" s="223"/>
      <c r="AA193" s="223"/>
      <c r="AB193" s="223"/>
      <c r="AC193" s="223"/>
      <c r="AD193" s="223"/>
    </row>
    <row r="194" spans="1:30" ht="23.25" customHeight="1">
      <c r="A194" s="223"/>
      <c r="B194" s="223"/>
      <c r="C194" s="283"/>
      <c r="D194" s="223"/>
      <c r="E194" s="223"/>
      <c r="F194" s="284"/>
      <c r="G194" s="285"/>
      <c r="H194" s="283"/>
      <c r="I194" s="283"/>
      <c r="J194" s="283"/>
      <c r="K194" s="286"/>
      <c r="L194" s="286"/>
      <c r="M194" s="283"/>
      <c r="N194" s="283"/>
      <c r="O194" s="283"/>
      <c r="P194" s="223"/>
      <c r="Q194" s="283"/>
      <c r="R194" s="223"/>
      <c r="S194" s="223"/>
      <c r="T194" s="223"/>
      <c r="U194" s="223"/>
      <c r="V194" s="223"/>
      <c r="W194" s="223"/>
      <c r="X194" s="223"/>
      <c r="Y194" s="223"/>
      <c r="Z194" s="223"/>
      <c r="AA194" s="223"/>
      <c r="AB194" s="223"/>
      <c r="AC194" s="223"/>
      <c r="AD194" s="223"/>
    </row>
    <row r="195" spans="1:30" ht="23.25" customHeight="1">
      <c r="A195" s="223"/>
      <c r="B195" s="223"/>
      <c r="C195" s="283"/>
      <c r="D195" s="223"/>
      <c r="E195" s="223"/>
      <c r="F195" s="284"/>
      <c r="G195" s="285"/>
      <c r="H195" s="283"/>
      <c r="I195" s="283"/>
      <c r="J195" s="283"/>
      <c r="K195" s="286"/>
      <c r="L195" s="286"/>
      <c r="M195" s="283"/>
      <c r="N195" s="283"/>
      <c r="O195" s="283"/>
      <c r="P195" s="223"/>
      <c r="Q195" s="283"/>
      <c r="R195" s="223"/>
      <c r="S195" s="223"/>
      <c r="T195" s="223"/>
      <c r="U195" s="223"/>
      <c r="V195" s="223"/>
      <c r="W195" s="223"/>
      <c r="X195" s="223"/>
      <c r="Y195" s="223"/>
      <c r="Z195" s="223"/>
      <c r="AA195" s="223"/>
      <c r="AB195" s="223"/>
      <c r="AC195" s="223"/>
      <c r="AD195" s="223"/>
    </row>
    <row r="196" spans="1:30" ht="23.25" customHeight="1">
      <c r="A196" s="223"/>
      <c r="B196" s="223"/>
      <c r="C196" s="283"/>
      <c r="D196" s="223"/>
      <c r="E196" s="223"/>
      <c r="F196" s="284"/>
      <c r="G196" s="285"/>
      <c r="H196" s="283"/>
      <c r="I196" s="283"/>
      <c r="J196" s="283"/>
      <c r="K196" s="286"/>
      <c r="L196" s="286"/>
      <c r="M196" s="283"/>
      <c r="N196" s="283"/>
      <c r="O196" s="283"/>
      <c r="P196" s="223"/>
      <c r="Q196" s="283"/>
      <c r="R196" s="223"/>
      <c r="S196" s="223"/>
      <c r="T196" s="223"/>
      <c r="U196" s="223"/>
      <c r="V196" s="223"/>
      <c r="W196" s="223"/>
      <c r="X196" s="223"/>
      <c r="Y196" s="223"/>
      <c r="Z196" s="223"/>
      <c r="AA196" s="223"/>
      <c r="AB196" s="223"/>
      <c r="AC196" s="223"/>
      <c r="AD196" s="223"/>
    </row>
    <row r="197" spans="1:30" ht="23.25" customHeight="1">
      <c r="A197" s="223"/>
      <c r="B197" s="223"/>
      <c r="C197" s="283"/>
      <c r="D197" s="223"/>
      <c r="E197" s="223"/>
      <c r="F197" s="284"/>
      <c r="G197" s="285"/>
      <c r="H197" s="283"/>
      <c r="I197" s="283"/>
      <c r="J197" s="283"/>
      <c r="K197" s="286"/>
      <c r="L197" s="286"/>
      <c r="M197" s="283"/>
      <c r="N197" s="283"/>
      <c r="O197" s="283"/>
      <c r="P197" s="223"/>
      <c r="Q197" s="283"/>
      <c r="R197" s="223"/>
      <c r="S197" s="223"/>
      <c r="T197" s="223"/>
      <c r="U197" s="223"/>
      <c r="V197" s="223"/>
      <c r="W197" s="223"/>
      <c r="X197" s="223"/>
      <c r="Y197" s="223"/>
      <c r="Z197" s="223"/>
      <c r="AA197" s="223"/>
      <c r="AB197" s="223"/>
      <c r="AC197" s="223"/>
      <c r="AD197" s="223"/>
    </row>
    <row r="198" spans="1:30" ht="23.25" customHeight="1">
      <c r="A198" s="223"/>
      <c r="B198" s="223"/>
      <c r="C198" s="283"/>
      <c r="D198" s="223"/>
      <c r="E198" s="223"/>
      <c r="F198" s="284"/>
      <c r="G198" s="285"/>
      <c r="H198" s="283"/>
      <c r="I198" s="283"/>
      <c r="J198" s="283"/>
      <c r="K198" s="286"/>
      <c r="L198" s="286"/>
      <c r="M198" s="283"/>
      <c r="N198" s="283"/>
      <c r="O198" s="283"/>
      <c r="P198" s="223"/>
      <c r="Q198" s="283"/>
      <c r="R198" s="223"/>
      <c r="S198" s="223"/>
      <c r="T198" s="223"/>
      <c r="U198" s="223"/>
      <c r="V198" s="223"/>
      <c r="W198" s="223"/>
      <c r="X198" s="223"/>
      <c r="Y198" s="223"/>
      <c r="Z198" s="223"/>
      <c r="AA198" s="223"/>
      <c r="AB198" s="223"/>
      <c r="AC198" s="223"/>
      <c r="AD198" s="223"/>
    </row>
    <row r="199" spans="1:30" ht="23.25" customHeight="1">
      <c r="A199" s="223"/>
      <c r="B199" s="223"/>
      <c r="C199" s="283"/>
      <c r="D199" s="223"/>
      <c r="E199" s="223"/>
      <c r="F199" s="284"/>
      <c r="G199" s="285"/>
      <c r="H199" s="283"/>
      <c r="I199" s="283"/>
      <c r="J199" s="283"/>
      <c r="K199" s="286"/>
      <c r="L199" s="286"/>
      <c r="M199" s="283"/>
      <c r="N199" s="283"/>
      <c r="O199" s="283"/>
      <c r="P199" s="223"/>
      <c r="Q199" s="283"/>
      <c r="R199" s="223"/>
      <c r="S199" s="223"/>
      <c r="T199" s="223"/>
      <c r="U199" s="223"/>
      <c r="V199" s="223"/>
      <c r="W199" s="223"/>
      <c r="X199" s="223"/>
      <c r="Y199" s="223"/>
      <c r="Z199" s="223"/>
      <c r="AA199" s="223"/>
      <c r="AB199" s="223"/>
      <c r="AC199" s="223"/>
      <c r="AD199" s="223"/>
    </row>
    <row r="200" spans="1:30" ht="23.25" customHeight="1">
      <c r="A200" s="223"/>
      <c r="B200" s="223"/>
      <c r="C200" s="283"/>
      <c r="D200" s="223"/>
      <c r="E200" s="223"/>
      <c r="F200" s="284"/>
      <c r="G200" s="285"/>
      <c r="H200" s="283"/>
      <c r="I200" s="283"/>
      <c r="J200" s="283"/>
      <c r="K200" s="286"/>
      <c r="L200" s="286"/>
      <c r="M200" s="283"/>
      <c r="N200" s="283"/>
      <c r="O200" s="283"/>
      <c r="P200" s="223"/>
      <c r="Q200" s="283"/>
      <c r="R200" s="223"/>
      <c r="S200" s="223"/>
      <c r="T200" s="223"/>
      <c r="U200" s="223"/>
      <c r="V200" s="223"/>
      <c r="W200" s="223"/>
      <c r="X200" s="223"/>
      <c r="Y200" s="223"/>
      <c r="Z200" s="223"/>
      <c r="AA200" s="223"/>
      <c r="AB200" s="223"/>
      <c r="AC200" s="223"/>
      <c r="AD200" s="223"/>
    </row>
    <row r="201" spans="1:30" ht="23.25" customHeight="1">
      <c r="A201" s="223"/>
      <c r="B201" s="223"/>
      <c r="C201" s="283"/>
      <c r="D201" s="223"/>
      <c r="E201" s="223"/>
      <c r="F201" s="284"/>
      <c r="G201" s="285"/>
      <c r="H201" s="283"/>
      <c r="I201" s="283"/>
      <c r="J201" s="283"/>
      <c r="K201" s="286"/>
      <c r="L201" s="286"/>
      <c r="M201" s="283"/>
      <c r="N201" s="283"/>
      <c r="O201" s="283"/>
      <c r="P201" s="223"/>
      <c r="Q201" s="283"/>
      <c r="R201" s="223"/>
      <c r="S201" s="223"/>
      <c r="T201" s="223"/>
      <c r="U201" s="223"/>
      <c r="V201" s="223"/>
      <c r="W201" s="223"/>
      <c r="X201" s="223"/>
      <c r="Y201" s="223"/>
      <c r="Z201" s="223"/>
      <c r="AA201" s="223"/>
      <c r="AB201" s="223"/>
      <c r="AC201" s="223"/>
      <c r="AD201" s="223"/>
    </row>
    <row r="202" spans="1:30" ht="23.25" customHeight="1">
      <c r="A202" s="223"/>
      <c r="B202" s="223"/>
      <c r="C202" s="283"/>
      <c r="D202" s="223"/>
      <c r="E202" s="223"/>
      <c r="F202" s="284"/>
      <c r="G202" s="285"/>
      <c r="H202" s="283"/>
      <c r="I202" s="283"/>
      <c r="J202" s="283"/>
      <c r="K202" s="286"/>
      <c r="L202" s="286"/>
      <c r="M202" s="283"/>
      <c r="N202" s="283"/>
      <c r="O202" s="283"/>
      <c r="P202" s="223"/>
      <c r="Q202" s="283"/>
      <c r="R202" s="223"/>
      <c r="S202" s="223"/>
      <c r="T202" s="223"/>
      <c r="U202" s="223"/>
      <c r="V202" s="223"/>
      <c r="W202" s="223"/>
      <c r="X202" s="223"/>
      <c r="Y202" s="223"/>
      <c r="Z202" s="223"/>
      <c r="AA202" s="223"/>
      <c r="AB202" s="223"/>
      <c r="AC202" s="223"/>
      <c r="AD202" s="223"/>
    </row>
    <row r="203" spans="1:30" ht="23.25" customHeight="1">
      <c r="A203" s="223"/>
      <c r="B203" s="223"/>
      <c r="C203" s="283"/>
      <c r="D203" s="223"/>
      <c r="E203" s="223"/>
      <c r="F203" s="284"/>
      <c r="G203" s="285"/>
      <c r="H203" s="283"/>
      <c r="I203" s="283"/>
      <c r="J203" s="283"/>
      <c r="K203" s="286"/>
      <c r="L203" s="286"/>
      <c r="M203" s="283"/>
      <c r="N203" s="283"/>
      <c r="O203" s="283"/>
      <c r="P203" s="223"/>
      <c r="Q203" s="283"/>
      <c r="R203" s="223"/>
      <c r="S203" s="223"/>
      <c r="T203" s="223"/>
      <c r="U203" s="223"/>
      <c r="V203" s="223"/>
      <c r="W203" s="223"/>
      <c r="X203" s="223"/>
      <c r="Y203" s="223"/>
      <c r="Z203" s="223"/>
      <c r="AA203" s="223"/>
      <c r="AB203" s="223"/>
      <c r="AC203" s="223"/>
      <c r="AD203" s="223"/>
    </row>
    <row r="204" spans="1:30" ht="23.25" customHeight="1">
      <c r="A204" s="223"/>
      <c r="B204" s="223"/>
      <c r="C204" s="283"/>
      <c r="D204" s="223"/>
      <c r="E204" s="223"/>
      <c r="F204" s="284"/>
      <c r="G204" s="285"/>
      <c r="H204" s="283"/>
      <c r="I204" s="283"/>
      <c r="J204" s="283"/>
      <c r="K204" s="286"/>
      <c r="L204" s="286"/>
      <c r="M204" s="283"/>
      <c r="N204" s="283"/>
      <c r="O204" s="283"/>
      <c r="P204" s="223"/>
      <c r="Q204" s="283"/>
      <c r="R204" s="223"/>
      <c r="S204" s="223"/>
      <c r="T204" s="223"/>
      <c r="U204" s="223"/>
      <c r="V204" s="223"/>
      <c r="W204" s="223"/>
      <c r="X204" s="223"/>
      <c r="Y204" s="223"/>
      <c r="Z204" s="223"/>
      <c r="AA204" s="223"/>
      <c r="AB204" s="223"/>
      <c r="AC204" s="223"/>
      <c r="AD204" s="223"/>
    </row>
    <row r="205" spans="1:30" ht="23.25" customHeight="1">
      <c r="A205" s="223"/>
      <c r="B205" s="223"/>
      <c r="C205" s="283"/>
      <c r="D205" s="223"/>
      <c r="E205" s="223"/>
      <c r="F205" s="284"/>
      <c r="G205" s="285"/>
      <c r="H205" s="283"/>
      <c r="I205" s="283"/>
      <c r="J205" s="283"/>
      <c r="K205" s="286"/>
      <c r="L205" s="286"/>
      <c r="M205" s="283"/>
      <c r="N205" s="283"/>
      <c r="O205" s="283"/>
      <c r="P205" s="223"/>
      <c r="Q205" s="283"/>
      <c r="R205" s="223"/>
      <c r="S205" s="223"/>
      <c r="T205" s="223"/>
      <c r="U205" s="223"/>
      <c r="V205" s="223"/>
      <c r="W205" s="223"/>
      <c r="X205" s="223"/>
      <c r="Y205" s="223"/>
      <c r="Z205" s="223"/>
      <c r="AA205" s="223"/>
      <c r="AB205" s="223"/>
      <c r="AC205" s="223"/>
      <c r="AD205" s="223"/>
    </row>
    <row r="206" spans="1:30" ht="23.25" customHeight="1">
      <c r="A206" s="223"/>
      <c r="B206" s="223"/>
      <c r="C206" s="283"/>
      <c r="D206" s="223"/>
      <c r="E206" s="223"/>
      <c r="F206" s="284"/>
      <c r="G206" s="285"/>
      <c r="H206" s="283"/>
      <c r="I206" s="283"/>
      <c r="J206" s="283"/>
      <c r="K206" s="286"/>
      <c r="L206" s="286"/>
      <c r="M206" s="283"/>
      <c r="N206" s="283"/>
      <c r="O206" s="283"/>
      <c r="P206" s="223"/>
      <c r="Q206" s="283"/>
      <c r="R206" s="223"/>
      <c r="S206" s="223"/>
      <c r="T206" s="223"/>
      <c r="U206" s="223"/>
      <c r="V206" s="223"/>
      <c r="W206" s="223"/>
      <c r="X206" s="223"/>
      <c r="Y206" s="223"/>
      <c r="Z206" s="223"/>
      <c r="AA206" s="223"/>
      <c r="AB206" s="223"/>
      <c r="AC206" s="223"/>
      <c r="AD206" s="223"/>
    </row>
    <row r="207" spans="1:30" ht="23.25" customHeight="1">
      <c r="A207" s="223"/>
      <c r="B207" s="223"/>
      <c r="C207" s="283"/>
      <c r="D207" s="223"/>
      <c r="E207" s="223"/>
      <c r="F207" s="284"/>
      <c r="G207" s="285"/>
      <c r="H207" s="283"/>
      <c r="I207" s="283"/>
      <c r="J207" s="283"/>
      <c r="K207" s="286"/>
      <c r="L207" s="286"/>
      <c r="M207" s="283"/>
      <c r="N207" s="283"/>
      <c r="O207" s="283"/>
      <c r="P207" s="223"/>
      <c r="Q207" s="283"/>
      <c r="R207" s="223"/>
      <c r="S207" s="223"/>
      <c r="T207" s="223"/>
      <c r="U207" s="223"/>
      <c r="V207" s="223"/>
      <c r="W207" s="223"/>
      <c r="X207" s="223"/>
      <c r="Y207" s="223"/>
      <c r="Z207" s="223"/>
      <c r="AA207" s="223"/>
      <c r="AB207" s="223"/>
      <c r="AC207" s="223"/>
      <c r="AD207" s="223"/>
    </row>
    <row r="208" spans="1:30" ht="23.25" customHeight="1">
      <c r="A208" s="223"/>
      <c r="B208" s="223"/>
      <c r="C208" s="283"/>
      <c r="D208" s="223"/>
      <c r="E208" s="223"/>
      <c r="F208" s="284"/>
      <c r="G208" s="285"/>
      <c r="H208" s="283"/>
      <c r="I208" s="283"/>
      <c r="J208" s="283"/>
      <c r="K208" s="286"/>
      <c r="L208" s="286"/>
      <c r="M208" s="283"/>
      <c r="N208" s="283"/>
      <c r="O208" s="283"/>
      <c r="P208" s="223"/>
      <c r="Q208" s="283"/>
      <c r="R208" s="223"/>
      <c r="S208" s="223"/>
      <c r="T208" s="223"/>
      <c r="U208" s="223"/>
      <c r="V208" s="223"/>
      <c r="W208" s="223"/>
      <c r="X208" s="223"/>
      <c r="Y208" s="223"/>
      <c r="Z208" s="223"/>
      <c r="AA208" s="223"/>
      <c r="AB208" s="223"/>
      <c r="AC208" s="223"/>
      <c r="AD208" s="223"/>
    </row>
    <row r="209" spans="1:30" ht="23.25" customHeight="1">
      <c r="A209" s="223"/>
      <c r="B209" s="223"/>
      <c r="C209" s="283"/>
      <c r="D209" s="223"/>
      <c r="E209" s="223"/>
      <c r="F209" s="284"/>
      <c r="G209" s="285"/>
      <c r="H209" s="283"/>
      <c r="I209" s="283"/>
      <c r="J209" s="283"/>
      <c r="K209" s="286"/>
      <c r="L209" s="286"/>
      <c r="M209" s="283"/>
      <c r="N209" s="283"/>
      <c r="O209" s="283"/>
      <c r="P209" s="223"/>
      <c r="Q209" s="283"/>
      <c r="R209" s="223"/>
      <c r="S209" s="223"/>
      <c r="T209" s="223"/>
      <c r="U209" s="223"/>
      <c r="V209" s="223"/>
      <c r="W209" s="223"/>
      <c r="X209" s="223"/>
      <c r="Y209" s="223"/>
      <c r="Z209" s="223"/>
      <c r="AA209" s="223"/>
      <c r="AB209" s="223"/>
      <c r="AC209" s="223"/>
      <c r="AD209" s="223"/>
    </row>
    <row r="210" spans="1:30" ht="23.25" customHeight="1">
      <c r="A210" s="223"/>
      <c r="B210" s="223"/>
      <c r="C210" s="283"/>
      <c r="D210" s="223"/>
      <c r="E210" s="223"/>
      <c r="F210" s="284"/>
      <c r="G210" s="285"/>
      <c r="H210" s="283"/>
      <c r="I210" s="283"/>
      <c r="J210" s="283"/>
      <c r="K210" s="286"/>
      <c r="L210" s="286"/>
      <c r="M210" s="283"/>
      <c r="N210" s="283"/>
      <c r="O210" s="283"/>
      <c r="P210" s="223"/>
      <c r="Q210" s="283"/>
      <c r="R210" s="223"/>
      <c r="S210" s="223"/>
      <c r="T210" s="223"/>
      <c r="U210" s="223"/>
      <c r="V210" s="223"/>
      <c r="W210" s="223"/>
      <c r="X210" s="223"/>
      <c r="Y210" s="223"/>
      <c r="Z210" s="223"/>
      <c r="AA210" s="223"/>
      <c r="AB210" s="223"/>
      <c r="AC210" s="223"/>
      <c r="AD210" s="223"/>
    </row>
    <row r="211" spans="1:30" ht="23.25" customHeight="1">
      <c r="A211" s="223"/>
      <c r="B211" s="223"/>
      <c r="C211" s="283"/>
      <c r="D211" s="223"/>
      <c r="E211" s="223"/>
      <c r="F211" s="284"/>
      <c r="G211" s="285"/>
      <c r="H211" s="283"/>
      <c r="I211" s="283"/>
      <c r="J211" s="283"/>
      <c r="K211" s="286"/>
      <c r="L211" s="286"/>
      <c r="M211" s="283"/>
      <c r="N211" s="283"/>
      <c r="O211" s="283"/>
      <c r="P211" s="223"/>
      <c r="Q211" s="283"/>
      <c r="R211" s="223"/>
      <c r="S211" s="223"/>
      <c r="T211" s="223"/>
      <c r="U211" s="223"/>
      <c r="V211" s="223"/>
      <c r="W211" s="223"/>
      <c r="X211" s="223"/>
      <c r="Y211" s="223"/>
      <c r="Z211" s="223"/>
      <c r="AA211" s="223"/>
      <c r="AB211" s="223"/>
      <c r="AC211" s="223"/>
      <c r="AD211" s="223"/>
    </row>
    <row r="212" spans="1:30" ht="23.25" customHeight="1">
      <c r="A212" s="223"/>
      <c r="B212" s="223"/>
      <c r="C212" s="283"/>
      <c r="D212" s="223"/>
      <c r="E212" s="223"/>
      <c r="F212" s="284"/>
      <c r="G212" s="285"/>
      <c r="H212" s="283"/>
      <c r="I212" s="283"/>
      <c r="J212" s="283"/>
      <c r="K212" s="286"/>
      <c r="L212" s="286"/>
      <c r="M212" s="283"/>
      <c r="N212" s="283"/>
      <c r="O212" s="283"/>
      <c r="P212" s="223"/>
      <c r="Q212" s="283"/>
      <c r="R212" s="223"/>
      <c r="S212" s="223"/>
      <c r="T212" s="223"/>
      <c r="U212" s="223"/>
      <c r="V212" s="223"/>
      <c r="W212" s="223"/>
      <c r="X212" s="223"/>
      <c r="Y212" s="223"/>
      <c r="Z212" s="223"/>
      <c r="AA212" s="223"/>
      <c r="AB212" s="223"/>
      <c r="AC212" s="223"/>
      <c r="AD212" s="223"/>
    </row>
    <row r="213" spans="1:30" ht="23.25" customHeight="1">
      <c r="A213" s="223"/>
      <c r="B213" s="223"/>
      <c r="C213" s="283"/>
      <c r="D213" s="223"/>
      <c r="E213" s="223"/>
      <c r="F213" s="284"/>
      <c r="G213" s="285"/>
      <c r="H213" s="283"/>
      <c r="I213" s="283"/>
      <c r="J213" s="283"/>
      <c r="K213" s="286"/>
      <c r="L213" s="286"/>
      <c r="M213" s="283"/>
      <c r="N213" s="283"/>
      <c r="O213" s="283"/>
      <c r="P213" s="223"/>
      <c r="Q213" s="283"/>
      <c r="R213" s="223"/>
      <c r="S213" s="223"/>
      <c r="T213" s="223"/>
      <c r="U213" s="223"/>
      <c r="V213" s="223"/>
      <c r="W213" s="223"/>
      <c r="X213" s="223"/>
      <c r="Y213" s="223"/>
      <c r="Z213" s="223"/>
      <c r="AA213" s="223"/>
      <c r="AB213" s="223"/>
      <c r="AC213" s="223"/>
      <c r="AD213" s="223"/>
    </row>
    <row r="214" spans="1:30" ht="23.25" customHeight="1">
      <c r="A214" s="223"/>
      <c r="B214" s="223"/>
      <c r="C214" s="283"/>
      <c r="D214" s="223"/>
      <c r="E214" s="223"/>
      <c r="F214" s="284"/>
      <c r="G214" s="285"/>
      <c r="H214" s="283"/>
      <c r="I214" s="283"/>
      <c r="J214" s="283"/>
      <c r="K214" s="286"/>
      <c r="L214" s="286"/>
      <c r="M214" s="283"/>
      <c r="N214" s="283"/>
      <c r="O214" s="283"/>
      <c r="P214" s="223"/>
      <c r="Q214" s="283"/>
      <c r="R214" s="223"/>
      <c r="S214" s="223"/>
      <c r="T214" s="223"/>
      <c r="U214" s="223"/>
      <c r="V214" s="223"/>
      <c r="W214" s="223"/>
      <c r="X214" s="223"/>
      <c r="Y214" s="223"/>
      <c r="Z214" s="223"/>
      <c r="AA214" s="223"/>
      <c r="AB214" s="223"/>
      <c r="AC214" s="223"/>
      <c r="AD214" s="223"/>
    </row>
    <row r="215" spans="1:30" ht="23.25" customHeight="1">
      <c r="A215" s="223"/>
      <c r="B215" s="223"/>
      <c r="C215" s="283"/>
      <c r="D215" s="223"/>
      <c r="E215" s="223"/>
      <c r="F215" s="284"/>
      <c r="G215" s="285"/>
      <c r="H215" s="283"/>
      <c r="I215" s="283"/>
      <c r="J215" s="283"/>
      <c r="K215" s="286"/>
      <c r="L215" s="286"/>
      <c r="M215" s="283"/>
      <c r="N215" s="283"/>
      <c r="O215" s="283"/>
      <c r="P215" s="223"/>
      <c r="Q215" s="283"/>
      <c r="R215" s="223"/>
      <c r="S215" s="223"/>
      <c r="T215" s="223"/>
      <c r="U215" s="223"/>
      <c r="V215" s="223"/>
      <c r="W215" s="223"/>
      <c r="X215" s="223"/>
      <c r="Y215" s="223"/>
      <c r="Z215" s="223"/>
      <c r="AA215" s="223"/>
      <c r="AB215" s="223"/>
      <c r="AC215" s="223"/>
      <c r="AD215" s="223"/>
    </row>
    <row r="216" spans="1:30" ht="23.25" customHeight="1">
      <c r="A216" s="223"/>
      <c r="B216" s="223"/>
      <c r="C216" s="283"/>
      <c r="D216" s="223"/>
      <c r="E216" s="223"/>
      <c r="F216" s="284"/>
      <c r="G216" s="285"/>
      <c r="H216" s="283"/>
      <c r="I216" s="283"/>
      <c r="J216" s="283"/>
      <c r="K216" s="286"/>
      <c r="L216" s="286"/>
      <c r="M216" s="283"/>
      <c r="N216" s="283"/>
      <c r="O216" s="283"/>
      <c r="P216" s="223"/>
      <c r="Q216" s="283"/>
      <c r="R216" s="223"/>
      <c r="S216" s="223"/>
      <c r="T216" s="223"/>
      <c r="U216" s="223"/>
      <c r="V216" s="223"/>
      <c r="W216" s="223"/>
      <c r="X216" s="223"/>
      <c r="Y216" s="223"/>
      <c r="Z216" s="223"/>
      <c r="AA216" s="223"/>
      <c r="AB216" s="223"/>
      <c r="AC216" s="223"/>
      <c r="AD216" s="223"/>
    </row>
    <row r="217" spans="1:30" ht="23.25" customHeight="1">
      <c r="A217" s="223"/>
      <c r="B217" s="223"/>
      <c r="C217" s="283"/>
      <c r="D217" s="223"/>
      <c r="E217" s="223"/>
      <c r="F217" s="284"/>
      <c r="G217" s="285"/>
      <c r="H217" s="283"/>
      <c r="I217" s="283"/>
      <c r="J217" s="283"/>
      <c r="K217" s="286"/>
      <c r="L217" s="286"/>
      <c r="M217" s="283"/>
      <c r="N217" s="283"/>
      <c r="O217" s="283"/>
      <c r="P217" s="223"/>
      <c r="Q217" s="283"/>
      <c r="R217" s="223"/>
      <c r="S217" s="223"/>
      <c r="T217" s="223"/>
      <c r="U217" s="223"/>
      <c r="V217" s="223"/>
      <c r="W217" s="223"/>
      <c r="X217" s="223"/>
      <c r="Y217" s="223"/>
      <c r="Z217" s="223"/>
      <c r="AA217" s="223"/>
      <c r="AB217" s="223"/>
      <c r="AC217" s="223"/>
      <c r="AD217" s="223"/>
    </row>
    <row r="218" spans="1:30" ht="23.25" customHeight="1">
      <c r="A218" s="223"/>
      <c r="B218" s="223"/>
      <c r="C218" s="283"/>
      <c r="D218" s="223"/>
      <c r="E218" s="223"/>
      <c r="F218" s="284"/>
      <c r="G218" s="285"/>
      <c r="H218" s="283"/>
      <c r="I218" s="283"/>
      <c r="J218" s="283"/>
      <c r="K218" s="286"/>
      <c r="L218" s="286"/>
      <c r="M218" s="283"/>
      <c r="N218" s="283"/>
      <c r="O218" s="283"/>
      <c r="P218" s="223"/>
      <c r="Q218" s="283"/>
      <c r="R218" s="223"/>
      <c r="S218" s="223"/>
      <c r="T218" s="223"/>
      <c r="U218" s="223"/>
      <c r="V218" s="223"/>
      <c r="W218" s="223"/>
      <c r="X218" s="223"/>
      <c r="Y218" s="223"/>
      <c r="Z218" s="223"/>
      <c r="AA218" s="223"/>
      <c r="AB218" s="223"/>
      <c r="AC218" s="223"/>
      <c r="AD218" s="223"/>
    </row>
    <row r="219" spans="1:30" ht="23.25" customHeight="1">
      <c r="A219" s="223"/>
      <c r="B219" s="223"/>
      <c r="C219" s="283"/>
      <c r="D219" s="223"/>
      <c r="E219" s="223"/>
      <c r="F219" s="284"/>
      <c r="G219" s="285"/>
      <c r="H219" s="283"/>
      <c r="I219" s="283"/>
      <c r="J219" s="283"/>
      <c r="K219" s="286"/>
      <c r="L219" s="286"/>
      <c r="M219" s="283"/>
      <c r="N219" s="283"/>
      <c r="O219" s="283"/>
      <c r="P219" s="223"/>
      <c r="Q219" s="283"/>
      <c r="R219" s="223"/>
      <c r="S219" s="223"/>
      <c r="T219" s="223"/>
      <c r="U219" s="223"/>
      <c r="V219" s="223"/>
      <c r="W219" s="223"/>
      <c r="X219" s="223"/>
      <c r="Y219" s="223"/>
      <c r="Z219" s="223"/>
      <c r="AA219" s="223"/>
      <c r="AB219" s="223"/>
      <c r="AC219" s="223"/>
      <c r="AD219" s="223"/>
    </row>
    <row r="220" spans="1:30" ht="23.25" customHeight="1">
      <c r="A220" s="223"/>
      <c r="B220" s="223"/>
      <c r="C220" s="283"/>
      <c r="D220" s="223"/>
      <c r="E220" s="223"/>
      <c r="F220" s="284"/>
      <c r="G220" s="285"/>
      <c r="H220" s="283"/>
      <c r="I220" s="283"/>
      <c r="J220" s="283"/>
      <c r="K220" s="286"/>
      <c r="L220" s="286"/>
      <c r="M220" s="283"/>
      <c r="N220" s="283"/>
      <c r="O220" s="283"/>
      <c r="P220" s="223"/>
      <c r="Q220" s="283"/>
      <c r="R220" s="223"/>
      <c r="S220" s="223"/>
      <c r="T220" s="223"/>
      <c r="U220" s="223"/>
      <c r="V220" s="223"/>
      <c r="W220" s="223"/>
      <c r="X220" s="223"/>
      <c r="Y220" s="223"/>
      <c r="Z220" s="223"/>
      <c r="AA220" s="223"/>
      <c r="AB220" s="223"/>
      <c r="AC220" s="223"/>
      <c r="AD220" s="223"/>
    </row>
    <row r="221" spans="1:30" ht="23.25" customHeight="1">
      <c r="A221" s="223"/>
      <c r="B221" s="223"/>
      <c r="C221" s="283"/>
      <c r="D221" s="223"/>
      <c r="E221" s="223"/>
      <c r="F221" s="284"/>
      <c r="G221" s="285"/>
      <c r="H221" s="283"/>
      <c r="I221" s="283"/>
      <c r="J221" s="283"/>
      <c r="K221" s="286"/>
      <c r="L221" s="286"/>
      <c r="M221" s="283"/>
      <c r="N221" s="283"/>
      <c r="O221" s="283"/>
      <c r="P221" s="223"/>
      <c r="Q221" s="283"/>
      <c r="R221" s="223"/>
      <c r="S221" s="223"/>
      <c r="T221" s="223"/>
      <c r="U221" s="223"/>
      <c r="V221" s="223"/>
      <c r="W221" s="223"/>
      <c r="X221" s="223"/>
      <c r="Y221" s="223"/>
      <c r="Z221" s="223"/>
      <c r="AA221" s="223"/>
      <c r="AB221" s="223"/>
      <c r="AC221" s="223"/>
      <c r="AD221" s="223"/>
    </row>
    <row r="222" spans="1:30" ht="23.25" customHeight="1">
      <c r="A222" s="223"/>
      <c r="B222" s="223"/>
      <c r="C222" s="283"/>
      <c r="D222" s="223"/>
      <c r="E222" s="223"/>
      <c r="F222" s="284"/>
      <c r="G222" s="285"/>
      <c r="H222" s="283"/>
      <c r="I222" s="283"/>
      <c r="J222" s="283"/>
      <c r="K222" s="286"/>
      <c r="L222" s="286"/>
      <c r="M222" s="283"/>
      <c r="N222" s="283"/>
      <c r="O222" s="283"/>
      <c r="P222" s="223"/>
      <c r="Q222" s="283"/>
      <c r="R222" s="223"/>
      <c r="S222" s="223"/>
      <c r="T222" s="223"/>
      <c r="U222" s="223"/>
      <c r="V222" s="223"/>
      <c r="W222" s="223"/>
      <c r="X222" s="223"/>
      <c r="Y222" s="223"/>
      <c r="Z222" s="223"/>
      <c r="AA222" s="223"/>
      <c r="AB222" s="223"/>
      <c r="AC222" s="223"/>
      <c r="AD222" s="223"/>
    </row>
    <row r="223" spans="1:30" ht="23.25" customHeight="1">
      <c r="A223" s="223"/>
      <c r="B223" s="223"/>
      <c r="C223" s="283"/>
      <c r="D223" s="223"/>
      <c r="E223" s="223"/>
      <c r="F223" s="284"/>
      <c r="G223" s="285"/>
      <c r="H223" s="283"/>
      <c r="I223" s="283"/>
      <c r="J223" s="283"/>
      <c r="K223" s="286"/>
      <c r="L223" s="286"/>
      <c r="M223" s="283"/>
      <c r="N223" s="283"/>
      <c r="O223" s="283"/>
      <c r="P223" s="223"/>
      <c r="Q223" s="283"/>
      <c r="R223" s="223"/>
      <c r="S223" s="223"/>
      <c r="T223" s="223"/>
      <c r="U223" s="223"/>
      <c r="V223" s="223"/>
      <c r="W223" s="223"/>
      <c r="X223" s="223"/>
      <c r="Y223" s="223"/>
      <c r="Z223" s="223"/>
      <c r="AA223" s="223"/>
      <c r="AB223" s="223"/>
      <c r="AC223" s="223"/>
      <c r="AD223" s="223"/>
    </row>
    <row r="224" spans="1:30" ht="23.25" customHeight="1">
      <c r="A224" s="223"/>
      <c r="B224" s="223"/>
      <c r="C224" s="283"/>
      <c r="D224" s="223"/>
      <c r="E224" s="223"/>
      <c r="F224" s="284"/>
      <c r="G224" s="285"/>
      <c r="H224" s="283"/>
      <c r="I224" s="283"/>
      <c r="J224" s="283"/>
      <c r="K224" s="286"/>
      <c r="L224" s="286"/>
      <c r="M224" s="283"/>
      <c r="N224" s="283"/>
      <c r="O224" s="283"/>
      <c r="P224" s="223"/>
      <c r="Q224" s="283"/>
      <c r="R224" s="223"/>
      <c r="S224" s="223"/>
      <c r="T224" s="223"/>
      <c r="U224" s="223"/>
      <c r="V224" s="223"/>
      <c r="W224" s="223"/>
      <c r="X224" s="223"/>
      <c r="Y224" s="223"/>
      <c r="Z224" s="223"/>
      <c r="AA224" s="223"/>
      <c r="AB224" s="223"/>
      <c r="AC224" s="223"/>
      <c r="AD224" s="223"/>
    </row>
    <row r="225" spans="1:30" ht="23.25" customHeight="1">
      <c r="A225" s="223"/>
      <c r="B225" s="223"/>
      <c r="C225" s="283"/>
      <c r="D225" s="223"/>
      <c r="E225" s="223"/>
      <c r="F225" s="284"/>
      <c r="G225" s="285"/>
      <c r="H225" s="283"/>
      <c r="I225" s="283"/>
      <c r="J225" s="283"/>
      <c r="K225" s="286"/>
      <c r="L225" s="286"/>
      <c r="M225" s="283"/>
      <c r="N225" s="283"/>
      <c r="O225" s="283"/>
      <c r="P225" s="223"/>
      <c r="Q225" s="283"/>
      <c r="R225" s="223"/>
      <c r="S225" s="223"/>
      <c r="T225" s="223"/>
      <c r="U225" s="223"/>
      <c r="V225" s="223"/>
      <c r="W225" s="223"/>
      <c r="X225" s="223"/>
      <c r="Y225" s="223"/>
      <c r="Z225" s="223"/>
      <c r="AA225" s="223"/>
      <c r="AB225" s="223"/>
      <c r="AC225" s="223"/>
      <c r="AD225" s="223"/>
    </row>
    <row r="226" spans="1:30" ht="23.25" customHeight="1">
      <c r="A226" s="223"/>
      <c r="B226" s="223"/>
      <c r="C226" s="283"/>
      <c r="D226" s="223"/>
      <c r="E226" s="223"/>
      <c r="F226" s="284"/>
      <c r="G226" s="285"/>
      <c r="H226" s="283"/>
      <c r="I226" s="283"/>
      <c r="J226" s="283"/>
      <c r="K226" s="286"/>
      <c r="L226" s="286"/>
      <c r="M226" s="283"/>
      <c r="N226" s="283"/>
      <c r="O226" s="283"/>
      <c r="P226" s="223"/>
      <c r="Q226" s="283"/>
      <c r="R226" s="223"/>
      <c r="S226" s="223"/>
      <c r="T226" s="223"/>
      <c r="U226" s="223"/>
      <c r="V226" s="223"/>
      <c r="W226" s="223"/>
      <c r="X226" s="223"/>
      <c r="Y226" s="223"/>
      <c r="Z226" s="223"/>
      <c r="AA226" s="223"/>
      <c r="AB226" s="223"/>
      <c r="AC226" s="223"/>
      <c r="AD226" s="223"/>
    </row>
    <row r="227" spans="1:30" ht="23.25" customHeight="1">
      <c r="A227" s="223"/>
      <c r="B227" s="223"/>
      <c r="C227" s="283"/>
      <c r="D227" s="223"/>
      <c r="E227" s="223"/>
      <c r="F227" s="284"/>
      <c r="G227" s="285"/>
      <c r="H227" s="283"/>
      <c r="I227" s="283"/>
      <c r="J227" s="283"/>
      <c r="K227" s="286"/>
      <c r="L227" s="286"/>
      <c r="M227" s="283"/>
      <c r="N227" s="283"/>
      <c r="O227" s="283"/>
      <c r="P227" s="223"/>
      <c r="Q227" s="283"/>
      <c r="R227" s="223"/>
      <c r="S227" s="223"/>
      <c r="T227" s="223"/>
      <c r="U227" s="223"/>
      <c r="V227" s="223"/>
      <c r="W227" s="223"/>
      <c r="X227" s="223"/>
      <c r="Y227" s="223"/>
      <c r="Z227" s="223"/>
      <c r="AA227" s="223"/>
      <c r="AB227" s="223"/>
      <c r="AC227" s="223"/>
      <c r="AD227" s="223"/>
    </row>
    <row r="228" spans="1:30" ht="23.25" customHeight="1">
      <c r="A228" s="223"/>
      <c r="B228" s="223"/>
      <c r="C228" s="283"/>
      <c r="D228" s="223"/>
      <c r="E228" s="223"/>
      <c r="F228" s="284"/>
      <c r="G228" s="285"/>
      <c r="H228" s="283"/>
      <c r="I228" s="283"/>
      <c r="J228" s="283"/>
      <c r="K228" s="286"/>
      <c r="L228" s="286"/>
      <c r="M228" s="283"/>
      <c r="N228" s="283"/>
      <c r="O228" s="283"/>
      <c r="P228" s="223"/>
      <c r="Q228" s="283"/>
      <c r="R228" s="223"/>
      <c r="S228" s="223"/>
      <c r="T228" s="223"/>
      <c r="U228" s="223"/>
      <c r="V228" s="223"/>
      <c r="W228" s="223"/>
      <c r="X228" s="223"/>
      <c r="Y228" s="223"/>
      <c r="Z228" s="223"/>
      <c r="AA228" s="223"/>
      <c r="AB228" s="223"/>
      <c r="AC228" s="223"/>
      <c r="AD228" s="223"/>
    </row>
    <row r="229" spans="1:30" ht="23.25" customHeight="1">
      <c r="A229" s="223"/>
      <c r="B229" s="223"/>
      <c r="C229" s="283"/>
      <c r="D229" s="223"/>
      <c r="E229" s="223"/>
      <c r="F229" s="284"/>
      <c r="G229" s="285"/>
      <c r="H229" s="283"/>
      <c r="I229" s="283"/>
      <c r="J229" s="283"/>
      <c r="K229" s="286"/>
      <c r="L229" s="286"/>
      <c r="M229" s="283"/>
      <c r="N229" s="283"/>
      <c r="O229" s="283"/>
      <c r="P229" s="223"/>
      <c r="Q229" s="283"/>
      <c r="R229" s="223"/>
      <c r="S229" s="223"/>
      <c r="T229" s="223"/>
      <c r="U229" s="223"/>
      <c r="V229" s="223"/>
      <c r="W229" s="223"/>
      <c r="X229" s="223"/>
      <c r="Y229" s="223"/>
      <c r="Z229" s="223"/>
      <c r="AA229" s="223"/>
      <c r="AB229" s="223"/>
      <c r="AC229" s="223"/>
      <c r="AD229" s="223"/>
    </row>
    <row r="230" spans="1:30" ht="23.25" customHeight="1">
      <c r="A230" s="223"/>
      <c r="B230" s="223"/>
      <c r="C230" s="283"/>
      <c r="D230" s="223"/>
      <c r="E230" s="223"/>
      <c r="F230" s="284"/>
      <c r="G230" s="285"/>
      <c r="H230" s="283"/>
      <c r="I230" s="283"/>
      <c r="J230" s="283"/>
      <c r="K230" s="286"/>
      <c r="L230" s="286"/>
      <c r="M230" s="283"/>
      <c r="N230" s="283"/>
      <c r="O230" s="283"/>
      <c r="P230" s="223"/>
      <c r="Q230" s="283"/>
      <c r="R230" s="223"/>
      <c r="S230" s="223"/>
      <c r="T230" s="223"/>
      <c r="U230" s="223"/>
      <c r="V230" s="223"/>
      <c r="W230" s="223"/>
      <c r="X230" s="223"/>
      <c r="Y230" s="223"/>
      <c r="Z230" s="223"/>
      <c r="AA230" s="223"/>
      <c r="AB230" s="223"/>
      <c r="AC230" s="223"/>
      <c r="AD230" s="223"/>
    </row>
    <row r="231" spans="1:30" ht="23.25" customHeight="1">
      <c r="A231" s="223"/>
      <c r="B231" s="223"/>
      <c r="C231" s="283"/>
      <c r="D231" s="223"/>
      <c r="E231" s="223"/>
      <c r="F231" s="284"/>
      <c r="G231" s="285"/>
      <c r="H231" s="283"/>
      <c r="I231" s="283"/>
      <c r="J231" s="283"/>
      <c r="K231" s="286"/>
      <c r="L231" s="286"/>
      <c r="M231" s="283"/>
      <c r="N231" s="283"/>
      <c r="O231" s="283"/>
      <c r="P231" s="223"/>
      <c r="Q231" s="283"/>
      <c r="R231" s="223"/>
      <c r="S231" s="223"/>
      <c r="T231" s="223"/>
      <c r="U231" s="223"/>
      <c r="V231" s="223"/>
      <c r="W231" s="223"/>
      <c r="X231" s="223"/>
      <c r="Y231" s="223"/>
      <c r="Z231" s="223"/>
      <c r="AA231" s="223"/>
      <c r="AB231" s="223"/>
      <c r="AC231" s="223"/>
      <c r="AD231" s="223"/>
    </row>
    <row r="232" spans="1:30" ht="23.25" customHeight="1">
      <c r="A232" s="223"/>
      <c r="B232" s="223"/>
      <c r="C232" s="283"/>
      <c r="D232" s="223"/>
      <c r="E232" s="223"/>
      <c r="F232" s="284"/>
      <c r="G232" s="285"/>
      <c r="H232" s="283"/>
      <c r="I232" s="283"/>
      <c r="J232" s="283"/>
      <c r="K232" s="286"/>
      <c r="L232" s="286"/>
      <c r="M232" s="283"/>
      <c r="N232" s="283"/>
      <c r="O232" s="283"/>
      <c r="P232" s="223"/>
      <c r="Q232" s="283"/>
      <c r="R232" s="223"/>
      <c r="S232" s="223"/>
      <c r="T232" s="223"/>
      <c r="U232" s="223"/>
      <c r="V232" s="223"/>
      <c r="W232" s="223"/>
      <c r="X232" s="223"/>
      <c r="Y232" s="223"/>
      <c r="Z232" s="223"/>
      <c r="AA232" s="223"/>
      <c r="AB232" s="223"/>
      <c r="AC232" s="223"/>
      <c r="AD232" s="223"/>
    </row>
    <row r="233" spans="1:30" ht="23.25" customHeight="1">
      <c r="A233" s="223"/>
      <c r="B233" s="223"/>
      <c r="C233" s="283"/>
      <c r="D233" s="223"/>
      <c r="E233" s="223"/>
      <c r="F233" s="284"/>
      <c r="G233" s="285"/>
      <c r="H233" s="283"/>
      <c r="I233" s="283"/>
      <c r="J233" s="283"/>
      <c r="K233" s="286"/>
      <c r="L233" s="286"/>
      <c r="M233" s="283"/>
      <c r="N233" s="283"/>
      <c r="O233" s="283"/>
      <c r="P233" s="223"/>
      <c r="Q233" s="283"/>
      <c r="R233" s="223"/>
      <c r="S233" s="223"/>
      <c r="T233" s="223"/>
      <c r="U233" s="223"/>
      <c r="V233" s="223"/>
      <c r="W233" s="223"/>
      <c r="X233" s="223"/>
      <c r="Y233" s="223"/>
      <c r="Z233" s="223"/>
      <c r="AA233" s="223"/>
      <c r="AB233" s="223"/>
      <c r="AC233" s="223"/>
      <c r="AD233" s="223"/>
    </row>
    <row r="234" spans="1:30" ht="23.25" customHeight="1">
      <c r="A234" s="223"/>
      <c r="B234" s="223"/>
      <c r="C234" s="283"/>
      <c r="D234" s="223"/>
      <c r="E234" s="223"/>
      <c r="F234" s="284"/>
      <c r="G234" s="285"/>
      <c r="H234" s="283"/>
      <c r="I234" s="283"/>
      <c r="J234" s="283"/>
      <c r="K234" s="286"/>
      <c r="L234" s="286"/>
      <c r="M234" s="283"/>
      <c r="N234" s="283"/>
      <c r="O234" s="283"/>
      <c r="P234" s="223"/>
      <c r="Q234" s="283"/>
      <c r="R234" s="223"/>
      <c r="S234" s="223"/>
      <c r="T234" s="223"/>
      <c r="U234" s="223"/>
      <c r="V234" s="223"/>
      <c r="W234" s="223"/>
      <c r="X234" s="223"/>
      <c r="Y234" s="223"/>
      <c r="Z234" s="223"/>
      <c r="AA234" s="223"/>
      <c r="AB234" s="223"/>
      <c r="AC234" s="223"/>
      <c r="AD234" s="223"/>
    </row>
    <row r="235" spans="1:30" ht="23.25" customHeight="1">
      <c r="A235" s="223"/>
      <c r="B235" s="223"/>
      <c r="C235" s="283"/>
      <c r="D235" s="223"/>
      <c r="E235" s="223"/>
      <c r="F235" s="284"/>
      <c r="G235" s="285"/>
      <c r="H235" s="283"/>
      <c r="I235" s="283"/>
      <c r="J235" s="283"/>
      <c r="K235" s="286"/>
      <c r="L235" s="286"/>
      <c r="M235" s="283"/>
      <c r="N235" s="283"/>
      <c r="O235" s="283"/>
      <c r="P235" s="223"/>
      <c r="Q235" s="283"/>
      <c r="R235" s="223"/>
      <c r="S235" s="223"/>
      <c r="T235" s="223"/>
      <c r="U235" s="223"/>
      <c r="V235" s="223"/>
      <c r="W235" s="223"/>
      <c r="X235" s="223"/>
      <c r="Y235" s="223"/>
      <c r="Z235" s="223"/>
      <c r="AA235" s="223"/>
      <c r="AB235" s="223"/>
      <c r="AC235" s="223"/>
      <c r="AD235" s="223"/>
    </row>
    <row r="236" spans="1:30" ht="23.25" customHeight="1">
      <c r="A236" s="223"/>
      <c r="B236" s="223"/>
      <c r="C236" s="283"/>
      <c r="D236" s="223"/>
      <c r="E236" s="223"/>
      <c r="F236" s="284"/>
      <c r="G236" s="285"/>
      <c r="H236" s="283"/>
      <c r="I236" s="283"/>
      <c r="J236" s="283"/>
      <c r="K236" s="286"/>
      <c r="L236" s="286"/>
      <c r="M236" s="283"/>
      <c r="N236" s="283"/>
      <c r="O236" s="283"/>
      <c r="P236" s="223"/>
      <c r="Q236" s="283"/>
      <c r="R236" s="223"/>
      <c r="S236" s="223"/>
      <c r="T236" s="223"/>
      <c r="U236" s="223"/>
      <c r="V236" s="223"/>
      <c r="W236" s="223"/>
      <c r="X236" s="223"/>
      <c r="Y236" s="223"/>
      <c r="Z236" s="223"/>
      <c r="AA236" s="223"/>
      <c r="AB236" s="223"/>
      <c r="AC236" s="223"/>
      <c r="AD236" s="223"/>
    </row>
    <row r="237" spans="1:30" ht="23.25" customHeight="1">
      <c r="A237" s="223"/>
      <c r="B237" s="223"/>
      <c r="C237" s="283"/>
      <c r="D237" s="223"/>
      <c r="E237" s="223"/>
      <c r="F237" s="284"/>
      <c r="G237" s="285"/>
      <c r="H237" s="283"/>
      <c r="I237" s="283"/>
      <c r="J237" s="283"/>
      <c r="K237" s="286"/>
      <c r="L237" s="286"/>
      <c r="M237" s="283"/>
      <c r="N237" s="283"/>
      <c r="O237" s="283"/>
      <c r="P237" s="223"/>
      <c r="Q237" s="283"/>
      <c r="R237" s="223"/>
      <c r="S237" s="223"/>
      <c r="T237" s="223"/>
      <c r="U237" s="223"/>
      <c r="V237" s="223"/>
      <c r="W237" s="223"/>
      <c r="X237" s="223"/>
      <c r="Y237" s="223"/>
      <c r="Z237" s="223"/>
      <c r="AA237" s="223"/>
      <c r="AB237" s="223"/>
      <c r="AC237" s="223"/>
      <c r="AD237" s="223"/>
    </row>
    <row r="238" spans="1:30" ht="23.25" customHeight="1">
      <c r="A238" s="223"/>
      <c r="B238" s="223"/>
      <c r="C238" s="283"/>
      <c r="D238" s="223"/>
      <c r="E238" s="223"/>
      <c r="F238" s="284"/>
      <c r="G238" s="285"/>
      <c r="H238" s="283"/>
      <c r="I238" s="283"/>
      <c r="J238" s="283"/>
      <c r="K238" s="286"/>
      <c r="L238" s="286"/>
      <c r="M238" s="283"/>
      <c r="N238" s="283"/>
      <c r="O238" s="283"/>
      <c r="P238" s="223"/>
      <c r="Q238" s="283"/>
      <c r="R238" s="223"/>
      <c r="S238" s="223"/>
      <c r="T238" s="223"/>
      <c r="U238" s="223"/>
      <c r="V238" s="223"/>
      <c r="W238" s="223"/>
      <c r="X238" s="223"/>
      <c r="Y238" s="223"/>
      <c r="Z238" s="223"/>
      <c r="AA238" s="223"/>
      <c r="AB238" s="223"/>
      <c r="AC238" s="223"/>
      <c r="AD238" s="223"/>
    </row>
    <row r="239" spans="1:30" ht="23.25" customHeight="1">
      <c r="A239" s="223"/>
      <c r="B239" s="223"/>
      <c r="C239" s="283"/>
      <c r="D239" s="223"/>
      <c r="E239" s="223"/>
      <c r="F239" s="284"/>
      <c r="G239" s="285"/>
      <c r="H239" s="283"/>
      <c r="I239" s="283"/>
      <c r="J239" s="283"/>
      <c r="K239" s="286"/>
      <c r="L239" s="286"/>
      <c r="M239" s="283"/>
      <c r="N239" s="283"/>
      <c r="O239" s="283"/>
      <c r="P239" s="223"/>
      <c r="Q239" s="283"/>
      <c r="R239" s="223"/>
      <c r="S239" s="223"/>
      <c r="T239" s="223"/>
      <c r="U239" s="223"/>
      <c r="V239" s="223"/>
      <c r="W239" s="223"/>
      <c r="X239" s="223"/>
      <c r="Y239" s="223"/>
      <c r="Z239" s="223"/>
      <c r="AA239" s="223"/>
      <c r="AB239" s="223"/>
      <c r="AC239" s="223"/>
      <c r="AD239" s="223"/>
    </row>
    <row r="240" spans="1:30" ht="23.25" customHeight="1">
      <c r="A240" s="223"/>
      <c r="B240" s="223"/>
      <c r="C240" s="283"/>
      <c r="D240" s="223"/>
      <c r="E240" s="223"/>
      <c r="F240" s="284"/>
      <c r="G240" s="285"/>
      <c r="H240" s="283"/>
      <c r="I240" s="283"/>
      <c r="J240" s="283"/>
      <c r="K240" s="286"/>
      <c r="L240" s="286"/>
      <c r="M240" s="283"/>
      <c r="N240" s="283"/>
      <c r="O240" s="283"/>
      <c r="P240" s="223"/>
      <c r="Q240" s="283"/>
      <c r="R240" s="223"/>
      <c r="S240" s="223"/>
      <c r="T240" s="223"/>
      <c r="U240" s="223"/>
      <c r="V240" s="223"/>
      <c r="W240" s="223"/>
      <c r="X240" s="223"/>
      <c r="Y240" s="223"/>
      <c r="Z240" s="223"/>
      <c r="AA240" s="223"/>
      <c r="AB240" s="223"/>
      <c r="AC240" s="223"/>
      <c r="AD240" s="223"/>
    </row>
    <row r="241" spans="1:30" ht="23.25" customHeight="1">
      <c r="A241" s="223"/>
      <c r="B241" s="223"/>
      <c r="C241" s="283"/>
      <c r="D241" s="223"/>
      <c r="E241" s="223"/>
      <c r="F241" s="284"/>
      <c r="G241" s="285"/>
      <c r="H241" s="283"/>
      <c r="I241" s="283"/>
      <c r="J241" s="283"/>
      <c r="K241" s="286"/>
      <c r="L241" s="286"/>
      <c r="M241" s="283"/>
      <c r="N241" s="283"/>
      <c r="O241" s="283"/>
      <c r="P241" s="223"/>
      <c r="Q241" s="283"/>
      <c r="R241" s="223"/>
      <c r="S241" s="223"/>
      <c r="T241" s="223"/>
      <c r="U241" s="223"/>
      <c r="V241" s="223"/>
      <c r="W241" s="223"/>
      <c r="X241" s="223"/>
      <c r="Y241" s="223"/>
      <c r="Z241" s="223"/>
      <c r="AA241" s="223"/>
      <c r="AB241" s="223"/>
      <c r="AC241" s="223"/>
      <c r="AD241" s="223"/>
    </row>
    <row r="242" spans="1:30" ht="23.25" customHeight="1">
      <c r="A242" s="223"/>
      <c r="B242" s="223"/>
      <c r="C242" s="283"/>
      <c r="D242" s="223"/>
      <c r="E242" s="223"/>
      <c r="F242" s="284"/>
      <c r="G242" s="285"/>
      <c r="H242" s="283"/>
      <c r="I242" s="283"/>
      <c r="J242" s="283"/>
      <c r="K242" s="286"/>
      <c r="L242" s="286"/>
      <c r="M242" s="283"/>
      <c r="N242" s="283"/>
      <c r="O242" s="283"/>
      <c r="P242" s="223"/>
      <c r="Q242" s="283"/>
      <c r="R242" s="223"/>
      <c r="S242" s="223"/>
      <c r="T242" s="223"/>
      <c r="U242" s="223"/>
      <c r="V242" s="223"/>
      <c r="W242" s="223"/>
      <c r="X242" s="223"/>
      <c r="Y242" s="223"/>
      <c r="Z242" s="223"/>
      <c r="AA242" s="223"/>
      <c r="AB242" s="223"/>
      <c r="AC242" s="223"/>
      <c r="AD242" s="223"/>
    </row>
    <row r="243" spans="1:30" ht="23.25" customHeight="1">
      <c r="A243" s="223"/>
      <c r="B243" s="223"/>
      <c r="C243" s="283"/>
      <c r="D243" s="223"/>
      <c r="E243" s="223"/>
      <c r="F243" s="284"/>
      <c r="G243" s="285"/>
      <c r="H243" s="283"/>
      <c r="I243" s="283"/>
      <c r="J243" s="283"/>
      <c r="K243" s="286"/>
      <c r="L243" s="286"/>
      <c r="M243" s="283"/>
      <c r="N243" s="283"/>
      <c r="O243" s="283"/>
      <c r="P243" s="223"/>
      <c r="Q243" s="283"/>
      <c r="R243" s="223"/>
      <c r="S243" s="223"/>
      <c r="T243" s="223"/>
      <c r="U243" s="223"/>
      <c r="V243" s="223"/>
      <c r="W243" s="223"/>
      <c r="X243" s="223"/>
      <c r="Y243" s="223"/>
      <c r="Z243" s="223"/>
      <c r="AA243" s="223"/>
      <c r="AB243" s="223"/>
      <c r="AC243" s="223"/>
      <c r="AD243" s="223"/>
    </row>
    <row r="244" spans="1:30" ht="23.25" customHeight="1">
      <c r="A244" s="223"/>
      <c r="B244" s="223"/>
      <c r="C244" s="283"/>
      <c r="D244" s="223"/>
      <c r="E244" s="223"/>
      <c r="F244" s="284"/>
      <c r="G244" s="285"/>
      <c r="H244" s="283"/>
      <c r="I244" s="283"/>
      <c r="J244" s="283"/>
      <c r="K244" s="286"/>
      <c r="L244" s="286"/>
      <c r="M244" s="283"/>
      <c r="N244" s="283"/>
      <c r="O244" s="283"/>
      <c r="P244" s="223"/>
      <c r="Q244" s="283"/>
      <c r="R244" s="223"/>
      <c r="S244" s="223"/>
      <c r="T244" s="223"/>
      <c r="U244" s="223"/>
      <c r="V244" s="223"/>
      <c r="W244" s="223"/>
      <c r="X244" s="223"/>
      <c r="Y244" s="223"/>
      <c r="Z244" s="223"/>
      <c r="AA244" s="223"/>
      <c r="AB244" s="223"/>
      <c r="AC244" s="223"/>
      <c r="AD244" s="223"/>
    </row>
    <row r="245" spans="1:30" ht="23.25" customHeight="1">
      <c r="A245" s="223"/>
      <c r="B245" s="223"/>
      <c r="C245" s="283"/>
      <c r="D245" s="223"/>
      <c r="E245" s="223"/>
      <c r="F245" s="284"/>
      <c r="G245" s="285"/>
      <c r="H245" s="283"/>
      <c r="I245" s="283"/>
      <c r="J245" s="283"/>
      <c r="K245" s="286"/>
      <c r="L245" s="286"/>
      <c r="M245" s="283"/>
      <c r="N245" s="283"/>
      <c r="O245" s="283"/>
      <c r="P245" s="223"/>
      <c r="Q245" s="283"/>
      <c r="R245" s="223"/>
      <c r="S245" s="223"/>
      <c r="T245" s="223"/>
      <c r="U245" s="223"/>
      <c r="V245" s="223"/>
      <c r="W245" s="223"/>
      <c r="X245" s="223"/>
      <c r="Y245" s="223"/>
      <c r="Z245" s="223"/>
      <c r="AA245" s="223"/>
      <c r="AB245" s="223"/>
      <c r="AC245" s="223"/>
      <c r="AD245" s="223"/>
    </row>
    <row r="246" spans="1:30" ht="23.25" customHeight="1">
      <c r="A246" s="223"/>
      <c r="B246" s="223"/>
      <c r="C246" s="283"/>
      <c r="D246" s="223"/>
      <c r="E246" s="223"/>
      <c r="F246" s="284"/>
      <c r="G246" s="285"/>
      <c r="H246" s="283"/>
      <c r="I246" s="283"/>
      <c r="J246" s="283"/>
      <c r="K246" s="286"/>
      <c r="L246" s="286"/>
      <c r="M246" s="283"/>
      <c r="N246" s="283"/>
      <c r="O246" s="283"/>
      <c r="P246" s="223"/>
      <c r="Q246" s="283"/>
      <c r="R246" s="223"/>
      <c r="S246" s="223"/>
      <c r="T246" s="223"/>
      <c r="U246" s="223"/>
      <c r="V246" s="223"/>
      <c r="W246" s="223"/>
      <c r="X246" s="223"/>
      <c r="Y246" s="223"/>
      <c r="Z246" s="223"/>
      <c r="AA246" s="223"/>
      <c r="AB246" s="223"/>
      <c r="AC246" s="223"/>
      <c r="AD246" s="223"/>
    </row>
    <row r="247" spans="1:30" ht="23.25" customHeight="1">
      <c r="A247" s="223"/>
      <c r="B247" s="223"/>
      <c r="C247" s="283"/>
      <c r="D247" s="223"/>
      <c r="E247" s="223"/>
      <c r="F247" s="284"/>
      <c r="G247" s="285"/>
      <c r="H247" s="283"/>
      <c r="I247" s="283"/>
      <c r="J247" s="283"/>
      <c r="K247" s="286"/>
      <c r="L247" s="286"/>
      <c r="M247" s="283"/>
      <c r="N247" s="283"/>
      <c r="O247" s="283"/>
      <c r="P247" s="223"/>
      <c r="Q247" s="283"/>
      <c r="R247" s="223"/>
      <c r="S247" s="223"/>
      <c r="T247" s="223"/>
      <c r="U247" s="223"/>
      <c r="V247" s="223"/>
      <c r="W247" s="223"/>
      <c r="X247" s="223"/>
      <c r="Y247" s="223"/>
      <c r="Z247" s="223"/>
      <c r="AA247" s="223"/>
      <c r="AB247" s="223"/>
      <c r="AC247" s="223"/>
      <c r="AD247" s="223"/>
    </row>
    <row r="248" spans="1:30" ht="23.25" customHeight="1">
      <c r="A248" s="223"/>
      <c r="B248" s="223"/>
      <c r="C248" s="283"/>
      <c r="D248" s="223"/>
      <c r="E248" s="223"/>
      <c r="F248" s="284"/>
      <c r="G248" s="285"/>
      <c r="H248" s="283"/>
      <c r="I248" s="283"/>
      <c r="J248" s="283"/>
      <c r="K248" s="286"/>
      <c r="L248" s="286"/>
      <c r="M248" s="283"/>
      <c r="N248" s="283"/>
      <c r="O248" s="283"/>
      <c r="P248" s="223"/>
      <c r="Q248" s="283"/>
      <c r="R248" s="223"/>
      <c r="S248" s="223"/>
      <c r="T248" s="223"/>
      <c r="U248" s="223"/>
      <c r="V248" s="223"/>
      <c r="W248" s="223"/>
      <c r="X248" s="223"/>
      <c r="Y248" s="223"/>
      <c r="Z248" s="223"/>
      <c r="AA248" s="223"/>
      <c r="AB248" s="223"/>
      <c r="AC248" s="223"/>
      <c r="AD248" s="223"/>
    </row>
    <row r="249" spans="1:30" ht="23.25" customHeight="1">
      <c r="A249" s="223"/>
      <c r="B249" s="223"/>
      <c r="C249" s="283"/>
      <c r="D249" s="223"/>
      <c r="E249" s="223"/>
      <c r="F249" s="284"/>
      <c r="G249" s="285"/>
      <c r="H249" s="283"/>
      <c r="I249" s="283"/>
      <c r="J249" s="283"/>
      <c r="K249" s="286"/>
      <c r="L249" s="286"/>
      <c r="M249" s="283"/>
      <c r="N249" s="283"/>
      <c r="O249" s="283"/>
      <c r="P249" s="223"/>
      <c r="Q249" s="283"/>
      <c r="R249" s="223"/>
      <c r="S249" s="223"/>
      <c r="T249" s="223"/>
      <c r="U249" s="223"/>
      <c r="V249" s="223"/>
      <c r="W249" s="223"/>
      <c r="X249" s="223"/>
      <c r="Y249" s="223"/>
      <c r="Z249" s="223"/>
      <c r="AA249" s="223"/>
      <c r="AB249" s="223"/>
      <c r="AC249" s="223"/>
      <c r="AD249" s="223"/>
    </row>
    <row r="250" spans="1:30" ht="23.25" customHeight="1">
      <c r="A250" s="223"/>
      <c r="B250" s="223"/>
      <c r="C250" s="283"/>
      <c r="D250" s="223"/>
      <c r="E250" s="223"/>
      <c r="F250" s="284"/>
      <c r="G250" s="285"/>
      <c r="H250" s="283"/>
      <c r="I250" s="283"/>
      <c r="J250" s="283"/>
      <c r="K250" s="286"/>
      <c r="L250" s="286"/>
      <c r="M250" s="283"/>
      <c r="N250" s="283"/>
      <c r="O250" s="283"/>
      <c r="P250" s="223"/>
      <c r="Q250" s="283"/>
      <c r="R250" s="223"/>
      <c r="S250" s="223"/>
      <c r="T250" s="223"/>
      <c r="U250" s="223"/>
      <c r="V250" s="223"/>
      <c r="W250" s="223"/>
      <c r="X250" s="223"/>
      <c r="Y250" s="223"/>
      <c r="Z250" s="223"/>
      <c r="AA250" s="223"/>
      <c r="AB250" s="223"/>
      <c r="AC250" s="223"/>
      <c r="AD250" s="223"/>
    </row>
    <row r="251" spans="1:30" ht="23.25" customHeight="1">
      <c r="A251" s="223"/>
      <c r="B251" s="223"/>
      <c r="C251" s="283"/>
      <c r="D251" s="223"/>
      <c r="E251" s="223"/>
      <c r="F251" s="284"/>
      <c r="G251" s="285"/>
      <c r="H251" s="283"/>
      <c r="I251" s="283"/>
      <c r="J251" s="283"/>
      <c r="K251" s="286"/>
      <c r="L251" s="286"/>
      <c r="M251" s="283"/>
      <c r="N251" s="283"/>
      <c r="O251" s="283"/>
      <c r="P251" s="223"/>
      <c r="Q251" s="283"/>
      <c r="R251" s="223"/>
      <c r="S251" s="223"/>
      <c r="T251" s="223"/>
      <c r="U251" s="223"/>
      <c r="V251" s="223"/>
      <c r="W251" s="223"/>
      <c r="X251" s="223"/>
      <c r="Y251" s="223"/>
      <c r="Z251" s="223"/>
      <c r="AA251" s="223"/>
      <c r="AB251" s="223"/>
      <c r="AC251" s="223"/>
      <c r="AD251" s="223"/>
    </row>
    <row r="252" spans="1:30" ht="23.25" customHeight="1">
      <c r="A252" s="223"/>
      <c r="B252" s="223"/>
      <c r="C252" s="283"/>
      <c r="D252" s="223"/>
      <c r="E252" s="223"/>
      <c r="F252" s="284"/>
      <c r="G252" s="285"/>
      <c r="H252" s="283"/>
      <c r="I252" s="283"/>
      <c r="J252" s="283"/>
      <c r="K252" s="286"/>
      <c r="L252" s="286"/>
      <c r="M252" s="283"/>
      <c r="N252" s="283"/>
      <c r="O252" s="283"/>
      <c r="P252" s="223"/>
      <c r="Q252" s="283"/>
      <c r="R252" s="223"/>
      <c r="S252" s="223"/>
      <c r="T252" s="223"/>
      <c r="U252" s="223"/>
      <c r="V252" s="223"/>
      <c r="W252" s="223"/>
      <c r="X252" s="223"/>
      <c r="Y252" s="223"/>
      <c r="Z252" s="223"/>
      <c r="AA252" s="223"/>
      <c r="AB252" s="223"/>
      <c r="AC252" s="223"/>
      <c r="AD252" s="223"/>
    </row>
    <row r="253" spans="1:30" ht="23.25" customHeight="1">
      <c r="A253" s="223"/>
      <c r="B253" s="223"/>
      <c r="C253" s="283"/>
      <c r="D253" s="223"/>
      <c r="E253" s="223"/>
      <c r="F253" s="284"/>
      <c r="G253" s="285"/>
      <c r="H253" s="283"/>
      <c r="I253" s="283"/>
      <c r="J253" s="283"/>
      <c r="K253" s="286"/>
      <c r="L253" s="286"/>
      <c r="M253" s="283"/>
      <c r="N253" s="283"/>
      <c r="O253" s="283"/>
      <c r="P253" s="223"/>
      <c r="Q253" s="283"/>
      <c r="R253" s="223"/>
      <c r="S253" s="223"/>
      <c r="T253" s="223"/>
      <c r="U253" s="223"/>
      <c r="V253" s="223"/>
      <c r="W253" s="223"/>
      <c r="X253" s="223"/>
      <c r="Y253" s="223"/>
      <c r="Z253" s="223"/>
      <c r="AA253" s="223"/>
      <c r="AB253" s="223"/>
      <c r="AC253" s="223"/>
      <c r="AD253" s="223"/>
    </row>
    <row r="254" spans="1:30" ht="23.25" customHeight="1">
      <c r="A254" s="223"/>
      <c r="B254" s="223"/>
      <c r="C254" s="283"/>
      <c r="D254" s="223"/>
      <c r="E254" s="223"/>
      <c r="F254" s="284"/>
      <c r="G254" s="285"/>
      <c r="H254" s="283"/>
      <c r="I254" s="283"/>
      <c r="J254" s="283"/>
      <c r="K254" s="286"/>
      <c r="L254" s="286"/>
      <c r="M254" s="283"/>
      <c r="N254" s="283"/>
      <c r="O254" s="283"/>
      <c r="P254" s="223"/>
      <c r="Q254" s="283"/>
      <c r="R254" s="223"/>
      <c r="S254" s="223"/>
      <c r="T254" s="223"/>
      <c r="U254" s="223"/>
      <c r="V254" s="223"/>
      <c r="W254" s="223"/>
      <c r="X254" s="223"/>
      <c r="Y254" s="223"/>
      <c r="Z254" s="223"/>
      <c r="AA254" s="223"/>
      <c r="AB254" s="223"/>
      <c r="AC254" s="223"/>
      <c r="AD254" s="223"/>
    </row>
    <row r="255" spans="1:30" ht="23.25" customHeight="1">
      <c r="A255" s="223"/>
      <c r="B255" s="223"/>
      <c r="C255" s="283"/>
      <c r="D255" s="223"/>
      <c r="E255" s="223"/>
      <c r="F255" s="284"/>
      <c r="G255" s="285"/>
      <c r="H255" s="283"/>
      <c r="I255" s="283"/>
      <c r="J255" s="283"/>
      <c r="K255" s="286"/>
      <c r="L255" s="286"/>
      <c r="M255" s="283"/>
      <c r="N255" s="283"/>
      <c r="O255" s="283"/>
      <c r="P255" s="223"/>
      <c r="Q255" s="283"/>
      <c r="R255" s="223"/>
      <c r="S255" s="223"/>
      <c r="T255" s="223"/>
      <c r="U255" s="223"/>
      <c r="V255" s="223"/>
      <c r="W255" s="223"/>
      <c r="X255" s="223"/>
      <c r="Y255" s="223"/>
      <c r="Z255" s="223"/>
      <c r="AA255" s="223"/>
      <c r="AB255" s="223"/>
      <c r="AC255" s="223"/>
      <c r="AD255" s="223"/>
    </row>
    <row r="256" spans="1:30" ht="23.25" customHeight="1">
      <c r="A256" s="223"/>
      <c r="B256" s="223"/>
      <c r="C256" s="283"/>
      <c r="D256" s="223"/>
      <c r="E256" s="223"/>
      <c r="F256" s="284"/>
      <c r="G256" s="285"/>
      <c r="H256" s="283"/>
      <c r="I256" s="283"/>
      <c r="J256" s="283"/>
      <c r="K256" s="286"/>
      <c r="L256" s="286"/>
      <c r="M256" s="283"/>
      <c r="N256" s="283"/>
      <c r="O256" s="283"/>
      <c r="P256" s="223"/>
      <c r="Q256" s="283"/>
      <c r="R256" s="223"/>
      <c r="S256" s="223"/>
      <c r="T256" s="223"/>
      <c r="U256" s="223"/>
      <c r="V256" s="223"/>
      <c r="W256" s="223"/>
      <c r="X256" s="223"/>
      <c r="Y256" s="223"/>
      <c r="Z256" s="223"/>
      <c r="AA256" s="223"/>
      <c r="AB256" s="223"/>
      <c r="AC256" s="223"/>
      <c r="AD256" s="223"/>
    </row>
    <row r="257" spans="1:30" ht="23.25" customHeight="1">
      <c r="A257" s="223"/>
      <c r="B257" s="223"/>
      <c r="C257" s="283"/>
      <c r="D257" s="223"/>
      <c r="E257" s="223"/>
      <c r="F257" s="284"/>
      <c r="G257" s="285"/>
      <c r="H257" s="283"/>
      <c r="I257" s="283"/>
      <c r="J257" s="283"/>
      <c r="K257" s="286"/>
      <c r="L257" s="286"/>
      <c r="M257" s="283"/>
      <c r="N257" s="283"/>
      <c r="O257" s="283"/>
      <c r="P257" s="223"/>
      <c r="Q257" s="283"/>
      <c r="R257" s="223"/>
      <c r="S257" s="223"/>
      <c r="T257" s="223"/>
      <c r="U257" s="223"/>
      <c r="V257" s="223"/>
      <c r="W257" s="223"/>
      <c r="X257" s="223"/>
      <c r="Y257" s="223"/>
      <c r="Z257" s="223"/>
      <c r="AA257" s="223"/>
      <c r="AB257" s="223"/>
      <c r="AC257" s="223"/>
      <c r="AD257" s="223"/>
    </row>
    <row r="258" spans="1:30" ht="23.25" customHeight="1">
      <c r="A258" s="223"/>
      <c r="B258" s="223"/>
      <c r="C258" s="283"/>
      <c r="D258" s="223"/>
      <c r="E258" s="223"/>
      <c r="F258" s="284"/>
      <c r="G258" s="285"/>
      <c r="H258" s="283"/>
      <c r="I258" s="283"/>
      <c r="J258" s="283"/>
      <c r="K258" s="286"/>
      <c r="L258" s="286"/>
      <c r="M258" s="283"/>
      <c r="N258" s="283"/>
      <c r="O258" s="283"/>
      <c r="P258" s="223"/>
      <c r="Q258" s="283"/>
      <c r="R258" s="223"/>
      <c r="S258" s="223"/>
      <c r="T258" s="223"/>
      <c r="U258" s="223"/>
      <c r="V258" s="223"/>
      <c r="W258" s="223"/>
      <c r="X258" s="223"/>
      <c r="Y258" s="223"/>
      <c r="Z258" s="223"/>
      <c r="AA258" s="223"/>
      <c r="AB258" s="223"/>
      <c r="AC258" s="223"/>
      <c r="AD258" s="223"/>
    </row>
    <row r="259" spans="1:30" ht="23.25" customHeight="1">
      <c r="A259" s="223"/>
      <c r="B259" s="223"/>
      <c r="C259" s="283"/>
      <c r="D259" s="223"/>
      <c r="E259" s="223"/>
      <c r="F259" s="284"/>
      <c r="G259" s="285"/>
      <c r="H259" s="283"/>
      <c r="I259" s="283"/>
      <c r="J259" s="283"/>
      <c r="K259" s="286"/>
      <c r="L259" s="286"/>
      <c r="M259" s="283"/>
      <c r="N259" s="283"/>
      <c r="O259" s="283"/>
      <c r="P259" s="223"/>
      <c r="Q259" s="283"/>
      <c r="R259" s="223"/>
      <c r="S259" s="223"/>
      <c r="T259" s="223"/>
      <c r="U259" s="223"/>
      <c r="V259" s="223"/>
      <c r="W259" s="223"/>
      <c r="X259" s="223"/>
      <c r="Y259" s="223"/>
      <c r="Z259" s="223"/>
      <c r="AA259" s="223"/>
      <c r="AB259" s="223"/>
      <c r="AC259" s="223"/>
      <c r="AD259" s="223"/>
    </row>
    <row r="260" spans="1:30" ht="23.25" customHeight="1">
      <c r="A260" s="223"/>
      <c r="B260" s="223"/>
      <c r="C260" s="283"/>
      <c r="D260" s="223"/>
      <c r="E260" s="223"/>
      <c r="F260" s="284"/>
      <c r="G260" s="285"/>
      <c r="H260" s="283"/>
      <c r="I260" s="283"/>
      <c r="J260" s="283"/>
      <c r="K260" s="286"/>
      <c r="L260" s="286"/>
      <c r="M260" s="283"/>
      <c r="N260" s="283"/>
      <c r="O260" s="283"/>
      <c r="P260" s="223"/>
      <c r="Q260" s="283"/>
      <c r="R260" s="223"/>
      <c r="S260" s="223"/>
      <c r="T260" s="223"/>
      <c r="U260" s="223"/>
      <c r="V260" s="223"/>
      <c r="W260" s="223"/>
      <c r="X260" s="223"/>
      <c r="Y260" s="223"/>
      <c r="Z260" s="223"/>
      <c r="AA260" s="223"/>
      <c r="AB260" s="223"/>
      <c r="AC260" s="223"/>
      <c r="AD260" s="223"/>
    </row>
    <row r="261" spans="1:30" ht="23.25" customHeight="1">
      <c r="A261" s="223"/>
      <c r="B261" s="223"/>
      <c r="C261" s="283"/>
      <c r="D261" s="223"/>
      <c r="E261" s="223"/>
      <c r="F261" s="284"/>
      <c r="G261" s="285"/>
      <c r="H261" s="283"/>
      <c r="I261" s="283"/>
      <c r="J261" s="283"/>
      <c r="K261" s="286"/>
      <c r="L261" s="286"/>
      <c r="M261" s="283"/>
      <c r="N261" s="283"/>
      <c r="O261" s="283"/>
      <c r="P261" s="223"/>
      <c r="Q261" s="283"/>
      <c r="R261" s="223"/>
      <c r="S261" s="223"/>
      <c r="T261" s="223"/>
      <c r="U261" s="223"/>
      <c r="V261" s="223"/>
      <c r="W261" s="223"/>
      <c r="X261" s="223"/>
      <c r="Y261" s="223"/>
      <c r="Z261" s="223"/>
      <c r="AA261" s="223"/>
      <c r="AB261" s="223"/>
      <c r="AC261" s="223"/>
      <c r="AD261" s="223"/>
    </row>
    <row r="262" spans="1:30" ht="23.25" customHeight="1">
      <c r="A262" s="223"/>
      <c r="B262" s="223"/>
      <c r="C262" s="283"/>
      <c r="D262" s="223"/>
      <c r="E262" s="223"/>
      <c r="F262" s="284"/>
      <c r="G262" s="285"/>
      <c r="H262" s="283"/>
      <c r="I262" s="283"/>
      <c r="J262" s="283"/>
      <c r="K262" s="286"/>
      <c r="L262" s="286"/>
      <c r="M262" s="283"/>
      <c r="N262" s="283"/>
      <c r="O262" s="283"/>
      <c r="P262" s="223"/>
      <c r="Q262" s="283"/>
      <c r="R262" s="223"/>
      <c r="S262" s="223"/>
      <c r="T262" s="223"/>
      <c r="U262" s="223"/>
      <c r="V262" s="223"/>
      <c r="W262" s="223"/>
      <c r="X262" s="223"/>
      <c r="Y262" s="223"/>
      <c r="Z262" s="223"/>
      <c r="AA262" s="223"/>
      <c r="AB262" s="223"/>
      <c r="AC262" s="223"/>
      <c r="AD262" s="223"/>
    </row>
    <row r="263" spans="1:30" ht="23.25" customHeight="1">
      <c r="A263" s="223"/>
      <c r="B263" s="223"/>
      <c r="C263" s="283"/>
      <c r="D263" s="223"/>
      <c r="E263" s="223"/>
      <c r="F263" s="284"/>
      <c r="G263" s="285"/>
      <c r="H263" s="283"/>
      <c r="I263" s="283"/>
      <c r="J263" s="283"/>
      <c r="K263" s="286"/>
      <c r="L263" s="286"/>
      <c r="M263" s="283"/>
      <c r="N263" s="283"/>
      <c r="O263" s="283"/>
      <c r="P263" s="223"/>
      <c r="Q263" s="283"/>
      <c r="R263" s="223"/>
      <c r="S263" s="223"/>
      <c r="T263" s="223"/>
      <c r="U263" s="223"/>
      <c r="V263" s="223"/>
      <c r="W263" s="223"/>
      <c r="X263" s="223"/>
      <c r="Y263" s="223"/>
      <c r="Z263" s="223"/>
      <c r="AA263" s="223"/>
      <c r="AB263" s="223"/>
      <c r="AC263" s="223"/>
      <c r="AD263" s="223"/>
    </row>
    <row r="264" spans="1:30" ht="23.25" customHeight="1">
      <c r="A264" s="223"/>
      <c r="B264" s="223"/>
      <c r="C264" s="283"/>
      <c r="D264" s="223"/>
      <c r="E264" s="223"/>
      <c r="F264" s="284"/>
      <c r="G264" s="285"/>
      <c r="H264" s="283"/>
      <c r="I264" s="283"/>
      <c r="J264" s="283"/>
      <c r="K264" s="286"/>
      <c r="L264" s="286"/>
      <c r="M264" s="283"/>
      <c r="N264" s="283"/>
      <c r="O264" s="283"/>
      <c r="P264" s="223"/>
      <c r="Q264" s="283"/>
      <c r="R264" s="223"/>
      <c r="S264" s="223"/>
      <c r="T264" s="223"/>
      <c r="U264" s="223"/>
      <c r="V264" s="223"/>
      <c r="W264" s="223"/>
      <c r="X264" s="223"/>
      <c r="Y264" s="223"/>
      <c r="Z264" s="223"/>
      <c r="AA264" s="223"/>
      <c r="AB264" s="223"/>
      <c r="AC264" s="223"/>
      <c r="AD264" s="223"/>
    </row>
    <row r="265" spans="1:30" ht="23.25" customHeight="1">
      <c r="A265" s="223"/>
      <c r="B265" s="223"/>
      <c r="C265" s="283"/>
      <c r="D265" s="223"/>
      <c r="E265" s="223"/>
      <c r="F265" s="284"/>
      <c r="G265" s="285"/>
      <c r="H265" s="283"/>
      <c r="I265" s="283"/>
      <c r="J265" s="283"/>
      <c r="K265" s="286"/>
      <c r="L265" s="286"/>
      <c r="M265" s="283"/>
      <c r="N265" s="283"/>
      <c r="O265" s="283"/>
      <c r="P265" s="223"/>
      <c r="Q265" s="283"/>
      <c r="R265" s="223"/>
      <c r="S265" s="223"/>
      <c r="T265" s="223"/>
      <c r="U265" s="223"/>
      <c r="V265" s="223"/>
      <c r="W265" s="223"/>
      <c r="X265" s="223"/>
      <c r="Y265" s="223"/>
      <c r="Z265" s="223"/>
      <c r="AA265" s="223"/>
      <c r="AB265" s="223"/>
      <c r="AC265" s="223"/>
      <c r="AD265" s="223"/>
    </row>
    <row r="266" spans="1:30" ht="23.25" customHeight="1">
      <c r="A266" s="223"/>
      <c r="B266" s="223"/>
      <c r="C266" s="283"/>
      <c r="D266" s="223"/>
      <c r="E266" s="223"/>
      <c r="F266" s="284"/>
      <c r="G266" s="285"/>
      <c r="H266" s="283"/>
      <c r="I266" s="283"/>
      <c r="J266" s="283"/>
      <c r="K266" s="286"/>
      <c r="L266" s="286"/>
      <c r="M266" s="283"/>
      <c r="N266" s="283"/>
      <c r="O266" s="283"/>
      <c r="P266" s="223"/>
      <c r="Q266" s="283"/>
      <c r="R266" s="223"/>
      <c r="S266" s="223"/>
      <c r="T266" s="223"/>
      <c r="U266" s="223"/>
      <c r="V266" s="223"/>
      <c r="W266" s="223"/>
      <c r="X266" s="223"/>
      <c r="Y266" s="223"/>
      <c r="Z266" s="223"/>
      <c r="AA266" s="223"/>
      <c r="AB266" s="223"/>
      <c r="AC266" s="223"/>
      <c r="AD266" s="223"/>
    </row>
    <row r="267" spans="1:30" ht="23.25" customHeight="1">
      <c r="A267" s="223"/>
      <c r="B267" s="223"/>
      <c r="C267" s="283"/>
      <c r="D267" s="223"/>
      <c r="E267" s="223"/>
      <c r="F267" s="284"/>
      <c r="G267" s="285"/>
      <c r="H267" s="283"/>
      <c r="I267" s="283"/>
      <c r="J267" s="283"/>
      <c r="K267" s="286"/>
      <c r="L267" s="286"/>
      <c r="M267" s="283"/>
      <c r="N267" s="283"/>
      <c r="O267" s="283"/>
      <c r="P267" s="223"/>
      <c r="Q267" s="283"/>
      <c r="R267" s="223"/>
      <c r="S267" s="223"/>
      <c r="T267" s="223"/>
      <c r="U267" s="223"/>
      <c r="V267" s="223"/>
      <c r="W267" s="223"/>
      <c r="X267" s="223"/>
      <c r="Y267" s="223"/>
      <c r="Z267" s="223"/>
      <c r="AA267" s="223"/>
      <c r="AB267" s="223"/>
      <c r="AC267" s="223"/>
      <c r="AD267" s="223"/>
    </row>
    <row r="268" spans="1:30" ht="23.25" customHeight="1">
      <c r="A268" s="223"/>
      <c r="B268" s="223"/>
      <c r="C268" s="283"/>
      <c r="D268" s="223"/>
      <c r="E268" s="223"/>
      <c r="F268" s="284"/>
      <c r="G268" s="285"/>
      <c r="H268" s="283"/>
      <c r="I268" s="283"/>
      <c r="J268" s="283"/>
      <c r="K268" s="286"/>
      <c r="L268" s="286"/>
      <c r="M268" s="283"/>
      <c r="N268" s="283"/>
      <c r="O268" s="283"/>
      <c r="P268" s="223"/>
      <c r="Q268" s="283"/>
      <c r="R268" s="223"/>
      <c r="S268" s="223"/>
      <c r="T268" s="223"/>
      <c r="U268" s="223"/>
      <c r="V268" s="223"/>
      <c r="W268" s="223"/>
      <c r="X268" s="223"/>
      <c r="Y268" s="223"/>
      <c r="Z268" s="223"/>
      <c r="AA268" s="223"/>
      <c r="AB268" s="223"/>
      <c r="AC268" s="223"/>
      <c r="AD268" s="223"/>
    </row>
    <row r="269" spans="1:30" ht="23.25" customHeight="1">
      <c r="A269" s="223"/>
      <c r="B269" s="223"/>
      <c r="C269" s="283"/>
      <c r="D269" s="223"/>
      <c r="E269" s="223"/>
      <c r="F269" s="284"/>
      <c r="G269" s="285"/>
      <c r="H269" s="283"/>
      <c r="I269" s="283"/>
      <c r="J269" s="283"/>
      <c r="K269" s="286"/>
      <c r="L269" s="286"/>
      <c r="M269" s="283"/>
      <c r="N269" s="283"/>
      <c r="O269" s="283"/>
      <c r="P269" s="223"/>
      <c r="Q269" s="283"/>
      <c r="R269" s="223"/>
      <c r="S269" s="223"/>
      <c r="T269" s="223"/>
      <c r="U269" s="223"/>
      <c r="V269" s="223"/>
      <c r="W269" s="223"/>
      <c r="X269" s="223"/>
      <c r="Y269" s="223"/>
      <c r="Z269" s="223"/>
      <c r="AA269" s="223"/>
      <c r="AB269" s="223"/>
      <c r="AC269" s="223"/>
      <c r="AD269" s="223"/>
    </row>
    <row r="270" spans="1:30" ht="23.25" customHeight="1">
      <c r="A270" s="223"/>
      <c r="B270" s="223"/>
      <c r="C270" s="283"/>
      <c r="D270" s="223"/>
      <c r="E270" s="223"/>
      <c r="F270" s="284"/>
      <c r="G270" s="285"/>
      <c r="H270" s="283"/>
      <c r="I270" s="283"/>
      <c r="J270" s="283"/>
      <c r="K270" s="286"/>
      <c r="L270" s="286"/>
      <c r="M270" s="283"/>
      <c r="N270" s="283"/>
      <c r="O270" s="283"/>
      <c r="P270" s="223"/>
      <c r="Q270" s="283"/>
      <c r="R270" s="223"/>
      <c r="S270" s="223"/>
      <c r="T270" s="223"/>
      <c r="U270" s="223"/>
      <c r="V270" s="223"/>
      <c r="W270" s="223"/>
      <c r="X270" s="223"/>
      <c r="Y270" s="223"/>
      <c r="Z270" s="223"/>
      <c r="AA270" s="223"/>
      <c r="AB270" s="223"/>
      <c r="AC270" s="223"/>
      <c r="AD270" s="223"/>
    </row>
    <row r="271" spans="1:30" ht="15.75" customHeight="1"/>
    <row r="272" spans="1:3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</sheetData>
  <autoFilter ref="A1:Q677" xr:uid="{00000000-0009-0000-0000-00000B000000}"/>
  <mergeCells count="11">
    <mergeCell ref="E65:F65"/>
    <mergeCell ref="A1:C1"/>
    <mergeCell ref="G2:G3"/>
    <mergeCell ref="E62:F62"/>
    <mergeCell ref="E63:F63"/>
    <mergeCell ref="E64:F64"/>
    <mergeCell ref="E66:F66"/>
    <mergeCell ref="E67:F67"/>
    <mergeCell ref="E68:F68"/>
    <mergeCell ref="E69:F69"/>
    <mergeCell ref="A70:F70"/>
  </mergeCells>
  <conditionalFormatting sqref="J2:P2">
    <cfRule type="cellIs" dxfId="2" priority="1" operator="equal">
      <formula>"สั่งซื้อเพิ่ม"</formula>
    </cfRule>
  </conditionalFormatting>
  <conditionalFormatting sqref="K3:P4 K5:N69 P5:P69 O5:O70 M70:N70 Q70:Q677">
    <cfRule type="cellIs" dxfId="1" priority="2" operator="equal">
      <formula>"สั่งซื้อเพิ่ม"</formula>
    </cfRule>
  </conditionalFormatting>
  <printOptions horizontalCentered="1"/>
  <pageMargins left="0.19685039370078741" right="0.19685039370078741" top="0.19685039370078741" bottom="0.19685039370078741" header="0" footer="0"/>
  <pageSetup paperSize="9" scale="56" fitToHeight="0" orientation="landscape" r:id="rId1"/>
  <rowBreaks count="1" manualBreakCount="1">
    <brk id="34" max="1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68"/>
  <sheetViews>
    <sheetView topLeftCell="A19" zoomScale="92" zoomScaleNormal="92" workbookViewId="0">
      <selection activeCell="H24" sqref="H24"/>
    </sheetView>
  </sheetViews>
  <sheetFormatPr defaultColWidth="14.453125" defaultRowHeight="15" customHeight="1"/>
  <cols>
    <col min="1" max="1" width="11" bestFit="1" customWidth="1"/>
    <col min="2" max="2" width="37" bestFit="1" customWidth="1"/>
    <col min="3" max="3" width="8.26953125" bestFit="1" customWidth="1"/>
    <col min="4" max="4" width="11" bestFit="1" customWidth="1"/>
    <col min="5" max="5" width="14.90625" bestFit="1" customWidth="1"/>
    <col min="6" max="20" width="9" customWidth="1"/>
  </cols>
  <sheetData>
    <row r="1" spans="1:21" ht="26">
      <c r="A1" s="403" t="s">
        <v>372</v>
      </c>
      <c r="B1" s="404" t="s">
        <v>396</v>
      </c>
      <c r="C1" s="405" t="s">
        <v>373</v>
      </c>
      <c r="D1" s="405" t="s">
        <v>374</v>
      </c>
      <c r="E1" s="405" t="s">
        <v>18</v>
      </c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2"/>
    </row>
    <row r="2" spans="1:21" ht="26">
      <c r="A2" s="406" t="s">
        <v>375</v>
      </c>
      <c r="B2" s="407" t="s">
        <v>376</v>
      </c>
      <c r="C2" s="408">
        <f>'CT1'!I40</f>
        <v>29.424235506250007</v>
      </c>
      <c r="D2" s="408">
        <v>15000</v>
      </c>
      <c r="E2" s="408">
        <f>'CT1'!L40</f>
        <v>441363.53259374999</v>
      </c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2"/>
    </row>
    <row r="3" spans="1:21" ht="26">
      <c r="A3" s="406" t="s">
        <v>375</v>
      </c>
      <c r="B3" s="407" t="s">
        <v>377</v>
      </c>
      <c r="C3" s="408">
        <f>S4S!I62</f>
        <v>31.349462796250002</v>
      </c>
      <c r="D3" s="408">
        <v>16000</v>
      </c>
      <c r="E3" s="408">
        <f>S4S!L62</f>
        <v>501591.40474000009</v>
      </c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2"/>
    </row>
    <row r="4" spans="1:21" ht="26">
      <c r="A4" s="406" t="s">
        <v>375</v>
      </c>
      <c r="B4" s="407" t="s">
        <v>378</v>
      </c>
      <c r="C4" s="408">
        <f>HFC!I31</f>
        <v>8.4313871249999988</v>
      </c>
      <c r="D4" s="408">
        <v>18000</v>
      </c>
      <c r="E4" s="408">
        <f>HFC!L31</f>
        <v>151764.96824999998</v>
      </c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2"/>
    </row>
    <row r="5" spans="1:21" ht="26">
      <c r="A5" s="406" t="s">
        <v>375</v>
      </c>
      <c r="B5" s="407" t="s">
        <v>379</v>
      </c>
      <c r="C5" s="408">
        <f>FJ!I70</f>
        <v>75.881564699999984</v>
      </c>
      <c r="D5" s="408">
        <v>17000</v>
      </c>
      <c r="E5" s="408">
        <f>FJ!L70</f>
        <v>1289986.5998999998</v>
      </c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2"/>
    </row>
    <row r="6" spans="1:21" ht="26">
      <c r="A6" s="406" t="s">
        <v>375</v>
      </c>
      <c r="B6" s="407" t="s">
        <v>380</v>
      </c>
      <c r="C6" s="408">
        <f>'RS-RUN'!I24+'RS-RUN'!I40</f>
        <v>14.369028920000002</v>
      </c>
      <c r="D6" s="408">
        <v>20000</v>
      </c>
      <c r="E6" s="408">
        <f>'RS-RUN'!L24+'RS-RUN'!L40</f>
        <v>287380.5784</v>
      </c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2"/>
    </row>
    <row r="7" spans="1:21" ht="26">
      <c r="A7" s="406" t="s">
        <v>375</v>
      </c>
      <c r="B7" s="407" t="s">
        <v>35</v>
      </c>
      <c r="C7" s="408">
        <f>SD!I34</f>
        <v>18.89415181</v>
      </c>
      <c r="D7" s="408">
        <v>21000</v>
      </c>
      <c r="E7" s="408">
        <f>SD!L34</f>
        <v>396777.18800999998</v>
      </c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2"/>
    </row>
    <row r="8" spans="1:21" ht="26">
      <c r="A8" s="406" t="s">
        <v>375</v>
      </c>
      <c r="B8" s="407" t="s">
        <v>381</v>
      </c>
      <c r="C8" s="408">
        <f>MD!I36</f>
        <v>13.877442089600002</v>
      </c>
      <c r="D8" s="408">
        <v>22000</v>
      </c>
      <c r="E8" s="408">
        <f>MD!L36</f>
        <v>305303.72597119998</v>
      </c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2"/>
    </row>
    <row r="9" spans="1:21" ht="26">
      <c r="A9" s="406" t="s">
        <v>375</v>
      </c>
      <c r="B9" s="407" t="s">
        <v>382</v>
      </c>
      <c r="C9" s="408">
        <f>DB!I26</f>
        <v>5.5453009753189999</v>
      </c>
      <c r="D9" s="408">
        <v>24000</v>
      </c>
      <c r="E9" s="408">
        <f>DB!L26</f>
        <v>133087.22340765601</v>
      </c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2"/>
    </row>
    <row r="10" spans="1:21" ht="26">
      <c r="A10" s="406" t="s">
        <v>375</v>
      </c>
      <c r="B10" s="407" t="s">
        <v>383</v>
      </c>
      <c r="C10" s="408">
        <f>UV!I37</f>
        <v>4.8176473619476008</v>
      </c>
      <c r="D10" s="408">
        <v>28000</v>
      </c>
      <c r="E10" s="408">
        <f>UV!L37</f>
        <v>134894.12613453279</v>
      </c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2"/>
    </row>
    <row r="11" spans="1:21" ht="26">
      <c r="A11" s="409" t="s">
        <v>384</v>
      </c>
      <c r="B11" s="410" t="s">
        <v>385</v>
      </c>
      <c r="C11" s="411">
        <f>'PK1'!H60</f>
        <v>103.04689186710455</v>
      </c>
      <c r="D11" s="411">
        <v>32000</v>
      </c>
      <c r="E11" s="411">
        <f>C11*D11</f>
        <v>3297500.5397473457</v>
      </c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2"/>
    </row>
    <row r="12" spans="1:21" ht="26">
      <c r="A12" s="409" t="s">
        <v>384</v>
      </c>
      <c r="B12" s="410" t="s">
        <v>386</v>
      </c>
      <c r="C12" s="411">
        <f>'PK2'!G107</f>
        <v>14.458227296296437</v>
      </c>
      <c r="D12" s="411">
        <v>32000</v>
      </c>
      <c r="E12" s="411">
        <f>C12*D12</f>
        <v>462663.27348148602</v>
      </c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2"/>
    </row>
    <row r="13" spans="1:21" ht="26">
      <c r="A13" s="409" t="s">
        <v>384</v>
      </c>
      <c r="B13" s="410" t="s">
        <v>387</v>
      </c>
      <c r="C13" s="411">
        <f>'PK-Accessary '!K70</f>
        <v>18.327644609167997</v>
      </c>
      <c r="D13" s="411">
        <f>'PK-Accessary '!P70/'PK-Accessary '!K70</f>
        <v>94753.883433760857</v>
      </c>
      <c r="E13" s="411">
        <f>'PK-Accessary '!P70</f>
        <v>1736615.5009125001</v>
      </c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2"/>
    </row>
    <row r="14" spans="1:21" ht="26">
      <c r="A14" s="412" t="s">
        <v>47</v>
      </c>
      <c r="B14" s="413" t="s">
        <v>388</v>
      </c>
      <c r="C14" s="414">
        <f>'LB-Board'!I10</f>
        <v>33.79</v>
      </c>
      <c r="D14" s="414">
        <f>'LB-Board'!M10/'LB-Board'!I10</f>
        <v>19574.107724178753</v>
      </c>
      <c r="E14" s="414">
        <f>'LB-Board'!M10</f>
        <v>661409.10000000009</v>
      </c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2"/>
    </row>
    <row r="15" spans="1:21" ht="26">
      <c r="A15" s="412" t="s">
        <v>47</v>
      </c>
      <c r="B15" s="413" t="s">
        <v>389</v>
      </c>
      <c r="C15" s="414">
        <f>'MAT-CHINA'!AN429</f>
        <v>249.42131451565569</v>
      </c>
      <c r="D15" s="414">
        <f>'MAT-CHINA'!AQ429/'MAT-CHINA'!AN429</f>
        <v>23000.571769807309</v>
      </c>
      <c r="E15" s="414">
        <f>'MAT-CHINA'!AQ429</f>
        <v>5736832.8454370201</v>
      </c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2"/>
    </row>
    <row r="16" spans="1:21" ht="26">
      <c r="A16" s="412" t="s">
        <v>47</v>
      </c>
      <c r="B16" s="413" t="s">
        <v>390</v>
      </c>
      <c r="C16" s="414">
        <f>'MAT-CHINA'!AN430</f>
        <v>56.82305595664802</v>
      </c>
      <c r="D16" s="414">
        <f>'MAT-CHINA'!AQ430/'MAT-CHINA'!AN430</f>
        <v>31062.077025878851</v>
      </c>
      <c r="E16" s="414">
        <f>'MAT-CHINA'!AQ430</f>
        <v>1765042.1409712248</v>
      </c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2"/>
    </row>
    <row r="17" spans="1:21" ht="26">
      <c r="A17" s="412" t="s">
        <v>47</v>
      </c>
      <c r="B17" s="413" t="s">
        <v>391</v>
      </c>
      <c r="C17" s="414">
        <f>'TAIWAN (Rev)'!AM224</f>
        <v>107.52893668913508</v>
      </c>
      <c r="D17" s="414">
        <v>9806.5400000000009</v>
      </c>
      <c r="E17" s="414">
        <f>C17*D17</f>
        <v>1054486.8187994708</v>
      </c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2"/>
    </row>
    <row r="18" spans="1:21" ht="26">
      <c r="A18" s="412" t="s">
        <v>47</v>
      </c>
      <c r="B18" s="413" t="s">
        <v>392</v>
      </c>
      <c r="C18" s="414">
        <f>'MAT-INDO'!AN51</f>
        <v>37.991358335103989</v>
      </c>
      <c r="D18" s="414">
        <f>'MAT-INDO'!AP51/'MAT-INDO'!AN51</f>
        <v>18591.778286740217</v>
      </c>
      <c r="E18" s="414">
        <f>'MAT-INDO'!AP51</f>
        <v>706326.91097835323</v>
      </c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2"/>
    </row>
    <row r="19" spans="1:21" ht="26">
      <c r="A19" s="412" t="s">
        <v>47</v>
      </c>
      <c r="B19" s="413" t="s">
        <v>393</v>
      </c>
      <c r="C19" s="414">
        <f>VIETNAM!AN18</f>
        <v>15.698154799999999</v>
      </c>
      <c r="D19" s="414">
        <f>VIETNAM!AQ18/VIETNAM!AN18</f>
        <v>30780.149508399547</v>
      </c>
      <c r="E19" s="414">
        <f>VIETNAM!AQ18</f>
        <v>483191.55174999998</v>
      </c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2"/>
    </row>
    <row r="20" spans="1:21" ht="26">
      <c r="A20" s="412" t="s">
        <v>47</v>
      </c>
      <c r="B20" s="413" t="s">
        <v>394</v>
      </c>
      <c r="C20" s="414">
        <f>VIETNAM!AN19</f>
        <v>46.345799200000002</v>
      </c>
      <c r="D20" s="414">
        <f>VIETNAM!AQ19/VIETNAM!AN19</f>
        <v>18946.16319379384</v>
      </c>
      <c r="E20" s="414">
        <f>VIETNAM!AQ19</f>
        <v>878075.07498999999</v>
      </c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2"/>
    </row>
    <row r="21" spans="1:21" ht="26">
      <c r="A21" s="415"/>
      <c r="B21" s="416" t="s">
        <v>395</v>
      </c>
      <c r="C21" s="417"/>
      <c r="D21" s="417"/>
      <c r="E21" s="417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2"/>
    </row>
    <row r="22" spans="1:21" ht="26">
      <c r="A22" s="415"/>
      <c r="B22" s="418" t="s">
        <v>46</v>
      </c>
      <c r="C22" s="417">
        <f>SUM(C2:C20)</f>
        <v>886.02160455347837</v>
      </c>
      <c r="D22" s="417"/>
      <c r="E22" s="417">
        <f>SUM(E2:E21)</f>
        <v>20424293.104474541</v>
      </c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2"/>
    </row>
    <row r="23" spans="1:21" ht="14.5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2"/>
    </row>
    <row r="24" spans="1:21" ht="14.5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2"/>
    </row>
    <row r="25" spans="1:21" ht="14.5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2"/>
    </row>
    <row r="26" spans="1:21" ht="14.5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2"/>
    </row>
    <row r="27" spans="1:21" ht="14.2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2"/>
    </row>
    <row r="28" spans="1:21" ht="14.2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2"/>
    </row>
    <row r="29" spans="1:21" ht="14.2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2"/>
    </row>
    <row r="30" spans="1:21" ht="14.2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2"/>
    </row>
    <row r="31" spans="1:21" ht="14.2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2"/>
    </row>
    <row r="32" spans="1:21" ht="14.2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2"/>
    </row>
    <row r="33" spans="1:21" ht="14.2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2"/>
    </row>
    <row r="34" spans="1:21" ht="14.2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2"/>
    </row>
    <row r="35" spans="1:21" ht="14.2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2"/>
    </row>
    <row r="36" spans="1:21" ht="14.25" customHeight="1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2"/>
    </row>
    <row r="37" spans="1:21" ht="14.25" customHeight="1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2"/>
    </row>
    <row r="38" spans="1:21" ht="14.2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2"/>
    </row>
    <row r="39" spans="1:21" ht="14.2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2"/>
    </row>
    <row r="40" spans="1:21" ht="14.2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2"/>
    </row>
    <row r="41" spans="1:21" ht="14.25" customHeight="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2"/>
    </row>
    <row r="42" spans="1:21" ht="14.2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2"/>
    </row>
    <row r="43" spans="1:21" ht="14.2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2"/>
    </row>
    <row r="44" spans="1:21" ht="14.2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2"/>
    </row>
    <row r="45" spans="1:21" ht="14.25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2"/>
    </row>
    <row r="46" spans="1:21" ht="14.25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</row>
    <row r="47" spans="1:21" ht="14.2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2"/>
    </row>
    <row r="48" spans="1:21" ht="14.2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2"/>
    </row>
    <row r="49" spans="1:21" ht="14.2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2"/>
    </row>
    <row r="50" spans="1:21" ht="14.2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2"/>
    </row>
    <row r="51" spans="1:21" ht="14.2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2"/>
    </row>
    <row r="52" spans="1:21" ht="14.2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2"/>
    </row>
    <row r="53" spans="1:21" ht="14.2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2"/>
    </row>
    <row r="54" spans="1:21" ht="14.2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2"/>
    </row>
    <row r="55" spans="1:21" ht="14.2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2"/>
    </row>
    <row r="56" spans="1:21" ht="14.2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2"/>
    </row>
    <row r="57" spans="1:21" ht="14.2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2"/>
    </row>
    <row r="58" spans="1:21" ht="14.2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2"/>
    </row>
    <row r="59" spans="1:21" ht="14.2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2"/>
    </row>
    <row r="60" spans="1:21" ht="14.2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2"/>
    </row>
    <row r="61" spans="1:21" ht="14.2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2"/>
    </row>
    <row r="62" spans="1:21" ht="14.2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2"/>
    </row>
    <row r="63" spans="1:21" ht="14.2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2"/>
    </row>
    <row r="64" spans="1:21" ht="14.2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2"/>
    </row>
    <row r="65" spans="1:21" ht="14.25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2"/>
    </row>
    <row r="66" spans="1:21" ht="14.25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2"/>
    </row>
    <row r="67" spans="1:21" ht="14.2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2"/>
    </row>
    <row r="68" spans="1:21" ht="14.25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2"/>
    </row>
    <row r="69" spans="1:21" ht="14.25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2"/>
    </row>
    <row r="70" spans="1:21" ht="14.25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2"/>
    </row>
    <row r="71" spans="1:21" ht="14.25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2"/>
    </row>
    <row r="72" spans="1:21" ht="14.25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2"/>
    </row>
    <row r="73" spans="1:21" ht="14.2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2"/>
    </row>
    <row r="74" spans="1:21" ht="14.2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2"/>
    </row>
    <row r="75" spans="1:21" ht="14.2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2"/>
    </row>
    <row r="76" spans="1:21" ht="14.2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2"/>
    </row>
    <row r="77" spans="1:21" ht="14.25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2"/>
    </row>
    <row r="78" spans="1:21" ht="14.25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2"/>
    </row>
    <row r="79" spans="1:21" ht="14.2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2"/>
    </row>
    <row r="80" spans="1:21" ht="14.25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2"/>
    </row>
    <row r="81" spans="1:21" ht="14.2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2"/>
    </row>
    <row r="82" spans="1:21" ht="14.2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2"/>
    </row>
    <row r="83" spans="1:21" ht="14.25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2"/>
    </row>
    <row r="84" spans="1:21" ht="14.25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2"/>
    </row>
    <row r="85" spans="1:21" ht="14.25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2"/>
    </row>
    <row r="86" spans="1:21" ht="14.25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2"/>
    </row>
    <row r="87" spans="1:21" ht="14.25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2"/>
    </row>
    <row r="88" spans="1:21" ht="14.25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2"/>
    </row>
    <row r="89" spans="1:21" ht="14.25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2"/>
    </row>
    <row r="90" spans="1:21" ht="14.25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2"/>
    </row>
    <row r="91" spans="1:21" ht="14.25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2"/>
    </row>
    <row r="92" spans="1:21" ht="14.25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2"/>
    </row>
    <row r="93" spans="1:21" ht="14.25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2"/>
    </row>
    <row r="94" spans="1:21" ht="14.25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2"/>
    </row>
    <row r="95" spans="1:21" ht="14.25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2"/>
    </row>
    <row r="96" spans="1:21" ht="14.25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2"/>
    </row>
    <row r="97" spans="1:21" ht="14.25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2"/>
    </row>
    <row r="98" spans="1:21" ht="14.25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2"/>
    </row>
    <row r="99" spans="1:21" ht="14.2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2"/>
    </row>
    <row r="100" spans="1:21" ht="14.2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2"/>
    </row>
    <row r="101" spans="1:21" ht="14.25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2"/>
    </row>
    <row r="102" spans="1:21" ht="14.2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2"/>
    </row>
    <row r="103" spans="1:21" ht="14.25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2"/>
    </row>
    <row r="104" spans="1:21" ht="14.25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2"/>
    </row>
    <row r="105" spans="1:21" ht="14.25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2"/>
    </row>
    <row r="106" spans="1:21" ht="14.25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2"/>
    </row>
    <row r="107" spans="1:21" ht="14.25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2"/>
    </row>
    <row r="108" spans="1:21" ht="14.25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2"/>
    </row>
    <row r="109" spans="1:21" ht="14.25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2"/>
    </row>
    <row r="110" spans="1:21" ht="14.2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2"/>
    </row>
    <row r="111" spans="1:21" ht="14.2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2"/>
    </row>
    <row r="112" spans="1:21" ht="14.2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2"/>
    </row>
    <row r="113" spans="1:21" ht="14.25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2"/>
    </row>
    <row r="114" spans="1:21" ht="14.25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2"/>
    </row>
    <row r="115" spans="1:21" ht="14.25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2"/>
    </row>
    <row r="116" spans="1:21" ht="14.25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2"/>
    </row>
    <row r="117" spans="1:21" ht="14.25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2"/>
    </row>
    <row r="118" spans="1:21" ht="14.25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2"/>
    </row>
    <row r="119" spans="1:21" ht="14.25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2"/>
    </row>
    <row r="120" spans="1:21" ht="14.25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2"/>
    </row>
    <row r="121" spans="1:21" ht="14.25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2"/>
    </row>
    <row r="122" spans="1:21" ht="14.25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2"/>
    </row>
    <row r="123" spans="1:21" ht="14.25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2"/>
    </row>
    <row r="124" spans="1:21" ht="14.25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2"/>
    </row>
    <row r="125" spans="1:21" ht="14.25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2"/>
    </row>
    <row r="126" spans="1:21" ht="14.25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2"/>
    </row>
    <row r="127" spans="1:21" ht="14.25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2"/>
    </row>
    <row r="128" spans="1:21" ht="14.25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2"/>
    </row>
    <row r="129" spans="1:21" ht="14.25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2"/>
    </row>
    <row r="130" spans="1:21" ht="14.25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2"/>
    </row>
    <row r="131" spans="1:21" ht="14.25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2"/>
    </row>
    <row r="132" spans="1:21" ht="14.25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2"/>
    </row>
    <row r="133" spans="1:21" ht="14.25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2"/>
    </row>
    <row r="134" spans="1:21" ht="14.25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2"/>
    </row>
    <row r="135" spans="1:21" ht="14.25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2"/>
    </row>
    <row r="136" spans="1:21" ht="14.25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2"/>
    </row>
    <row r="137" spans="1:21" ht="14.25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2"/>
    </row>
    <row r="138" spans="1:21" ht="14.25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2"/>
    </row>
    <row r="139" spans="1:21" ht="14.25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2"/>
    </row>
    <row r="140" spans="1:21" ht="14.25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2"/>
    </row>
    <row r="141" spans="1:21" ht="14.25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2"/>
    </row>
    <row r="142" spans="1:21" ht="14.25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2"/>
    </row>
    <row r="143" spans="1:21" ht="14.25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2"/>
    </row>
    <row r="144" spans="1:21" ht="14.25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2"/>
    </row>
    <row r="145" spans="1:21" ht="14.25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2"/>
    </row>
    <row r="146" spans="1:21" ht="14.25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2"/>
    </row>
    <row r="147" spans="1:21" ht="14.25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2"/>
    </row>
    <row r="148" spans="1:21" ht="14.25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2"/>
    </row>
    <row r="149" spans="1:21" ht="14.25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2"/>
    </row>
    <row r="150" spans="1:21" ht="14.25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2"/>
    </row>
    <row r="151" spans="1:21" ht="14.25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2"/>
    </row>
    <row r="152" spans="1:21" ht="14.25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2"/>
    </row>
    <row r="153" spans="1:21" ht="14.25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2"/>
    </row>
    <row r="154" spans="1:21" ht="14.25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2"/>
    </row>
    <row r="155" spans="1:21" ht="14.25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2"/>
    </row>
    <row r="156" spans="1:21" ht="14.25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2"/>
    </row>
    <row r="157" spans="1:21" ht="14.25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2"/>
    </row>
    <row r="158" spans="1:21" ht="14.25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2"/>
    </row>
    <row r="159" spans="1:21" ht="14.25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2"/>
    </row>
    <row r="160" spans="1:21" ht="14.25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2"/>
    </row>
    <row r="161" spans="1:21" ht="14.25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2"/>
    </row>
    <row r="162" spans="1:21" ht="14.25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2"/>
    </row>
    <row r="163" spans="1:21" ht="14.25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2"/>
    </row>
    <row r="164" spans="1:21" ht="14.25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2"/>
    </row>
    <row r="165" spans="1:21" ht="14.25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2"/>
    </row>
    <row r="166" spans="1:21" ht="14.25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2"/>
    </row>
    <row r="167" spans="1:21" ht="14.25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2"/>
    </row>
    <row r="168" spans="1:21" ht="14.25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2"/>
    </row>
    <row r="169" spans="1:21" ht="14.25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2"/>
    </row>
    <row r="170" spans="1:21" ht="14.25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2"/>
    </row>
    <row r="171" spans="1:21" ht="14.25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2"/>
    </row>
    <row r="172" spans="1:21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</row>
    <row r="173" spans="1:21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</row>
    <row r="174" spans="1:21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</row>
    <row r="175" spans="1:21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</row>
    <row r="176" spans="1:21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</row>
    <row r="177" spans="1:21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</row>
    <row r="178" spans="1:21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</row>
    <row r="179" spans="1:21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</row>
    <row r="180" spans="1:21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</row>
    <row r="181" spans="1:21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</row>
    <row r="182" spans="1:21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</row>
    <row r="183" spans="1:21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</row>
    <row r="184" spans="1:21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</row>
    <row r="185" spans="1:21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</row>
    <row r="186" spans="1:21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</row>
    <row r="187" spans="1:21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</row>
    <row r="188" spans="1:21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</row>
    <row r="189" spans="1:21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</row>
    <row r="190" spans="1:21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</row>
    <row r="191" spans="1:21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</row>
    <row r="192" spans="1:21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</row>
    <row r="193" spans="1:21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</row>
    <row r="194" spans="1:21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</row>
    <row r="195" spans="1:21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</row>
    <row r="196" spans="1:21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</row>
    <row r="197" spans="1:21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</row>
    <row r="198" spans="1:21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</row>
    <row r="199" spans="1:21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</row>
    <row r="200" spans="1:21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</row>
    <row r="201" spans="1:21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</row>
    <row r="202" spans="1:21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</row>
    <row r="203" spans="1:21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</row>
    <row r="204" spans="1:21" ht="15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</row>
    <row r="205" spans="1:21" ht="15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</row>
    <row r="206" spans="1:21" ht="15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</row>
    <row r="207" spans="1:21" ht="15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</row>
    <row r="208" spans="1:21" ht="15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</row>
    <row r="209" spans="1:21" ht="15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</row>
    <row r="210" spans="1:21" ht="15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</row>
    <row r="211" spans="1:21" ht="15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</row>
    <row r="212" spans="1:21" ht="15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</row>
    <row r="213" spans="1:21" ht="15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</row>
    <row r="214" spans="1:21" ht="15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</row>
    <row r="215" spans="1:21" ht="15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</row>
    <row r="216" spans="1:21" ht="15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</row>
    <row r="217" spans="1:21" ht="15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</row>
    <row r="218" spans="1:21" ht="15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</row>
    <row r="219" spans="1:21" ht="15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</row>
    <row r="220" spans="1:21" ht="15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</row>
    <row r="221" spans="1:21" ht="15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</row>
    <row r="222" spans="1:21" ht="15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</row>
    <row r="223" spans="1:21" ht="15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</row>
    <row r="224" spans="1:21" ht="15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</row>
    <row r="225" spans="1:21" ht="15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</row>
    <row r="226" spans="1:21" ht="15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</row>
    <row r="227" spans="1:21" ht="15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</row>
    <row r="228" spans="1:21" ht="15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</row>
    <row r="229" spans="1:21" ht="15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</row>
    <row r="230" spans="1:21" ht="15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</row>
    <row r="231" spans="1:21" ht="15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</row>
    <row r="232" spans="1:21" ht="15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</row>
    <row r="233" spans="1:21" ht="15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</row>
    <row r="234" spans="1:21" ht="15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</row>
    <row r="235" spans="1:21" ht="15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</row>
    <row r="236" spans="1:21" ht="15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</row>
    <row r="237" spans="1:21" ht="15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</row>
    <row r="238" spans="1:21" ht="15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</row>
    <row r="239" spans="1:21" ht="15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</row>
    <row r="240" spans="1:21" ht="15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</row>
    <row r="241" spans="1:21" ht="15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</row>
    <row r="242" spans="1:21" ht="15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</row>
    <row r="243" spans="1:21" ht="15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</row>
    <row r="244" spans="1:21" ht="15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</row>
    <row r="245" spans="1:21" ht="15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</row>
    <row r="246" spans="1:21" ht="15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</row>
    <row r="247" spans="1:21" ht="15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</row>
    <row r="248" spans="1:21" ht="15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</row>
    <row r="249" spans="1:21" ht="15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</row>
    <row r="250" spans="1:21" ht="15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</row>
    <row r="251" spans="1:21" ht="15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</row>
    <row r="252" spans="1:21" ht="15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</row>
    <row r="253" spans="1:21" ht="15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</row>
    <row r="254" spans="1:21" ht="15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</row>
    <row r="255" spans="1:21" ht="15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</row>
    <row r="256" spans="1:21" ht="15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</row>
    <row r="257" spans="1:21" ht="15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</row>
    <row r="258" spans="1:21" ht="15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</row>
    <row r="259" spans="1:21" ht="15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</row>
    <row r="260" spans="1:21" ht="15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</row>
    <row r="261" spans="1:21" ht="15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</row>
    <row r="262" spans="1:21" ht="15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</row>
    <row r="263" spans="1:21" ht="15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</row>
    <row r="264" spans="1:21" ht="15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</row>
    <row r="265" spans="1:21" ht="15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</row>
    <row r="266" spans="1:21" ht="15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</row>
    <row r="267" spans="1:21" ht="15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</row>
    <row r="268" spans="1:21" ht="15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</row>
    <row r="269" spans="1:21" ht="15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</row>
    <row r="270" spans="1:21" ht="15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</row>
    <row r="271" spans="1:21" ht="15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</row>
    <row r="272" spans="1:21" ht="15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</row>
    <row r="273" spans="1:21" ht="15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</row>
    <row r="274" spans="1:21" ht="15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</row>
    <row r="275" spans="1:21" ht="15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</row>
    <row r="276" spans="1:21" ht="15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</row>
    <row r="277" spans="1:21" ht="15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</row>
    <row r="278" spans="1:21" ht="15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</row>
    <row r="279" spans="1:21" ht="15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</row>
    <row r="280" spans="1:21" ht="15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</row>
    <row r="281" spans="1:21" ht="15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</row>
    <row r="282" spans="1:21" ht="15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</row>
    <row r="283" spans="1:21" ht="15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</row>
    <row r="284" spans="1:21" ht="15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</row>
    <row r="285" spans="1:21" ht="15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</row>
    <row r="286" spans="1:21" ht="15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</row>
    <row r="287" spans="1:21" ht="15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</row>
    <row r="288" spans="1:21" ht="15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</row>
    <row r="289" spans="1:21" ht="15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</row>
    <row r="290" spans="1:21" ht="15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</row>
    <row r="291" spans="1:21" ht="15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</row>
    <row r="292" spans="1:21" ht="15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</row>
    <row r="293" spans="1:21" ht="15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</row>
    <row r="294" spans="1:21" ht="15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</row>
    <row r="295" spans="1:21" ht="15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</row>
    <row r="296" spans="1:21" ht="15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</row>
    <row r="297" spans="1:21" ht="15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</row>
    <row r="298" spans="1:21" ht="15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</row>
    <row r="299" spans="1:21" ht="15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</row>
    <row r="300" spans="1:21" ht="15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</row>
    <row r="301" spans="1:21" ht="15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</row>
    <row r="302" spans="1:21" ht="15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</row>
    <row r="303" spans="1:21" ht="15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</row>
    <row r="304" spans="1:21" ht="15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</row>
    <row r="305" spans="1:21" ht="15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</row>
    <row r="306" spans="1:21" ht="15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</row>
    <row r="307" spans="1:21" ht="15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</row>
    <row r="308" spans="1:21" ht="15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</row>
    <row r="309" spans="1:21" ht="15.7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</row>
    <row r="310" spans="1:21" ht="15.7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</row>
    <row r="311" spans="1:21" ht="15.7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</row>
    <row r="312" spans="1:21" ht="15.7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</row>
    <row r="313" spans="1:21" ht="15.7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</row>
    <row r="314" spans="1:21" ht="15.7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</row>
    <row r="315" spans="1:21" ht="15.7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</row>
    <row r="316" spans="1:21" ht="15.7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</row>
    <row r="317" spans="1:21" ht="15.7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</row>
    <row r="318" spans="1:21" ht="15.7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</row>
    <row r="319" spans="1:21" ht="15.7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</row>
    <row r="320" spans="1:21" ht="15.7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</row>
    <row r="321" spans="1:21" ht="15.7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</row>
    <row r="322" spans="1:21" ht="15.7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</row>
    <row r="323" spans="1:21" ht="15.7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</row>
    <row r="324" spans="1:21" ht="15.7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</row>
    <row r="325" spans="1:21" ht="15.7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</row>
    <row r="326" spans="1:21" ht="15.7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</row>
    <row r="327" spans="1:21" ht="15.7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</row>
    <row r="328" spans="1:21" ht="15.7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</row>
    <row r="329" spans="1:21" ht="15.7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</row>
    <row r="330" spans="1:21" ht="15.7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</row>
    <row r="331" spans="1:21" ht="15.7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</row>
    <row r="332" spans="1:21" ht="15.7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</row>
    <row r="333" spans="1:21" ht="15.7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</row>
    <row r="334" spans="1:21" ht="15.7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</row>
    <row r="335" spans="1:21" ht="15.7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</row>
    <row r="336" spans="1:21" ht="15.7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</row>
    <row r="337" spans="1:21" ht="15.7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</row>
    <row r="338" spans="1:21" ht="15.7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</row>
    <row r="339" spans="1:21" ht="15.7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</row>
    <row r="340" spans="1:21" ht="15.7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</row>
    <row r="341" spans="1:21" ht="15.7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</row>
    <row r="342" spans="1:21" ht="15.7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</row>
    <row r="343" spans="1:21" ht="15.7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</row>
    <row r="344" spans="1:21" ht="15.7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</row>
    <row r="345" spans="1:21" ht="15.7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</row>
    <row r="346" spans="1:21" ht="15.7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</row>
    <row r="347" spans="1:21" ht="15.7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</row>
    <row r="348" spans="1:21" ht="15.7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</row>
    <row r="349" spans="1:21" ht="15.7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</row>
    <row r="350" spans="1:21" ht="15.7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</row>
    <row r="351" spans="1:21" ht="15.7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</row>
    <row r="352" spans="1:21" ht="15.7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</row>
    <row r="353" spans="1:21" ht="15.7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</row>
    <row r="354" spans="1:21" ht="15.7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</row>
    <row r="355" spans="1:21" ht="15.7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</row>
    <row r="356" spans="1:21" ht="15.7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</row>
    <row r="357" spans="1:21" ht="15.7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</row>
    <row r="358" spans="1:21" ht="15.7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</row>
    <row r="359" spans="1:21" ht="15.7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</row>
    <row r="360" spans="1:21" ht="15.7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</row>
    <row r="361" spans="1:21" ht="15.7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</row>
    <row r="362" spans="1:21" ht="15.7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</row>
    <row r="363" spans="1:21" ht="15.7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</row>
    <row r="364" spans="1:21" ht="15.7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</row>
    <row r="365" spans="1:21" ht="15.7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</row>
    <row r="366" spans="1:21" ht="15.7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</row>
    <row r="367" spans="1:21" ht="15.7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</row>
    <row r="368" spans="1:21" ht="15.7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</row>
    <row r="369" spans="1:21" ht="15.7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</row>
    <row r="370" spans="1:21" ht="15.7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</row>
    <row r="371" spans="1:21" ht="15.7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</row>
    <row r="372" spans="1:21" ht="15.7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</row>
    <row r="373" spans="1:21" ht="15.7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</row>
    <row r="374" spans="1:21" ht="15.7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</row>
    <row r="375" spans="1:21" ht="15.7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</row>
    <row r="376" spans="1:21" ht="15.7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</row>
    <row r="377" spans="1:21" ht="15.7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</row>
    <row r="378" spans="1:21" ht="15.7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</row>
    <row r="379" spans="1:21" ht="15.7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</row>
    <row r="380" spans="1:21" ht="15.7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</row>
    <row r="381" spans="1:21" ht="15.7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</row>
    <row r="382" spans="1:21" ht="15.7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</row>
    <row r="383" spans="1:21" ht="15.7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</row>
    <row r="384" spans="1:21" ht="15.7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</row>
    <row r="385" spans="1:21" ht="15.7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</row>
    <row r="386" spans="1:21" ht="15.7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</row>
    <row r="387" spans="1:21" ht="15.7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</row>
    <row r="388" spans="1:21" ht="15.7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</row>
    <row r="389" spans="1:21" ht="15.7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</row>
    <row r="390" spans="1:21" ht="15.7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</row>
    <row r="391" spans="1:21" ht="15.7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</row>
    <row r="392" spans="1:21" ht="15.7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</row>
    <row r="393" spans="1:21" ht="15.7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</row>
    <row r="394" spans="1:21" ht="15.7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</row>
    <row r="395" spans="1:21" ht="15.7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</row>
    <row r="396" spans="1:21" ht="15.7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</row>
    <row r="397" spans="1:21" ht="15.7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</row>
    <row r="398" spans="1:21" ht="15.7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</row>
    <row r="399" spans="1:21" ht="15.7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</row>
    <row r="400" spans="1:21" ht="15.7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</row>
    <row r="401" spans="1:21" ht="15.7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</row>
    <row r="402" spans="1:21" ht="15.7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</row>
    <row r="403" spans="1:21" ht="15.7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</row>
    <row r="404" spans="1:21" ht="15.7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</row>
    <row r="405" spans="1:21" ht="15.7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</row>
    <row r="406" spans="1:21" ht="15.7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</row>
    <row r="407" spans="1:21" ht="15.7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</row>
    <row r="408" spans="1:21" ht="15.7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</row>
    <row r="409" spans="1:21" ht="15.7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</row>
    <row r="410" spans="1:21" ht="15.7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</row>
    <row r="411" spans="1:21" ht="15.7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</row>
    <row r="412" spans="1:21" ht="15.7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</row>
    <row r="413" spans="1:21" ht="15.7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</row>
    <row r="414" spans="1:21" ht="15.7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</row>
    <row r="415" spans="1:21" ht="15.7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</row>
    <row r="416" spans="1:21" ht="15.7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</row>
    <row r="417" spans="1:21" ht="15.7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</row>
    <row r="418" spans="1:21" ht="15.7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</row>
    <row r="419" spans="1:21" ht="15.7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</row>
    <row r="420" spans="1:21" ht="15.7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</row>
    <row r="421" spans="1:21" ht="15.7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</row>
    <row r="422" spans="1:21" ht="15.7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</row>
    <row r="423" spans="1:21" ht="15.7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</row>
    <row r="424" spans="1:21" ht="15.7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</row>
    <row r="425" spans="1:21" ht="15.7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</row>
    <row r="426" spans="1:21" ht="15.7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</row>
    <row r="427" spans="1:21" ht="15.7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</row>
    <row r="428" spans="1:21" ht="15.7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</row>
    <row r="429" spans="1:21" ht="15.7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</row>
    <row r="430" spans="1:21" ht="15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</row>
    <row r="431" spans="1:21" ht="15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</row>
    <row r="432" spans="1:21" ht="15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</row>
    <row r="433" spans="1:21" ht="15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</row>
    <row r="434" spans="1:21" ht="15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</row>
    <row r="435" spans="1:21" ht="15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</row>
    <row r="436" spans="1:21" ht="15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</row>
    <row r="437" spans="1:21" ht="15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</row>
    <row r="438" spans="1:21" ht="15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</row>
    <row r="439" spans="1:21" ht="15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</row>
    <row r="440" spans="1:21" ht="15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</row>
    <row r="441" spans="1:21" ht="15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</row>
    <row r="442" spans="1:21" ht="15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</row>
    <row r="443" spans="1:21" ht="15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</row>
    <row r="444" spans="1:21" ht="15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</row>
    <row r="445" spans="1:21" ht="15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</row>
    <row r="446" spans="1:21" ht="15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</row>
    <row r="447" spans="1:21" ht="15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</row>
    <row r="448" spans="1:21" ht="15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</row>
    <row r="449" spans="1:21" ht="15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</row>
    <row r="450" spans="1:21" ht="15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</row>
    <row r="451" spans="1:21" ht="15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</row>
    <row r="452" spans="1:21" ht="15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</row>
    <row r="453" spans="1:21" ht="15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</row>
    <row r="454" spans="1:21" ht="15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</row>
    <row r="455" spans="1:21" ht="15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</row>
    <row r="456" spans="1:21" ht="15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</row>
    <row r="457" spans="1:21" ht="15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</row>
    <row r="458" spans="1:21" ht="15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</row>
    <row r="459" spans="1:21" ht="15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</row>
    <row r="460" spans="1:21" ht="15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</row>
    <row r="461" spans="1:21" ht="15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</row>
    <row r="462" spans="1:21" ht="15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</row>
    <row r="463" spans="1:21" ht="15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</row>
    <row r="464" spans="1:21" ht="15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</row>
    <row r="465" spans="1:21" ht="15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</row>
    <row r="466" spans="1:21" ht="15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</row>
    <row r="467" spans="1:21" ht="15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</row>
    <row r="468" spans="1:21" ht="15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</row>
    <row r="469" spans="1:21" ht="15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</row>
    <row r="470" spans="1:21" ht="15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</row>
    <row r="471" spans="1:21" ht="15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</row>
    <row r="472" spans="1:21" ht="15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</row>
    <row r="473" spans="1:21" ht="15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</row>
    <row r="474" spans="1:21" ht="15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</row>
    <row r="475" spans="1:21" ht="15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</row>
    <row r="476" spans="1:21" ht="15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</row>
    <row r="477" spans="1:21" ht="15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</row>
    <row r="478" spans="1:21" ht="15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</row>
    <row r="479" spans="1:21" ht="15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</row>
    <row r="480" spans="1:21" ht="15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</row>
    <row r="481" spans="1:21" ht="15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</row>
    <row r="482" spans="1:21" ht="15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</row>
    <row r="483" spans="1:21" ht="15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</row>
    <row r="484" spans="1:21" ht="15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</row>
    <row r="485" spans="1:21" ht="15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</row>
    <row r="486" spans="1:21" ht="15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</row>
    <row r="487" spans="1:21" ht="15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</row>
    <row r="488" spans="1:21" ht="15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</row>
    <row r="489" spans="1:21" ht="15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</row>
    <row r="490" spans="1:21" ht="15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</row>
    <row r="491" spans="1:21" ht="15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</row>
    <row r="492" spans="1:21" ht="15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</row>
    <row r="493" spans="1:21" ht="15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</row>
    <row r="494" spans="1:21" ht="15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</row>
    <row r="495" spans="1:21" ht="15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</row>
    <row r="496" spans="1:21" ht="15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</row>
    <row r="497" spans="1:21" ht="15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</row>
    <row r="498" spans="1:21" ht="15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</row>
    <row r="499" spans="1:21" ht="15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</row>
    <row r="500" spans="1:21" ht="15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</row>
    <row r="501" spans="1:21" ht="15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</row>
    <row r="502" spans="1:21" ht="15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</row>
    <row r="503" spans="1:21" ht="15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</row>
    <row r="504" spans="1:21" ht="15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</row>
    <row r="505" spans="1:21" ht="15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</row>
    <row r="506" spans="1:21" ht="15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</row>
    <row r="507" spans="1:21" ht="15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</row>
    <row r="508" spans="1:21" ht="15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</row>
    <row r="509" spans="1:21" ht="15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</row>
    <row r="510" spans="1:21" ht="15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</row>
    <row r="511" spans="1:21" ht="15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</row>
    <row r="512" spans="1:21" ht="15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</row>
    <row r="513" spans="1:21" ht="15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</row>
    <row r="514" spans="1:21" ht="15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</row>
    <row r="515" spans="1:21" ht="15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</row>
    <row r="516" spans="1:21" ht="15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</row>
    <row r="517" spans="1:21" ht="15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</row>
    <row r="518" spans="1:21" ht="15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</row>
    <row r="519" spans="1:21" ht="15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</row>
    <row r="520" spans="1:21" ht="15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</row>
    <row r="521" spans="1:21" ht="15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</row>
    <row r="522" spans="1:21" ht="15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</row>
    <row r="523" spans="1:21" ht="15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</row>
    <row r="524" spans="1:21" ht="15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</row>
    <row r="525" spans="1:21" ht="15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</row>
    <row r="526" spans="1:21" ht="15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</row>
    <row r="527" spans="1:21" ht="15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</row>
    <row r="528" spans="1:21" ht="15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</row>
    <row r="529" spans="1:21" ht="15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</row>
    <row r="530" spans="1:21" ht="15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</row>
    <row r="531" spans="1:21" ht="15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</row>
    <row r="532" spans="1:21" ht="15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</row>
    <row r="533" spans="1:21" ht="15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</row>
    <row r="534" spans="1:21" ht="15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</row>
    <row r="535" spans="1:21" ht="15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</row>
    <row r="536" spans="1:21" ht="15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</row>
    <row r="537" spans="1:21" ht="15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</row>
    <row r="538" spans="1:21" ht="15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</row>
    <row r="539" spans="1:21" ht="15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</row>
    <row r="540" spans="1:21" ht="15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</row>
    <row r="541" spans="1:21" ht="15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</row>
    <row r="542" spans="1:21" ht="15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</row>
    <row r="543" spans="1:21" ht="15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</row>
    <row r="544" spans="1:21" ht="15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</row>
    <row r="545" spans="1:21" ht="15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</row>
    <row r="546" spans="1:21" ht="15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</row>
    <row r="547" spans="1:21" ht="15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</row>
    <row r="548" spans="1:21" ht="15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</row>
    <row r="549" spans="1:21" ht="15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</row>
    <row r="550" spans="1:21" ht="15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</row>
    <row r="551" spans="1:21" ht="15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</row>
    <row r="552" spans="1:21" ht="15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</row>
    <row r="553" spans="1:21" ht="15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</row>
    <row r="554" spans="1:21" ht="15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</row>
    <row r="555" spans="1:21" ht="15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</row>
    <row r="556" spans="1:21" ht="15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</row>
    <row r="557" spans="1:21" ht="15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</row>
    <row r="558" spans="1:21" ht="15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</row>
    <row r="559" spans="1:21" ht="15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</row>
    <row r="560" spans="1:21" ht="15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</row>
    <row r="561" spans="1:21" ht="15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</row>
    <row r="562" spans="1:21" ht="15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</row>
    <row r="563" spans="1:21" ht="15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</row>
    <row r="564" spans="1:21" ht="15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</row>
    <row r="565" spans="1:21" ht="15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</row>
    <row r="566" spans="1:21" ht="15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</row>
    <row r="567" spans="1:21" ht="15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</row>
    <row r="568" spans="1:21" ht="15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</row>
    <row r="569" spans="1:21" ht="15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</row>
    <row r="570" spans="1:21" ht="15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</row>
    <row r="571" spans="1:21" ht="15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</row>
    <row r="572" spans="1:21" ht="15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</row>
    <row r="573" spans="1:21" ht="15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</row>
    <row r="574" spans="1:21" ht="15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</row>
    <row r="575" spans="1:21" ht="15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</row>
    <row r="576" spans="1:21" ht="15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</row>
    <row r="577" spans="1:21" ht="15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</row>
    <row r="578" spans="1:21" ht="15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</row>
    <row r="579" spans="1:21" ht="15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</row>
    <row r="580" spans="1:21" ht="15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</row>
    <row r="581" spans="1:21" ht="15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</row>
    <row r="582" spans="1:21" ht="15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</row>
    <row r="583" spans="1:21" ht="15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</row>
    <row r="584" spans="1:21" ht="15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</row>
    <row r="585" spans="1:21" ht="15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</row>
    <row r="586" spans="1:21" ht="15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</row>
    <row r="587" spans="1:21" ht="15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</row>
    <row r="588" spans="1:21" ht="15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</row>
    <row r="589" spans="1:21" ht="15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</row>
    <row r="590" spans="1:21" ht="15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</row>
    <row r="591" spans="1:21" ht="15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</row>
    <row r="592" spans="1:21" ht="15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</row>
    <row r="593" spans="1:21" ht="15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</row>
    <row r="594" spans="1:21" ht="15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</row>
    <row r="595" spans="1:21" ht="15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</row>
    <row r="596" spans="1:21" ht="15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</row>
    <row r="597" spans="1:21" ht="15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</row>
    <row r="598" spans="1:21" ht="15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</row>
    <row r="599" spans="1:21" ht="15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</row>
    <row r="600" spans="1:21" ht="15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</row>
    <row r="601" spans="1:21" ht="15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</row>
    <row r="602" spans="1:21" ht="15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</row>
    <row r="603" spans="1:21" ht="15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</row>
    <row r="604" spans="1:21" ht="15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</row>
    <row r="605" spans="1:21" ht="15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</row>
    <row r="606" spans="1:21" ht="15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</row>
    <row r="607" spans="1:21" ht="15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</row>
    <row r="608" spans="1:21" ht="15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</row>
    <row r="609" spans="1:21" ht="15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</row>
    <row r="610" spans="1:21" ht="15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</row>
    <row r="611" spans="1:21" ht="15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</row>
    <row r="612" spans="1:21" ht="15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</row>
    <row r="613" spans="1:21" ht="15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</row>
    <row r="614" spans="1:21" ht="15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</row>
    <row r="615" spans="1:21" ht="15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</row>
    <row r="616" spans="1:21" ht="15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</row>
    <row r="617" spans="1:21" ht="15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</row>
    <row r="618" spans="1:21" ht="15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</row>
    <row r="619" spans="1:21" ht="15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</row>
    <row r="620" spans="1:21" ht="15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</row>
    <row r="621" spans="1:21" ht="15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</row>
    <row r="622" spans="1:21" ht="15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</row>
    <row r="623" spans="1:21" ht="15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</row>
    <row r="624" spans="1:21" ht="15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</row>
    <row r="625" spans="1:21" ht="15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</row>
    <row r="626" spans="1:21" ht="15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</row>
    <row r="627" spans="1:21" ht="15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</row>
    <row r="628" spans="1:21" ht="15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</row>
    <row r="629" spans="1:21" ht="15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</row>
    <row r="630" spans="1:21" ht="15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</row>
    <row r="631" spans="1:21" ht="15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</row>
    <row r="632" spans="1:21" ht="15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</row>
    <row r="633" spans="1:21" ht="15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</row>
    <row r="634" spans="1:21" ht="15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</row>
    <row r="635" spans="1:21" ht="15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</row>
    <row r="636" spans="1:21" ht="15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</row>
    <row r="637" spans="1:21" ht="15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</row>
    <row r="638" spans="1:21" ht="15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</row>
    <row r="639" spans="1:21" ht="15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</row>
    <row r="640" spans="1:21" ht="15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</row>
    <row r="641" spans="1:21" ht="15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</row>
    <row r="642" spans="1:21" ht="15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</row>
    <row r="643" spans="1:21" ht="15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</row>
    <row r="644" spans="1:21" ht="15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</row>
    <row r="645" spans="1:21" ht="15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</row>
    <row r="646" spans="1:21" ht="15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</row>
    <row r="647" spans="1:21" ht="15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</row>
    <row r="648" spans="1:21" ht="15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</row>
    <row r="649" spans="1:21" ht="15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</row>
    <row r="650" spans="1:21" ht="15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</row>
    <row r="651" spans="1:21" ht="15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</row>
    <row r="652" spans="1:21" ht="15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</row>
    <row r="653" spans="1:21" ht="15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</row>
    <row r="654" spans="1:21" ht="15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</row>
    <row r="655" spans="1:21" ht="15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</row>
    <row r="656" spans="1:21" ht="15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</row>
    <row r="657" spans="1:21" ht="15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</row>
    <row r="658" spans="1:21" ht="15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</row>
    <row r="659" spans="1:21" ht="15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</row>
    <row r="660" spans="1:21" ht="15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</row>
    <row r="661" spans="1:21" ht="15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</row>
    <row r="662" spans="1:21" ht="15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</row>
    <row r="663" spans="1:21" ht="15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</row>
    <row r="664" spans="1:21" ht="15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</row>
    <row r="665" spans="1:21" ht="15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</row>
    <row r="666" spans="1:21" ht="15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</row>
    <row r="667" spans="1:21" ht="15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</row>
    <row r="668" spans="1:21" ht="15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</row>
    <row r="669" spans="1:21" ht="15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</row>
    <row r="670" spans="1:21" ht="15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</row>
    <row r="671" spans="1:21" ht="15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</row>
    <row r="672" spans="1:21" ht="15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</row>
    <row r="673" spans="1:21" ht="15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</row>
    <row r="674" spans="1:21" ht="15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</row>
    <row r="675" spans="1:21" ht="15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</row>
    <row r="676" spans="1:21" ht="15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</row>
    <row r="677" spans="1:21" ht="15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</row>
    <row r="678" spans="1:21" ht="15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</row>
    <row r="679" spans="1:21" ht="15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</row>
    <row r="680" spans="1:21" ht="15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</row>
    <row r="681" spans="1:21" ht="15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</row>
    <row r="682" spans="1:21" ht="15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</row>
    <row r="683" spans="1:21" ht="15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</row>
    <row r="684" spans="1:21" ht="15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</row>
    <row r="685" spans="1:21" ht="15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</row>
    <row r="686" spans="1:21" ht="15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</row>
    <row r="687" spans="1:21" ht="15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</row>
    <row r="688" spans="1:21" ht="15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</row>
    <row r="689" spans="1:21" ht="15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</row>
    <row r="690" spans="1:21" ht="15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</row>
    <row r="691" spans="1:21" ht="15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</row>
    <row r="692" spans="1:21" ht="15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</row>
    <row r="693" spans="1:21" ht="15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</row>
    <row r="694" spans="1:21" ht="15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</row>
    <row r="695" spans="1:21" ht="15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</row>
    <row r="696" spans="1:21" ht="15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</row>
    <row r="697" spans="1:21" ht="15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</row>
    <row r="698" spans="1:21" ht="15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</row>
    <row r="699" spans="1:21" ht="15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</row>
    <row r="700" spans="1:21" ht="15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</row>
    <row r="701" spans="1:21" ht="15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</row>
    <row r="702" spans="1:21" ht="15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</row>
    <row r="703" spans="1:21" ht="15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</row>
    <row r="704" spans="1:21" ht="15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</row>
    <row r="705" spans="1:21" ht="15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</row>
    <row r="706" spans="1:21" ht="15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</row>
    <row r="707" spans="1:21" ht="15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</row>
    <row r="708" spans="1:21" ht="15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</row>
    <row r="709" spans="1:21" ht="15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</row>
    <row r="710" spans="1:21" ht="15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</row>
    <row r="711" spans="1:21" ht="15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</row>
    <row r="712" spans="1:21" ht="15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</row>
    <row r="713" spans="1:21" ht="15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</row>
    <row r="714" spans="1:21" ht="15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</row>
    <row r="715" spans="1:21" ht="15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</row>
    <row r="716" spans="1:21" ht="15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</row>
    <row r="717" spans="1:21" ht="15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</row>
    <row r="718" spans="1:21" ht="15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</row>
    <row r="719" spans="1:21" ht="15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</row>
    <row r="720" spans="1:21" ht="15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</row>
    <row r="721" spans="1:21" ht="15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</row>
    <row r="722" spans="1:21" ht="15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</row>
    <row r="723" spans="1:21" ht="15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</row>
    <row r="724" spans="1:21" ht="15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</row>
    <row r="725" spans="1:21" ht="15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</row>
    <row r="726" spans="1:21" ht="15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</row>
    <row r="727" spans="1:21" ht="15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</row>
    <row r="728" spans="1:21" ht="15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</row>
    <row r="729" spans="1:21" ht="15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</row>
    <row r="730" spans="1:21" ht="15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</row>
    <row r="731" spans="1:21" ht="15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</row>
    <row r="732" spans="1:21" ht="15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</row>
    <row r="733" spans="1:21" ht="15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</row>
    <row r="734" spans="1:21" ht="15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</row>
    <row r="735" spans="1:21" ht="15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</row>
    <row r="736" spans="1:21" ht="15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</row>
    <row r="737" spans="1:21" ht="15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</row>
    <row r="738" spans="1:21" ht="15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</row>
    <row r="739" spans="1:21" ht="15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</row>
    <row r="740" spans="1:21" ht="15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</row>
    <row r="741" spans="1:21" ht="15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</row>
    <row r="742" spans="1:21" ht="15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</row>
    <row r="743" spans="1:21" ht="15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</row>
    <row r="744" spans="1:21" ht="15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</row>
    <row r="745" spans="1:21" ht="15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</row>
    <row r="746" spans="1:21" ht="15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</row>
    <row r="747" spans="1:21" ht="15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</row>
    <row r="748" spans="1:21" ht="15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</row>
    <row r="749" spans="1:21" ht="15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</row>
    <row r="750" spans="1:21" ht="15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</row>
    <row r="751" spans="1:21" ht="15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</row>
    <row r="752" spans="1:21" ht="15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</row>
    <row r="753" spans="1:21" ht="15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</row>
    <row r="754" spans="1:21" ht="15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</row>
    <row r="755" spans="1:21" ht="15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</row>
    <row r="756" spans="1:21" ht="15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</row>
    <row r="757" spans="1:21" ht="15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</row>
    <row r="758" spans="1:21" ht="15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</row>
    <row r="759" spans="1:21" ht="15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</row>
    <row r="760" spans="1:21" ht="15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</row>
    <row r="761" spans="1:21" ht="15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</row>
    <row r="762" spans="1:21" ht="15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</row>
    <row r="763" spans="1:21" ht="15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</row>
    <row r="764" spans="1:21" ht="15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</row>
    <row r="765" spans="1:21" ht="15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</row>
    <row r="766" spans="1:21" ht="15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</row>
    <row r="767" spans="1:21" ht="15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</row>
    <row r="768" spans="1:21" ht="15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</row>
    <row r="769" spans="1:21" ht="15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</row>
    <row r="770" spans="1:21" ht="15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</row>
    <row r="771" spans="1:21" ht="15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</row>
    <row r="772" spans="1:21" ht="15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</row>
    <row r="773" spans="1:21" ht="15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</row>
    <row r="774" spans="1:21" ht="15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</row>
    <row r="775" spans="1:21" ht="15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</row>
    <row r="776" spans="1:21" ht="15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</row>
    <row r="777" spans="1:21" ht="15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</row>
    <row r="778" spans="1:21" ht="15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</row>
    <row r="779" spans="1:21" ht="15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</row>
    <row r="780" spans="1:21" ht="15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</row>
    <row r="781" spans="1:21" ht="15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</row>
    <row r="782" spans="1:21" ht="15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</row>
    <row r="783" spans="1:21" ht="15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</row>
    <row r="784" spans="1:21" ht="15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</row>
    <row r="785" spans="1:21" ht="15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</row>
    <row r="786" spans="1:21" ht="15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</row>
    <row r="787" spans="1:21" ht="15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</row>
    <row r="788" spans="1:21" ht="15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</row>
    <row r="789" spans="1:21" ht="15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</row>
    <row r="790" spans="1:21" ht="15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</row>
    <row r="791" spans="1:21" ht="15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</row>
    <row r="792" spans="1:21" ht="15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</row>
    <row r="793" spans="1:21" ht="15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</row>
    <row r="794" spans="1:21" ht="15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</row>
    <row r="795" spans="1:21" ht="15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</row>
    <row r="796" spans="1:21" ht="15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</row>
    <row r="797" spans="1:21" ht="15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</row>
    <row r="798" spans="1:21" ht="15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</row>
    <row r="799" spans="1:21" ht="15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</row>
    <row r="800" spans="1:21" ht="15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</row>
    <row r="801" spans="1:21" ht="15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</row>
    <row r="802" spans="1:21" ht="15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</row>
    <row r="803" spans="1:21" ht="15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</row>
    <row r="804" spans="1:21" ht="15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</row>
    <row r="805" spans="1:21" ht="15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</row>
    <row r="806" spans="1:21" ht="15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</row>
    <row r="807" spans="1:21" ht="15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</row>
    <row r="808" spans="1:21" ht="15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</row>
    <row r="809" spans="1:21" ht="15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</row>
    <row r="810" spans="1:21" ht="15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</row>
    <row r="811" spans="1:21" ht="15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</row>
    <row r="812" spans="1:21" ht="15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</row>
    <row r="813" spans="1:21" ht="15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</row>
    <row r="814" spans="1:21" ht="15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</row>
    <row r="815" spans="1:21" ht="15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</row>
    <row r="816" spans="1:21" ht="15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</row>
    <row r="817" spans="1:21" ht="15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</row>
    <row r="818" spans="1:21" ht="15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</row>
    <row r="819" spans="1:21" ht="15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</row>
    <row r="820" spans="1:21" ht="15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</row>
    <row r="821" spans="1:21" ht="15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</row>
    <row r="822" spans="1:21" ht="15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</row>
    <row r="823" spans="1:21" ht="15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</row>
    <row r="824" spans="1:21" ht="15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</row>
    <row r="825" spans="1:21" ht="15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</row>
    <row r="826" spans="1:21" ht="15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</row>
    <row r="827" spans="1:21" ht="15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</row>
    <row r="828" spans="1:21" ht="15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</row>
    <row r="829" spans="1:21" ht="15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</row>
    <row r="830" spans="1:21" ht="15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</row>
    <row r="831" spans="1:21" ht="15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</row>
    <row r="832" spans="1:21" ht="15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</row>
    <row r="833" spans="1:21" ht="15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</row>
    <row r="834" spans="1:21" ht="15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</row>
    <row r="835" spans="1:21" ht="15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</row>
    <row r="836" spans="1:21" ht="15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</row>
    <row r="837" spans="1:21" ht="15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</row>
    <row r="838" spans="1:21" ht="15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</row>
    <row r="839" spans="1:21" ht="15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</row>
    <row r="840" spans="1:21" ht="15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</row>
    <row r="841" spans="1:21" ht="15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</row>
    <row r="842" spans="1:21" ht="15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</row>
    <row r="843" spans="1:21" ht="15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</row>
    <row r="844" spans="1:21" ht="15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</row>
    <row r="845" spans="1:21" ht="15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</row>
    <row r="846" spans="1:21" ht="15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</row>
    <row r="847" spans="1:21" ht="15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</row>
    <row r="848" spans="1:21" ht="15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</row>
    <row r="849" spans="1:21" ht="15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</row>
    <row r="850" spans="1:21" ht="15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</row>
    <row r="851" spans="1:21" ht="15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</row>
    <row r="852" spans="1:21" ht="15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</row>
    <row r="853" spans="1:21" ht="15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</row>
    <row r="854" spans="1:21" ht="15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</row>
    <row r="855" spans="1:21" ht="15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</row>
    <row r="856" spans="1:21" ht="15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</row>
    <row r="857" spans="1:21" ht="15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</row>
    <row r="858" spans="1:21" ht="15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</row>
    <row r="859" spans="1:21" ht="15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</row>
    <row r="860" spans="1:21" ht="15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</row>
    <row r="861" spans="1:21" ht="15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</row>
    <row r="862" spans="1:21" ht="15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</row>
    <row r="863" spans="1:21" ht="15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</row>
    <row r="864" spans="1:21" ht="15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</row>
    <row r="865" spans="1:21" ht="15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</row>
    <row r="866" spans="1:21" ht="15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</row>
    <row r="867" spans="1:21" ht="15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</row>
    <row r="868" spans="1:21" ht="15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</row>
  </sheetData>
  <pageMargins left="0.39370078740157483" right="7.874015748031496E-2" top="0.19685039370078741" bottom="7.874015748031496E-2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Z1000"/>
  <sheetViews>
    <sheetView workbookViewId="0">
      <selection sqref="A1:I1"/>
    </sheetView>
  </sheetViews>
  <sheetFormatPr defaultColWidth="14.453125" defaultRowHeight="15" customHeight="1"/>
  <cols>
    <col min="2" max="2" width="32.54296875" customWidth="1"/>
    <col min="3" max="5" width="7.453125" customWidth="1"/>
    <col min="6" max="7" width="8.6328125" hidden="1" customWidth="1"/>
    <col min="8" max="8" width="18.6328125" customWidth="1"/>
    <col min="9" max="9" width="24.6328125" customWidth="1"/>
    <col min="10" max="26" width="8.6328125" customWidth="1"/>
  </cols>
  <sheetData>
    <row r="1" spans="1:26" ht="21.75" customHeight="1">
      <c r="A1" s="520" t="s">
        <v>48</v>
      </c>
      <c r="B1" s="472"/>
      <c r="C1" s="472"/>
      <c r="D1" s="472"/>
      <c r="E1" s="472"/>
      <c r="F1" s="472"/>
      <c r="G1" s="472"/>
      <c r="H1" s="472"/>
      <c r="I1" s="472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26" ht="21.75" customHeight="1">
      <c r="A2" s="521" t="s">
        <v>49</v>
      </c>
      <c r="B2" s="521" t="s">
        <v>5</v>
      </c>
      <c r="C2" s="518" t="s">
        <v>7</v>
      </c>
      <c r="D2" s="466"/>
      <c r="E2" s="467"/>
      <c r="F2" s="521" t="s">
        <v>12</v>
      </c>
      <c r="G2" s="521" t="s">
        <v>50</v>
      </c>
      <c r="H2" s="521" t="s">
        <v>51</v>
      </c>
      <c r="I2" s="521" t="s">
        <v>52</v>
      </c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spans="1:26" ht="21.75" customHeight="1">
      <c r="A3" s="469"/>
      <c r="B3" s="469"/>
      <c r="C3" s="184" t="s">
        <v>0</v>
      </c>
      <c r="D3" s="184" t="s">
        <v>1</v>
      </c>
      <c r="E3" s="184" t="s">
        <v>2</v>
      </c>
      <c r="F3" s="469"/>
      <c r="G3" s="469"/>
      <c r="H3" s="469"/>
      <c r="I3" s="469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spans="1:26" ht="21.75" customHeight="1">
      <c r="A4" s="185" t="s">
        <v>53</v>
      </c>
      <c r="B4" s="186" t="s">
        <v>54</v>
      </c>
      <c r="C4" s="187">
        <v>4</v>
      </c>
      <c r="D4" s="187">
        <v>1220</v>
      </c>
      <c r="E4" s="187">
        <v>2440</v>
      </c>
      <c r="F4" s="186"/>
      <c r="G4" s="186"/>
      <c r="H4" s="188">
        <v>0</v>
      </c>
      <c r="I4" s="186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spans="1:26" ht="21.75" customHeight="1">
      <c r="A5" s="185" t="s">
        <v>55</v>
      </c>
      <c r="B5" s="186" t="s">
        <v>56</v>
      </c>
      <c r="C5" s="187">
        <v>10</v>
      </c>
      <c r="D5" s="187">
        <v>1220</v>
      </c>
      <c r="E5" s="187">
        <v>2250</v>
      </c>
      <c r="F5" s="186"/>
      <c r="G5" s="186"/>
      <c r="H5" s="188">
        <v>0</v>
      </c>
      <c r="I5" s="186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 ht="21.75" customHeight="1">
      <c r="A6" s="185" t="s">
        <v>57</v>
      </c>
      <c r="B6" s="186" t="s">
        <v>58</v>
      </c>
      <c r="C6" s="187">
        <v>2.5</v>
      </c>
      <c r="D6" s="187">
        <v>1220</v>
      </c>
      <c r="E6" s="187">
        <v>2440</v>
      </c>
      <c r="F6" s="186"/>
      <c r="G6" s="186"/>
      <c r="H6" s="188">
        <v>0</v>
      </c>
      <c r="I6" s="186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spans="1:26" ht="21.75" customHeight="1">
      <c r="A7" s="185" t="s">
        <v>59</v>
      </c>
      <c r="B7" s="186" t="s">
        <v>60</v>
      </c>
      <c r="C7" s="187">
        <v>9</v>
      </c>
      <c r="D7" s="187">
        <v>1220</v>
      </c>
      <c r="E7" s="187">
        <v>1220</v>
      </c>
      <c r="F7" s="186"/>
      <c r="G7" s="186"/>
      <c r="H7" s="188">
        <v>0</v>
      </c>
      <c r="I7" s="186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spans="1:26" ht="21.75" customHeight="1">
      <c r="A8" s="185" t="s">
        <v>61</v>
      </c>
      <c r="B8" s="186" t="s">
        <v>62</v>
      </c>
      <c r="C8" s="187">
        <v>9</v>
      </c>
      <c r="D8" s="187">
        <v>1220</v>
      </c>
      <c r="E8" s="187">
        <v>2440</v>
      </c>
      <c r="F8" s="186"/>
      <c r="G8" s="186"/>
      <c r="H8" s="189"/>
      <c r="I8" s="186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spans="1:26" ht="21.75" customHeight="1">
      <c r="A9" s="185" t="s">
        <v>63</v>
      </c>
      <c r="B9" s="186" t="s">
        <v>64</v>
      </c>
      <c r="C9" s="187">
        <v>90</v>
      </c>
      <c r="D9" s="187">
        <v>600</v>
      </c>
      <c r="E9" s="187">
        <v>600</v>
      </c>
      <c r="F9" s="186"/>
      <c r="G9" s="186"/>
      <c r="H9" s="188"/>
      <c r="I9" s="186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spans="1:26" ht="21.75" customHeight="1">
      <c r="A10" s="185" t="s">
        <v>65</v>
      </c>
      <c r="B10" s="186" t="s">
        <v>66</v>
      </c>
      <c r="C10" s="187">
        <v>2.2999999999999998</v>
      </c>
      <c r="D10" s="187">
        <v>1220</v>
      </c>
      <c r="E10" s="187">
        <v>2440</v>
      </c>
      <c r="F10" s="186"/>
      <c r="G10" s="186"/>
      <c r="H10" s="189"/>
      <c r="I10" s="186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spans="1:26" ht="21.75" customHeight="1">
      <c r="A11" s="190" t="s">
        <v>67</v>
      </c>
      <c r="B11" s="186" t="s">
        <v>68</v>
      </c>
      <c r="C11" s="187"/>
      <c r="D11" s="187"/>
      <c r="E11" s="187"/>
      <c r="F11" s="186"/>
      <c r="G11" s="186"/>
      <c r="H11" s="191"/>
      <c r="I11" s="186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spans="1:26" ht="21.75" customHeight="1">
      <c r="A12" s="519"/>
      <c r="B12" s="466"/>
      <c r="C12" s="466"/>
      <c r="D12" s="466"/>
      <c r="E12" s="467"/>
      <c r="F12" s="186"/>
      <c r="G12" s="186"/>
      <c r="H12" s="192">
        <f>SUM(H4:H11)</f>
        <v>0</v>
      </c>
      <c r="I12" s="186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spans="1:26" ht="21.75" customHeight="1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spans="1:26" ht="21.75" customHeight="1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spans="1:26" ht="21.75" customHeight="1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spans="1:26" ht="21.75" customHeight="1">
      <c r="A16" s="183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 spans="1:26" ht="21.75" customHeight="1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 spans="1:26" ht="21.75" customHeight="1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spans="1:26" ht="21.75" customHeight="1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spans="1:26" ht="21.75" customHeight="1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spans="1:26" ht="21.75" customHeight="1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spans="1:26" ht="21.75" customHeight="1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spans="1:26" ht="21.75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spans="1:26" ht="21.75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spans="1:26" ht="21.75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spans="1:26" ht="21.75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spans="1:26" ht="21.75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spans="1:26" ht="21.75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spans="1:26" ht="21.75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spans="1:26" ht="21.75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 spans="1:26" ht="21.75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</row>
    <row r="32" spans="1:26" ht="21.7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 spans="1:26" ht="21.75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 spans="1:26" ht="21.7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 spans="1:26" ht="21.7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 spans="1:26" ht="21.7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</row>
    <row r="37" spans="1:26" ht="21.7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spans="1:26" ht="21.7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spans="1:26" ht="21.7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spans="1:26" ht="21.7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spans="1:26" ht="21.7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spans="1:26" ht="21.7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spans="1:26" ht="21.7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spans="1:26" ht="21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spans="1:26" ht="21.7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spans="1:26" ht="21.7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spans="1:26" ht="21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 spans="1:26" ht="21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 spans="1:26" ht="21.7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</row>
    <row r="50" spans="1:26" ht="21.7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spans="1:26" ht="21.7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spans="1:26" ht="21.7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spans="1:26" ht="21.7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spans="1:26" ht="21.7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 spans="1:26" ht="21.7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spans="1:26" ht="21.7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spans="1:26" ht="21.7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spans="1:26" ht="21.7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spans="1:26" ht="21.7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spans="1:26" ht="21.7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spans="1:26" ht="21.7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21.7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spans="1:26" ht="21.7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spans="1:26" ht="21.7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spans="1:26" ht="21.7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spans="1:26" ht="21.7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spans="1:26" ht="21.7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spans="1:26" ht="21.7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 spans="1:26" ht="21.7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spans="1:26" ht="21.7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spans="1:26" ht="21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spans="1:26" ht="21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spans="1:26" ht="21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spans="1:26" ht="21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spans="1:26" ht="21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spans="1:26" ht="21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spans="1:26" ht="21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spans="1:26" ht="21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spans="1:26" ht="21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spans="1:26" ht="21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spans="1:26" ht="21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spans="1:26" ht="21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spans="1:26" ht="21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spans="1:26" ht="21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 spans="1:26" ht="21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spans="1:26" ht="21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spans="1:26" ht="21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spans="1:26" ht="21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spans="1:26" ht="21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spans="1:26" ht="21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spans="1:26" ht="21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spans="1:26" ht="21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spans="1:26" ht="21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spans="1:26" ht="21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spans="1:26" ht="21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 spans="1:26" ht="21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spans="1:26" ht="21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spans="1:26" ht="21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spans="1:26" ht="21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 spans="1:26" ht="21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spans="1:26" ht="21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spans="1:26" ht="21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spans="1:26" ht="21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spans="1:26" ht="21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spans="1:26" ht="21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spans="1:26" ht="21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spans="1:26" ht="21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spans="1:26" ht="21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spans="1:26" ht="21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spans="1:26" ht="21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spans="1:26" ht="21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spans="1:26" ht="21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spans="1:26" ht="21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spans="1:26" ht="21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spans="1:26" ht="21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spans="1:26" ht="21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spans="1:26" ht="21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spans="1:26" ht="21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spans="1:26" ht="21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spans="1:26" ht="21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spans="1:26" ht="21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spans="1:26" ht="21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spans="1:26" ht="21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spans="1:26" ht="21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spans="1:26" ht="21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spans="1:26" ht="21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spans="1:26" ht="21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spans="1:26" ht="21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spans="1:26" ht="21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spans="1:26" ht="21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spans="1:26" ht="21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spans="1:26" ht="21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spans="1:26" ht="21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spans="1:26" ht="21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spans="1:26" ht="21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spans="1:26" ht="21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spans="1:26" ht="21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spans="1:26" ht="21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spans="1:26" ht="21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spans="1:26" ht="21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spans="1:26" ht="21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spans="1:26" ht="21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spans="1:26" ht="21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spans="1:26" ht="21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spans="1:26" ht="21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spans="1:26" ht="21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spans="1:26" ht="21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spans="1:26" ht="21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spans="1:26" ht="21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spans="1:26" ht="21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spans="1:26" ht="21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spans="1:26" ht="21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spans="1:26" ht="21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spans="1:26" ht="21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spans="1:26" ht="21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spans="1:26" ht="21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spans="1:26" ht="21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spans="1:26" ht="21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spans="1:26" ht="21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spans="1:26" ht="21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spans="1:26" ht="21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spans="1:26" ht="21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spans="1:26" ht="21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spans="1:26" ht="21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spans="1:26" ht="21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spans="1:26" ht="21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spans="1:26" ht="21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spans="1:26" ht="21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spans="1:26" ht="21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spans="1:26" ht="21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spans="1:26" ht="21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spans="1:26" ht="21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spans="1:26" ht="21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spans="1:26" ht="21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spans="1:26" ht="21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spans="1:26" ht="21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spans="1:26" ht="21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spans="1:26" ht="21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spans="1:26" ht="21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spans="1:26" ht="21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spans="1:26" ht="21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spans="1:26" ht="21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spans="1:26" ht="21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spans="1:26" ht="21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spans="1:26" ht="21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spans="1:26" ht="21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spans="1:26" ht="21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spans="1:26" ht="21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spans="1:26" ht="21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spans="1:26" ht="21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spans="1:26" ht="21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spans="1:26" ht="21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spans="1:26" ht="21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spans="1:26" ht="21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spans="1:26" ht="21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spans="1:26" ht="21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spans="1:26" ht="21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spans="1:26" ht="21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spans="1:26" ht="21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spans="1:26" ht="21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spans="1:26" ht="21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spans="1:26" ht="21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spans="1:26" ht="21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spans="1:26" ht="21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spans="1:26" ht="21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spans="1:26" ht="21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spans="1:26" ht="21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spans="1:26" ht="21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spans="1:26" ht="21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spans="1:26" ht="21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spans="1:26" ht="21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spans="1:26" ht="21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spans="1:26" ht="21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spans="1:26" ht="21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spans="1:26" ht="21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spans="1:26" ht="21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spans="1:26" ht="21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spans="1:26" ht="21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spans="1:26" ht="21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spans="1:26" ht="21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2:E2"/>
    <mergeCell ref="A12:E12"/>
    <mergeCell ref="A1:I1"/>
    <mergeCell ref="A2:A3"/>
    <mergeCell ref="B2:B3"/>
    <mergeCell ref="F2:F3"/>
    <mergeCell ref="G2:G3"/>
    <mergeCell ref="H2:H3"/>
    <mergeCell ref="I2:I3"/>
  </mergeCells>
  <conditionalFormatting sqref="I2">
    <cfRule type="cellIs" dxfId="0" priority="1" operator="equal">
      <formula>"สั่งซื้อเพิ่ม"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2</vt:i4>
      </vt:variant>
    </vt:vector>
  </HeadingPairs>
  <TitlesOfParts>
    <vt:vector size="22" baseType="lpstr">
      <vt:lpstr>MAT-CHINA</vt:lpstr>
      <vt:lpstr>LB-Board</vt:lpstr>
      <vt:lpstr>MAT-INDO</vt:lpstr>
      <vt:lpstr>TAIWAN</vt:lpstr>
      <vt:lpstr>TAIWAN (Rev)</vt:lpstr>
      <vt:lpstr>VIETNAM</vt:lpstr>
      <vt:lpstr>CT1</vt:lpstr>
      <vt:lpstr>S4S</vt:lpstr>
      <vt:lpstr>FJ</vt:lpstr>
      <vt:lpstr>HFC</vt:lpstr>
      <vt:lpstr>RS-RUN</vt:lpstr>
      <vt:lpstr>SD</vt:lpstr>
      <vt:lpstr>MD</vt:lpstr>
      <vt:lpstr>DB</vt:lpstr>
      <vt:lpstr>UV</vt:lpstr>
      <vt:lpstr>PK1</vt:lpstr>
      <vt:lpstr>PK2</vt:lpstr>
      <vt:lpstr>PK-Accessary </vt:lpstr>
      <vt:lpstr>Summary Inventory </vt:lpstr>
      <vt:lpstr>สื้นเปลือง</vt:lpstr>
      <vt:lpstr>'PK-Accessary '!Print_Area</vt:lpstr>
      <vt:lpstr>'PK-Accessary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ชินพจน์ ปาลรัตน์</cp:lastModifiedBy>
  <dcterms:created xsi:type="dcterms:W3CDTF">2022-06-16T01:24:23Z</dcterms:created>
  <dcterms:modified xsi:type="dcterms:W3CDTF">2026-08-14T14:36:50Z</dcterms:modified>
</cp:coreProperties>
</file>