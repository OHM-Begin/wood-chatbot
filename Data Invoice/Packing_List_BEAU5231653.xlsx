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B5E20"/>
      <sz val="14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 vertical="center"/>
    </xf>
    <xf numFmtId="0" fontId="3" fillId="3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74" customWidth="1" min="1" max="1"/>
    <col width="26" customWidth="1" min="2" max="2"/>
    <col width="20" customWidth="1" min="3" max="3"/>
    <col width="27" customWidth="1" min="4" max="4"/>
    <col width="19" customWidth="1" min="5" max="5"/>
    <col width="16" customWidth="1" min="6" max="6"/>
    <col width="24" customWidth="1" min="7" max="7"/>
    <col width="20" customWidth="1" min="8" max="8"/>
    <col width="68" customWidth="1" min="9" max="9"/>
    <col width="16" customWidth="1" min="10" max="10"/>
  </cols>
  <sheetData>
    <row r="1" ht="30" customHeight="1">
      <c r="A1" s="1" t="inlineStr">
        <is>
          <t>PACKING LIST: PL- 25/ASN/TM/VII/26 (CONTAINER: BEAU 5231653/ID48136AA)</t>
        </is>
      </c>
    </row>
    <row r="2"/>
    <row r="3" ht="25" customHeight="1">
      <c r="A3" s="2" t="inlineStr">
        <is>
          <t>ลำดับ</t>
        </is>
      </c>
      <c r="B3" s="2" t="inlineStr">
        <is>
          <t>No. Item (Part Number)</t>
        </is>
      </c>
      <c r="C3" s="2" t="inlineStr">
        <is>
          <t>No. BDL (มัดที่)</t>
        </is>
      </c>
      <c r="D3" s="2" t="inlineStr">
        <is>
          <t>ขนาด / Description (MM)</t>
        </is>
      </c>
      <c r="E3" s="2" t="inlineStr">
        <is>
          <t>ยอดตาม PL (PCS)</t>
        </is>
      </c>
      <c r="F3" s="2" t="inlineStr">
        <is>
          <t>ปริมาตร (M3)</t>
        </is>
      </c>
      <c r="G3" s="2" t="inlineStr">
        <is>
          <t>ยอดรับเข้าแล้ว (PCS)</t>
        </is>
      </c>
      <c r="H3" s="2" t="inlineStr">
        <is>
          <t>ยอดคงเหลือ (PCS)</t>
        </is>
      </c>
      <c r="I3" s="2" t="inlineStr">
        <is>
          <t>สถานะการตรวจรับ</t>
        </is>
      </c>
      <c r="J3" s="2" t="inlineStr">
        <is>
          <t>อัปเดตล่าสุด</t>
        </is>
      </c>
    </row>
    <row r="4">
      <c r="A4" s="3" t="n">
        <v>1</v>
      </c>
      <c r="B4" s="3" t="inlineStr">
        <is>
          <t>8163986</t>
        </is>
      </c>
      <c r="C4" s="3" t="inlineStr">
        <is>
          <t>1</t>
        </is>
      </c>
      <c r="D4" s="4" t="inlineStr">
        <is>
          <t>16 x 254 x 524 MM</t>
        </is>
      </c>
      <c r="E4" s="5" t="n">
        <v>250</v>
      </c>
      <c r="F4" s="5" t="n">
        <v>0.532</v>
      </c>
      <c r="G4" s="5" t="n">
        <v>0</v>
      </c>
      <c r="H4" s="5">
        <f>E4-G4</f>
        <v/>
      </c>
      <c r="I4" s="3">
        <f>IF(G4=0,"⏳ ยังไม่รับ",IF(G4&gt;=E4,"✅ ครบถ้วน","🟡 รับบางส่วน"))</f>
        <v/>
      </c>
      <c r="J4" s="3" t="inlineStr">
        <is>
          <t>-</t>
        </is>
      </c>
    </row>
    <row r="5">
      <c r="A5" s="3" t="n">
        <v>2</v>
      </c>
      <c r="B5" s="3" t="inlineStr">
        <is>
          <t>8156594</t>
        </is>
      </c>
      <c r="C5" s="3" t="inlineStr">
        <is>
          <t>-</t>
        </is>
      </c>
      <c r="D5" s="4" t="inlineStr">
        <is>
          <t>16 x 162 x 644 MM</t>
        </is>
      </c>
      <c r="E5" s="5" t="n">
        <v>250</v>
      </c>
      <c r="F5" s="5" t="n">
        <v>0.417</v>
      </c>
      <c r="G5" s="5" t="n">
        <v>0</v>
      </c>
      <c r="H5" s="5">
        <f>E5-G5</f>
        <v/>
      </c>
      <c r="I5" s="3">
        <f>IF(G5=0,"⏳ ยังไม่รับ",IF(G5&gt;=E5,"✅ ครบถ้วน","🟡 รับบางส่วน"))</f>
        <v/>
      </c>
      <c r="J5" s="3" t="inlineStr">
        <is>
          <t>-</t>
        </is>
      </c>
    </row>
    <row r="6">
      <c r="A6" s="3" t="n">
        <v>3</v>
      </c>
      <c r="B6" s="3" t="inlineStr">
        <is>
          <t>8156623</t>
        </is>
      </c>
      <c r="C6" s="3" t="inlineStr">
        <is>
          <t>2</t>
        </is>
      </c>
      <c r="D6" s="4" t="inlineStr">
        <is>
          <t>16 x 162 x 872 MM</t>
        </is>
      </c>
      <c r="E6" s="5" t="n">
        <v>438</v>
      </c>
      <c r="F6" s="5" t="n">
        <v>0.99</v>
      </c>
      <c r="G6" s="5" t="n">
        <v>0</v>
      </c>
      <c r="H6" s="5">
        <f>E6-G6</f>
        <v/>
      </c>
      <c r="I6" s="3">
        <f>IF(G6=0,"⏳ ยังไม่รับ",IF(G6&gt;=E6,"✅ ครบถ้วน","🟡 รับบางส่วน"))</f>
        <v/>
      </c>
      <c r="J6" s="3" t="inlineStr">
        <is>
          <t>-</t>
        </is>
      </c>
    </row>
    <row r="7">
      <c r="A7" s="3" t="n">
        <v>4</v>
      </c>
      <c r="B7" s="3" t="inlineStr">
        <is>
          <t>8156623</t>
        </is>
      </c>
      <c r="C7" s="3" t="inlineStr">
        <is>
          <t>3</t>
        </is>
      </c>
      <c r="D7" s="4" t="inlineStr">
        <is>
          <t>16 x 162 x 872 MM</t>
        </is>
      </c>
      <c r="E7" s="5" t="n">
        <v>232</v>
      </c>
      <c r="F7" s="5" t="n">
        <v>0.524</v>
      </c>
      <c r="G7" s="5" t="n">
        <v>0</v>
      </c>
      <c r="H7" s="5">
        <f>E7-G7</f>
        <v/>
      </c>
      <c r="I7" s="3">
        <f>IF(G7=0,"⏳ ยังไม่รับ",IF(G7&gt;=E7,"✅ ครบถ้วน","🟡 รับบางส่วน"))</f>
        <v/>
      </c>
      <c r="J7" s="3" t="inlineStr">
        <is>
          <t>-</t>
        </is>
      </c>
    </row>
    <row r="8">
      <c r="A8" s="3" t="n">
        <v>5</v>
      </c>
      <c r="B8" s="3" t="inlineStr">
        <is>
          <t>8156614</t>
        </is>
      </c>
      <c r="C8" s="3" t="inlineStr">
        <is>
          <t>4</t>
        </is>
      </c>
      <c r="D8" s="4" t="inlineStr">
        <is>
          <t>16 x 162 x 796 MM</t>
        </is>
      </c>
      <c r="E8" s="5" t="n">
        <v>438</v>
      </c>
      <c r="F8" s="5" t="n">
        <v>0.904</v>
      </c>
      <c r="G8" s="5" t="n">
        <v>0</v>
      </c>
      <c r="H8" s="5">
        <f>E8-G8</f>
        <v/>
      </c>
      <c r="I8" s="3">
        <f>IF(G8=0,"⏳ ยังไม่รับ",IF(G8&gt;=E8,"✅ ครบถ้วน","🟡 รับบางส่วน"))</f>
        <v/>
      </c>
      <c r="J8" s="3" t="inlineStr">
        <is>
          <t>-</t>
        </is>
      </c>
    </row>
    <row r="9">
      <c r="A9" s="3" t="n">
        <v>6</v>
      </c>
      <c r="B9" s="3" t="inlineStr">
        <is>
          <t>8156614</t>
        </is>
      </c>
      <c r="C9" s="3" t="inlineStr">
        <is>
          <t>5</t>
        </is>
      </c>
      <c r="D9" s="4" t="inlineStr">
        <is>
          <t>16 x 162 x 796 MM</t>
        </is>
      </c>
      <c r="E9" s="5" t="n">
        <v>312</v>
      </c>
      <c r="F9" s="5" t="n">
        <v>0.644</v>
      </c>
      <c r="G9" s="5" t="n">
        <v>0</v>
      </c>
      <c r="H9" s="5">
        <f>E9-G9</f>
        <v/>
      </c>
      <c r="I9" s="3">
        <f>IF(G9=0,"⏳ ยังไม่รับ",IF(G9&gt;=E9,"✅ ครบถ้วน","🟡 รับบางส่วน"))</f>
        <v/>
      </c>
      <c r="J9" s="3" t="inlineStr">
        <is>
          <t>-</t>
        </is>
      </c>
    </row>
    <row r="10">
      <c r="A10" s="3" t="n">
        <v>7</v>
      </c>
      <c r="B10" s="3" t="inlineStr">
        <is>
          <t>8156604</t>
        </is>
      </c>
      <c r="C10" s="3" t="inlineStr">
        <is>
          <t>6</t>
        </is>
      </c>
      <c r="D10" s="4" t="inlineStr">
        <is>
          <t>16 x 162 x 720 MM</t>
        </is>
      </c>
      <c r="E10" s="5" t="n">
        <v>438</v>
      </c>
      <c r="F10" s="5" t="n">
        <v>0.8169999999999999</v>
      </c>
      <c r="G10" s="5" t="n">
        <v>0</v>
      </c>
      <c r="H10" s="5">
        <f>E10-G10</f>
        <v/>
      </c>
      <c r="I10" s="3">
        <f>IF(G10=0,"⏳ ยังไม่รับ",IF(G10&gt;=E10,"✅ ครบถ้วน","🟡 รับบางส่วน"))</f>
        <v/>
      </c>
      <c r="J10" s="3" t="inlineStr">
        <is>
          <t>-</t>
        </is>
      </c>
    </row>
    <row r="11">
      <c r="A11" s="3" t="n">
        <v>8</v>
      </c>
      <c r="B11" s="3" t="inlineStr">
        <is>
          <t>8156604</t>
        </is>
      </c>
      <c r="C11" s="3" t="inlineStr">
        <is>
          <t>7</t>
        </is>
      </c>
      <c r="D11" s="4" t="inlineStr">
        <is>
          <t>16 x 162 x 720 MM</t>
        </is>
      </c>
      <c r="E11" s="5" t="n">
        <v>312</v>
      </c>
      <c r="F11" s="5" t="n">
        <v>0.582</v>
      </c>
      <c r="G11" s="5" t="n">
        <v>0</v>
      </c>
      <c r="H11" s="5">
        <f>E11-G11</f>
        <v/>
      </c>
      <c r="I11" s="3">
        <f>IF(G11=0,"⏳ ยังไม่รับ",IF(G11&gt;=E11,"✅ ครบถ้วน","🟡 รับบางส่วน"))</f>
        <v/>
      </c>
      <c r="J11" s="3" t="inlineStr">
        <is>
          <t>-</t>
        </is>
      </c>
    </row>
    <row r="12">
      <c r="A12" s="3" t="n">
        <v>9</v>
      </c>
      <c r="B12" s="3" t="inlineStr">
        <is>
          <t>8156585</t>
        </is>
      </c>
      <c r="C12" s="3" t="inlineStr">
        <is>
          <t>8</t>
        </is>
      </c>
      <c r="D12" s="4" t="inlineStr">
        <is>
          <t>16 x 162 x 568 MM</t>
        </is>
      </c>
      <c r="E12" s="5" t="n">
        <v>750</v>
      </c>
      <c r="F12" s="5" t="n">
        <v>1.104</v>
      </c>
      <c r="G12" s="5" t="n">
        <v>0</v>
      </c>
      <c r="H12" s="5">
        <f>E12-G12</f>
        <v/>
      </c>
      <c r="I12" s="3">
        <f>IF(G12=0,"⏳ ยังไม่รับ",IF(G12&gt;=E12,"✅ ครบถ้วน","🟡 รับบางส่วน"))</f>
        <v/>
      </c>
      <c r="J12" s="3" t="inlineStr">
        <is>
          <t>-</t>
        </is>
      </c>
    </row>
    <row r="13">
      <c r="A13" s="3" t="n">
        <v>10</v>
      </c>
      <c r="B13" s="3" t="inlineStr">
        <is>
          <t>8156521</t>
        </is>
      </c>
      <c r="C13" s="3" t="inlineStr">
        <is>
          <t>9</t>
        </is>
      </c>
      <c r="D13" s="4" t="inlineStr">
        <is>
          <t>16 x 162 x 524 MM</t>
        </is>
      </c>
      <c r="E13" s="5" t="n">
        <v>876</v>
      </c>
      <c r="F13" s="5" t="n">
        <v>1.19</v>
      </c>
      <c r="G13" s="5" t="n">
        <v>0</v>
      </c>
      <c r="H13" s="5">
        <f>E13-G13</f>
        <v/>
      </c>
      <c r="I13" s="3">
        <f>IF(G13=0,"⏳ ยังไม่รับ",IF(G13&gt;=E13,"✅ ครบถ้วน","🟡 รับบางส่วน"))</f>
        <v/>
      </c>
      <c r="J13" s="3" t="inlineStr">
        <is>
          <t>-</t>
        </is>
      </c>
    </row>
    <row r="14">
      <c r="A14" s="3" t="n">
        <v>11</v>
      </c>
      <c r="B14" s="3" t="inlineStr">
        <is>
          <t>8156521</t>
        </is>
      </c>
      <c r="C14" s="3" t="inlineStr">
        <is>
          <t>10</t>
        </is>
      </c>
      <c r="D14" s="4" t="inlineStr">
        <is>
          <t>16 x 162 x 524 MM</t>
        </is>
      </c>
      <c r="E14" s="5" t="n">
        <v>876</v>
      </c>
      <c r="F14" s="5" t="n">
        <v>1.19</v>
      </c>
      <c r="G14" s="5" t="n">
        <v>0</v>
      </c>
      <c r="H14" s="5">
        <f>E14-G14</f>
        <v/>
      </c>
      <c r="I14" s="3">
        <f>IF(G14=0,"⏳ ยังไม่รับ",IF(G14&gt;=E14,"✅ ครบถ้วน","🟡 รับบางส่วน"))</f>
        <v/>
      </c>
      <c r="J14" s="3" t="inlineStr">
        <is>
          <t>-</t>
        </is>
      </c>
    </row>
    <row r="15">
      <c r="A15" s="3" t="n">
        <v>12</v>
      </c>
      <c r="B15" s="3" t="inlineStr">
        <is>
          <t>8156521</t>
        </is>
      </c>
      <c r="C15" s="3" t="inlineStr">
        <is>
          <t>11</t>
        </is>
      </c>
      <c r="D15" s="4" t="inlineStr">
        <is>
          <t>16 x 162 x 524 MM</t>
        </is>
      </c>
      <c r="E15" s="5" t="n">
        <v>876</v>
      </c>
      <c r="F15" s="5" t="n">
        <v>1.19</v>
      </c>
      <c r="G15" s="5" t="n">
        <v>0</v>
      </c>
      <c r="H15" s="5">
        <f>E15-G15</f>
        <v/>
      </c>
      <c r="I15" s="3">
        <f>IF(G15=0,"⏳ ยังไม่รับ",IF(G15&gt;=E15,"✅ ครบถ้วน","🟡 รับบางส่วน"))</f>
        <v/>
      </c>
      <c r="J15" s="3" t="inlineStr">
        <is>
          <t>-</t>
        </is>
      </c>
    </row>
    <row r="16">
      <c r="A16" s="3" t="n">
        <v>13</v>
      </c>
      <c r="B16" s="3" t="inlineStr">
        <is>
          <t>8156521</t>
        </is>
      </c>
      <c r="C16" s="3" t="inlineStr">
        <is>
          <t>12</t>
        </is>
      </c>
      <c r="D16" s="4" t="inlineStr">
        <is>
          <t>16 x 162 x 524 MM</t>
        </is>
      </c>
      <c r="E16" s="5" t="n">
        <v>876</v>
      </c>
      <c r="F16" s="5" t="n">
        <v>1.19</v>
      </c>
      <c r="G16" s="5" t="n">
        <v>0</v>
      </c>
      <c r="H16" s="5">
        <f>E16-G16</f>
        <v/>
      </c>
      <c r="I16" s="3">
        <f>IF(G16=0,"⏳ ยังไม่รับ",IF(G16&gt;=E16,"✅ ครบถ้วน","🟡 รับบางส่วน"))</f>
        <v/>
      </c>
      <c r="J16" s="3" t="inlineStr">
        <is>
          <t>-</t>
        </is>
      </c>
    </row>
    <row r="17">
      <c r="A17" s="3" t="n">
        <v>14</v>
      </c>
      <c r="B17" s="3" t="inlineStr">
        <is>
          <t>8156521</t>
        </is>
      </c>
      <c r="C17" s="3" t="inlineStr">
        <is>
          <t>13</t>
        </is>
      </c>
      <c r="D17" s="4" t="inlineStr">
        <is>
          <t>16 x 162 x 524 MM</t>
        </is>
      </c>
      <c r="E17" s="5" t="n">
        <v>856</v>
      </c>
      <c r="F17" s="5" t="n">
        <v>1.163</v>
      </c>
      <c r="G17" s="5" t="n">
        <v>0</v>
      </c>
      <c r="H17" s="5">
        <f>E17-G17</f>
        <v/>
      </c>
      <c r="I17" s="3">
        <f>IF(G17=0,"⏳ ยังไม่รับ",IF(G17&gt;=E17,"✅ ครบถ้วน","🟡 รับบางส่วน"))</f>
        <v/>
      </c>
      <c r="J17" s="3" t="inlineStr">
        <is>
          <t>-</t>
        </is>
      </c>
    </row>
    <row r="18">
      <c r="A18" s="3" t="n">
        <v>15</v>
      </c>
      <c r="B18" s="3" t="inlineStr">
        <is>
          <t>8156578</t>
        </is>
      </c>
      <c r="C18" s="3" t="inlineStr">
        <is>
          <t>14</t>
        </is>
      </c>
      <c r="D18" s="4" t="inlineStr">
        <is>
          <t>16 x 162 x 491 MM</t>
        </is>
      </c>
      <c r="E18" s="5" t="n">
        <v>320</v>
      </c>
      <c r="F18" s="5" t="n">
        <v>0.407</v>
      </c>
      <c r="G18" s="5" t="n">
        <v>0</v>
      </c>
      <c r="H18" s="5">
        <f>E18-G18</f>
        <v/>
      </c>
      <c r="I18" s="3">
        <f>IF(G18=0,"⏳ ยังไม่รับ",IF(G18&gt;=E18,"✅ ครบถ้วน","🟡 รับบางส่วน"))</f>
        <v/>
      </c>
      <c r="J18" s="3" t="inlineStr">
        <is>
          <t>-</t>
        </is>
      </c>
    </row>
    <row r="19">
      <c r="A19" s="3" t="n">
        <v>16</v>
      </c>
      <c r="B19" s="3" t="inlineStr">
        <is>
          <t>8156374</t>
        </is>
      </c>
      <c r="C19" s="3" t="inlineStr">
        <is>
          <t>-</t>
        </is>
      </c>
      <c r="D19" s="4" t="inlineStr">
        <is>
          <t>16 x 162 x 474 MM</t>
        </is>
      </c>
      <c r="E19" s="5" t="n">
        <v>404</v>
      </c>
      <c r="F19" s="5" t="n">
        <v>0.496</v>
      </c>
      <c r="G19" s="5" t="n">
        <v>0</v>
      </c>
      <c r="H19" s="5">
        <f>E19-G19</f>
        <v/>
      </c>
      <c r="I19" s="3">
        <f>IF(G19=0,"⏳ ยังไม่รับ",IF(G19&gt;=E19,"✅ ครบถ้วน","🟡 รับบางส่วน"))</f>
        <v/>
      </c>
      <c r="J19" s="3" t="inlineStr">
        <is>
          <t>-</t>
        </is>
      </c>
    </row>
    <row r="20">
      <c r="A20" s="3" t="n">
        <v>17</v>
      </c>
      <c r="B20" s="3" t="inlineStr">
        <is>
          <t>8156374</t>
        </is>
      </c>
      <c r="C20" s="3" t="inlineStr">
        <is>
          <t>15</t>
        </is>
      </c>
      <c r="D20" s="4" t="inlineStr">
        <is>
          <t>16 x 162 x 474 MM</t>
        </is>
      </c>
      <c r="E20" s="5" t="n">
        <v>876</v>
      </c>
      <c r="F20" s="5" t="n">
        <v>1.076</v>
      </c>
      <c r="G20" s="5" t="n">
        <v>0</v>
      </c>
      <c r="H20" s="5">
        <f>E20-G20</f>
        <v/>
      </c>
      <c r="I20" s="3">
        <f>IF(G20=0,"⏳ ยังไม่รับ",IF(G20&gt;=E20,"✅ ครบถ้วน","🟡 รับบางส่วน"))</f>
        <v/>
      </c>
      <c r="J20" s="3" t="inlineStr">
        <is>
          <t>-</t>
        </is>
      </c>
    </row>
    <row r="21">
      <c r="A21" s="3" t="n">
        <v>18</v>
      </c>
      <c r="B21" s="3" t="inlineStr">
        <is>
          <t>8156666</t>
        </is>
      </c>
      <c r="C21" s="3" t="inlineStr">
        <is>
          <t>16</t>
        </is>
      </c>
      <c r="D21" s="4" t="inlineStr">
        <is>
          <t>16 x 86 x 872 MM</t>
        </is>
      </c>
      <c r="E21" s="5" t="n">
        <v>320</v>
      </c>
      <c r="F21" s="5" t="n">
        <v>0.384</v>
      </c>
      <c r="G21" s="5" t="n">
        <v>0</v>
      </c>
      <c r="H21" s="5">
        <f>E21-G21</f>
        <v/>
      </c>
      <c r="I21" s="3">
        <f>IF(G21=0,"⏳ ยังไม่รับ",IF(G21&gt;=E21,"✅ ครบถ้วน","🟡 รับบางส่วน"))</f>
        <v/>
      </c>
      <c r="J21" s="3" t="inlineStr">
        <is>
          <t>-</t>
        </is>
      </c>
    </row>
    <row r="22">
      <c r="A22" s="3" t="n">
        <v>19</v>
      </c>
      <c r="B22" s="3" t="inlineStr">
        <is>
          <t>8156663</t>
        </is>
      </c>
      <c r="C22" s="3" t="inlineStr">
        <is>
          <t>-</t>
        </is>
      </c>
      <c r="D22" s="4" t="inlineStr">
        <is>
          <t>16 x 86 x 796 MM</t>
        </is>
      </c>
      <c r="E22" s="5" t="n">
        <v>480</v>
      </c>
      <c r="F22" s="5" t="n">
        <v>0.526</v>
      </c>
      <c r="G22" s="5" t="n">
        <v>0</v>
      </c>
      <c r="H22" s="5">
        <f>E22-G22</f>
        <v/>
      </c>
      <c r="I22" s="3">
        <f>IF(G22=0,"⏳ ยังไม่รับ",IF(G22&gt;=E22,"✅ ครบถ้วน","🟡 รับบางส่วน"))</f>
        <v/>
      </c>
      <c r="J22" s="3" t="inlineStr">
        <is>
          <t>-</t>
        </is>
      </c>
    </row>
    <row r="23">
      <c r="A23" s="3" t="n">
        <v>20</v>
      </c>
      <c r="B23" s="3" t="inlineStr">
        <is>
          <t>8156544</t>
        </is>
      </c>
      <c r="C23" s="3" t="inlineStr">
        <is>
          <t>17</t>
        </is>
      </c>
      <c r="D23" s="4" t="inlineStr">
        <is>
          <t>16 x 86 x 822 MM</t>
        </is>
      </c>
      <c r="E23" s="5" t="n">
        <v>320</v>
      </c>
      <c r="F23" s="5" t="n">
        <v>0.362</v>
      </c>
      <c r="G23" s="5" t="n">
        <v>0</v>
      </c>
      <c r="H23" s="5">
        <f>E23-G23</f>
        <v/>
      </c>
      <c r="I23" s="3">
        <f>IF(G23=0,"⏳ ยังไม่รับ",IF(G23&gt;=E23,"✅ ครบถ้วน","🟡 รับบางส่วน"))</f>
        <v/>
      </c>
      <c r="J23" s="3" t="inlineStr">
        <is>
          <t>-</t>
        </is>
      </c>
    </row>
    <row r="24">
      <c r="A24" s="3" t="n">
        <v>21</v>
      </c>
      <c r="B24" s="3" t="inlineStr">
        <is>
          <t>8156535</t>
        </is>
      </c>
      <c r="C24" s="3" t="inlineStr">
        <is>
          <t>-</t>
        </is>
      </c>
      <c r="D24" s="4" t="inlineStr">
        <is>
          <t>16 x 86 x 746 MM</t>
        </is>
      </c>
      <c r="E24" s="5" t="n">
        <v>480</v>
      </c>
      <c r="F24" s="5" t="n">
        <v>0.493</v>
      </c>
      <c r="G24" s="5" t="n">
        <v>0</v>
      </c>
      <c r="H24" s="5">
        <f>E24-G24</f>
        <v/>
      </c>
      <c r="I24" s="3">
        <f>IF(G24=0,"⏳ ยังไม่รับ",IF(G24&gt;=E24,"✅ ครบถ้วน","🟡 รับบางส่วน"))</f>
        <v/>
      </c>
      <c r="J24" s="3" t="inlineStr">
        <is>
          <t>-</t>
        </is>
      </c>
    </row>
    <row r="25">
      <c r="A25" s="3" t="n">
        <v>22</v>
      </c>
      <c r="B25" s="3" t="inlineStr">
        <is>
          <t>8156659</t>
        </is>
      </c>
      <c r="C25" s="3" t="inlineStr">
        <is>
          <t>18</t>
        </is>
      </c>
      <c r="D25" s="4" t="inlineStr">
        <is>
          <t>16 x 86 x 720 MM</t>
        </is>
      </c>
      <c r="E25" s="5" t="n">
        <v>960</v>
      </c>
      <c r="F25" s="5" t="n">
        <v>0.951</v>
      </c>
      <c r="G25" s="5" t="n">
        <v>0</v>
      </c>
      <c r="H25" s="5">
        <f>E25-G25</f>
        <v/>
      </c>
      <c r="I25" s="3">
        <f>IF(G25=0,"⏳ ยังไม่รับ",IF(G25&gt;=E25,"✅ ครบถ้วน","🟡 รับบางส่วน"))</f>
        <v/>
      </c>
      <c r="J25" s="3" t="inlineStr">
        <is>
          <t>-</t>
        </is>
      </c>
    </row>
    <row r="26">
      <c r="A26" s="3" t="n">
        <v>23</v>
      </c>
      <c r="B26" s="3" t="inlineStr">
        <is>
          <t>8156646</t>
        </is>
      </c>
      <c r="C26" s="3" t="inlineStr">
        <is>
          <t>19</t>
        </is>
      </c>
      <c r="D26" s="4" t="inlineStr">
        <is>
          <t>16 x 86 x 568 MM</t>
        </is>
      </c>
      <c r="E26" s="5" t="n">
        <v>520</v>
      </c>
      <c r="F26" s="5" t="n">
        <v>0.406</v>
      </c>
      <c r="G26" s="5" t="n">
        <v>0</v>
      </c>
      <c r="H26" s="5">
        <f>E26-G26</f>
        <v/>
      </c>
      <c r="I26" s="3">
        <f>IF(G26=0,"⏳ ยังไม่รับ",IF(G26&gt;=E26,"✅ ครบถ้วน","🟡 รับบางส่วน"))</f>
        <v/>
      </c>
      <c r="J26" s="3" t="inlineStr">
        <is>
          <t>-</t>
        </is>
      </c>
    </row>
    <row r="27">
      <c r="A27" s="3" t="n">
        <v>24</v>
      </c>
      <c r="B27" s="3" t="inlineStr">
        <is>
          <t>8156643</t>
        </is>
      </c>
      <c r="C27" s="3" t="inlineStr">
        <is>
          <t>-</t>
        </is>
      </c>
      <c r="D27" s="4" t="inlineStr">
        <is>
          <t>16 x 86 x 491 MM</t>
        </is>
      </c>
      <c r="E27" s="5" t="n">
        <v>640</v>
      </c>
      <c r="F27" s="5" t="n">
        <v>0.432</v>
      </c>
      <c r="G27" s="5" t="n">
        <v>0</v>
      </c>
      <c r="H27" s="5">
        <f>E27-G27</f>
        <v/>
      </c>
      <c r="I27" s="3">
        <f>IF(G27=0,"⏳ ยังไม่รับ",IF(G27&gt;=E27,"✅ ครบถ้วน","🟡 รับบางส่วน"))</f>
        <v/>
      </c>
      <c r="J27" s="3" t="inlineStr">
        <is>
          <t>-</t>
        </is>
      </c>
    </row>
    <row r="28">
      <c r="A28" s="3" t="n">
        <v>25</v>
      </c>
      <c r="B28" s="3" t="inlineStr">
        <is>
          <t>8156575</t>
        </is>
      </c>
      <c r="C28" s="3" t="inlineStr">
        <is>
          <t>20</t>
        </is>
      </c>
      <c r="D28" s="4" t="inlineStr">
        <is>
          <t>16 x 86 x 524 MM</t>
        </is>
      </c>
      <c r="E28" s="5" t="n">
        <v>1608</v>
      </c>
      <c r="F28" s="5" t="n">
        <v>1.159</v>
      </c>
      <c r="G28" s="5" t="n">
        <v>0</v>
      </c>
      <c r="H28" s="5">
        <f>E28-G28</f>
        <v/>
      </c>
      <c r="I28" s="3">
        <f>IF(G28=0,"⏳ ยังไม่รับ",IF(G28&gt;=E28,"✅ ครบถ้วน","🟡 รับบางส่วน"))</f>
        <v/>
      </c>
      <c r="J28" s="3" t="inlineStr">
        <is>
          <t>-</t>
        </is>
      </c>
    </row>
    <row r="29">
      <c r="A29" s="3" t="n">
        <v>26</v>
      </c>
      <c r="B29" s="3" t="inlineStr">
        <is>
          <t>8156575</t>
        </is>
      </c>
      <c r="C29" s="3" t="inlineStr">
        <is>
          <t>21</t>
        </is>
      </c>
      <c r="D29" s="4" t="inlineStr">
        <is>
          <t>16 x 86 x 524 MM</t>
        </is>
      </c>
      <c r="E29" s="5" t="n">
        <v>1608</v>
      </c>
      <c r="F29" s="5" t="n">
        <v>1.159</v>
      </c>
      <c r="G29" s="5" t="n">
        <v>0</v>
      </c>
      <c r="H29" s="5">
        <f>E29-G29</f>
        <v/>
      </c>
      <c r="I29" s="3">
        <f>IF(G29=0,"⏳ ยังไม่รับ",IF(G29&gt;=E29,"✅ ครบถ้วน","🟡 รับบางส่วน"))</f>
        <v/>
      </c>
      <c r="J29" s="3" t="inlineStr">
        <is>
          <t>-</t>
        </is>
      </c>
    </row>
    <row r="30">
      <c r="A30" s="3" t="n">
        <v>27</v>
      </c>
      <c r="B30" s="3" t="inlineStr">
        <is>
          <t>8156575</t>
        </is>
      </c>
      <c r="C30" s="3" t="inlineStr">
        <is>
          <t>22</t>
        </is>
      </c>
      <c r="D30" s="4" t="inlineStr">
        <is>
          <t>16 x 86 x 524 MM</t>
        </is>
      </c>
      <c r="E30" s="5" t="n">
        <v>1264</v>
      </c>
      <c r="F30" s="5" t="n">
        <v>0.911</v>
      </c>
      <c r="G30" s="5" t="n">
        <v>0</v>
      </c>
      <c r="H30" s="5">
        <f>E30-G30</f>
        <v/>
      </c>
      <c r="I30" s="3">
        <f>IF(G30=0,"⏳ ยังไม่รับ",IF(G30&gt;=E30,"✅ ครบถ้วน","🟡 รับบางส่วน"))</f>
        <v/>
      </c>
      <c r="J30" s="3" t="inlineStr">
        <is>
          <t>-</t>
        </is>
      </c>
    </row>
    <row r="31">
      <c r="A31" s="3" t="n">
        <v>28</v>
      </c>
      <c r="B31" s="3" t="inlineStr">
        <is>
          <t>8156565</t>
        </is>
      </c>
      <c r="C31" s="3" t="inlineStr">
        <is>
          <t>23</t>
        </is>
      </c>
      <c r="D31" s="4" t="inlineStr">
        <is>
          <t>16 x 86 x 474 MM</t>
        </is>
      </c>
      <c r="E31" s="5" t="n">
        <v>1608</v>
      </c>
      <c r="F31" s="5" t="n">
        <v>1.049</v>
      </c>
      <c r="G31" s="5" t="n">
        <v>0</v>
      </c>
      <c r="H31" s="5">
        <f>E31-G31</f>
        <v/>
      </c>
      <c r="I31" s="3">
        <f>IF(G31=0,"⏳ ยังไม่รับ",IF(G31&gt;=E31,"✅ ครบถ้วน","🟡 รับบางส่วน"))</f>
        <v/>
      </c>
      <c r="J31" s="3" t="inlineStr">
        <is>
          <t>-</t>
        </is>
      </c>
    </row>
    <row r="32">
      <c r="A32" s="3" t="n">
        <v>29</v>
      </c>
      <c r="B32" s="3" t="inlineStr">
        <is>
          <t>8156565</t>
        </is>
      </c>
      <c r="C32" s="3" t="inlineStr">
        <is>
          <t>24</t>
        </is>
      </c>
      <c r="D32" s="4" t="inlineStr">
        <is>
          <t>16 x 86 x 474 MM</t>
        </is>
      </c>
      <c r="E32" s="5" t="n">
        <v>1592</v>
      </c>
      <c r="F32" s="5" t="n">
        <v>1.038</v>
      </c>
      <c r="G32" s="5" t="n">
        <v>0</v>
      </c>
      <c r="H32" s="5">
        <f>E32-G32</f>
        <v/>
      </c>
      <c r="I32" s="3">
        <f>IF(G32=0,"⏳ ยังไม่รับ",IF(G32&gt;=E32,"✅ ครบถ้วน","🟡 รับบางส่วน"))</f>
        <v/>
      </c>
      <c r="J32" s="3" t="inlineStr">
        <is>
          <t>-</t>
        </is>
      </c>
    </row>
    <row r="33">
      <c r="A33" s="3" t="n">
        <v>30</v>
      </c>
      <c r="B33" s="3" t="inlineStr">
        <is>
          <t>6601644</t>
        </is>
      </c>
      <c r="C33" s="3" t="inlineStr">
        <is>
          <t>25</t>
        </is>
      </c>
      <c r="D33" s="4" t="inlineStr">
        <is>
          <t>15 x 279.4 x 520.7 MM</t>
        </is>
      </c>
      <c r="E33" s="5" t="n">
        <v>528</v>
      </c>
      <c r="F33" s="5" t="n">
        <v>1.152</v>
      </c>
      <c r="G33" s="5" t="n">
        <v>0</v>
      </c>
      <c r="H33" s="5">
        <f>E33-G33</f>
        <v/>
      </c>
      <c r="I33" s="3">
        <f>IF(G33=0,"⏳ ยังไม่รับ",IF(G33&gt;=E33,"✅ ครบถ้วน","🟡 รับบางส่วน"))</f>
        <v/>
      </c>
      <c r="J33" s="3" t="inlineStr">
        <is>
          <t>-</t>
        </is>
      </c>
    </row>
    <row r="34">
      <c r="A34" s="3" t="n">
        <v>31</v>
      </c>
      <c r="B34" s="3" t="inlineStr">
        <is>
          <t>6601644</t>
        </is>
      </c>
      <c r="C34" s="3" t="inlineStr">
        <is>
          <t>26</t>
        </is>
      </c>
      <c r="D34" s="4" t="inlineStr">
        <is>
          <t>15 x 279.4 x 520.7 MM</t>
        </is>
      </c>
      <c r="E34" s="5" t="n">
        <v>528</v>
      </c>
      <c r="F34" s="5" t="n">
        <v>1.152</v>
      </c>
      <c r="G34" s="5" t="n">
        <v>0</v>
      </c>
      <c r="H34" s="5">
        <f>E34-G34</f>
        <v/>
      </c>
      <c r="I34" s="3">
        <f>IF(G34=0,"⏳ ยังไม่รับ",IF(G34&gt;=E34,"✅ ครบถ้วน","🟡 รับบางส่วน"))</f>
        <v/>
      </c>
      <c r="J34" s="3" t="inlineStr">
        <is>
          <t>-</t>
        </is>
      </c>
    </row>
    <row r="35">
      <c r="A35" s="3" t="n">
        <v>32</v>
      </c>
      <c r="B35" s="3" t="inlineStr">
        <is>
          <t>6601644</t>
        </is>
      </c>
      <c r="C35" s="3" t="inlineStr">
        <is>
          <t>27</t>
        </is>
      </c>
      <c r="D35" s="4" t="inlineStr">
        <is>
          <t>15 x 279.4 x 520.7 MM</t>
        </is>
      </c>
      <c r="E35" s="5" t="n">
        <v>144</v>
      </c>
      <c r="F35" s="5" t="n">
        <v>0.314</v>
      </c>
      <c r="G35" s="5" t="n">
        <v>0</v>
      </c>
      <c r="H35" s="5">
        <f>E35-G35</f>
        <v/>
      </c>
      <c r="I35" s="3">
        <f>IF(G35=0,"⏳ ยังไม่รับ",IF(G35&gt;=E35,"✅ ครบถ้วน","🟡 รับบางส่วน"))</f>
        <v/>
      </c>
      <c r="J35" s="3" t="inlineStr">
        <is>
          <t>-</t>
        </is>
      </c>
    </row>
    <row r="36">
      <c r="A36" s="3" t="n">
        <v>33</v>
      </c>
      <c r="B36" s="3" t="inlineStr">
        <is>
          <t>6601640</t>
        </is>
      </c>
      <c r="C36" s="3" t="inlineStr">
        <is>
          <t>-</t>
        </is>
      </c>
      <c r="D36" s="4" t="inlineStr">
        <is>
          <t>15 x 228.6 x 673.1 MM</t>
        </is>
      </c>
      <c r="E36" s="5" t="n">
        <v>520</v>
      </c>
      <c r="F36" s="5" t="n">
        <v>1.2</v>
      </c>
      <c r="G36" s="5" t="n">
        <v>0</v>
      </c>
      <c r="H36" s="5">
        <f>E36-G36</f>
        <v/>
      </c>
      <c r="I36" s="3">
        <f>IF(G36=0,"⏳ ยังไม่รับ",IF(G36&gt;=E36,"✅ ครบถ้วน","🟡 รับบางส่วน"))</f>
        <v/>
      </c>
      <c r="J36" s="3" t="inlineStr">
        <is>
          <t>-</t>
        </is>
      </c>
    </row>
    <row r="37">
      <c r="A37" s="3" t="n">
        <v>34</v>
      </c>
      <c r="B37" s="3" t="inlineStr">
        <is>
          <t>6601637</t>
        </is>
      </c>
      <c r="C37" s="3" t="inlineStr">
        <is>
          <t>28</t>
        </is>
      </c>
      <c r="D37" s="4" t="inlineStr">
        <is>
          <t>15 x 228.6 x 520.7 MM</t>
        </is>
      </c>
      <c r="E37" s="5" t="n">
        <v>664</v>
      </c>
      <c r="F37" s="5" t="n">
        <v>1.186</v>
      </c>
      <c r="G37" s="5" t="n">
        <v>0</v>
      </c>
      <c r="H37" s="5">
        <f>E37-G37</f>
        <v/>
      </c>
      <c r="I37" s="3">
        <f>IF(G37=0,"⏳ ยังไม่รับ",IF(G37&gt;=E37,"✅ ครบถ้วน","🟡 รับบางส่วน"))</f>
        <v/>
      </c>
      <c r="J37" s="3" t="inlineStr">
        <is>
          <t>-</t>
        </is>
      </c>
    </row>
    <row r="38">
      <c r="A38" s="3" t="n">
        <v>35</v>
      </c>
      <c r="B38" s="3" t="inlineStr">
        <is>
          <t>6601637</t>
        </is>
      </c>
      <c r="C38" s="3" t="inlineStr">
        <is>
          <t>29</t>
        </is>
      </c>
      <c r="D38" s="4" t="inlineStr">
        <is>
          <t>15 x 228.6 x 520.7 MM</t>
        </is>
      </c>
      <c r="E38" s="5" t="n">
        <v>664</v>
      </c>
      <c r="F38" s="5" t="n">
        <v>1.186</v>
      </c>
      <c r="G38" s="5" t="n">
        <v>0</v>
      </c>
      <c r="H38" s="5">
        <f>E38-G38</f>
        <v/>
      </c>
      <c r="I38" s="3">
        <f>IF(G38=0,"⏳ ยังไม่รับ",IF(G38&gt;=E38,"✅ ครบถ้วน","🟡 รับบางส่วน"))</f>
        <v/>
      </c>
      <c r="J38" s="3" t="inlineStr">
        <is>
          <t>-</t>
        </is>
      </c>
    </row>
    <row r="39">
      <c r="A39" s="3" t="n">
        <v>36</v>
      </c>
      <c r="B39" s="3" t="inlineStr">
        <is>
          <t>6601637</t>
        </is>
      </c>
      <c r="C39" s="3" t="inlineStr">
        <is>
          <t>30</t>
        </is>
      </c>
      <c r="D39" s="4" t="inlineStr">
        <is>
          <t>15 x 228.6 x 520.7 MM</t>
        </is>
      </c>
      <c r="E39" s="5" t="n">
        <v>242</v>
      </c>
      <c r="F39" s="5" t="n">
        <v>0.432</v>
      </c>
      <c r="G39" s="5" t="n">
        <v>0</v>
      </c>
      <c r="H39" s="5">
        <f>E39-G39</f>
        <v/>
      </c>
      <c r="I39" s="3">
        <f>IF(G39=0,"⏳ ยังไม่รับ",IF(G39&gt;=E39,"✅ ครบถ้วน","🟡 รับบางส่วน"))</f>
        <v/>
      </c>
      <c r="J39" s="3" t="inlineStr">
        <is>
          <t>-</t>
        </is>
      </c>
    </row>
    <row r="40">
      <c r="A40" s="3" t="n">
        <v>37</v>
      </c>
      <c r="B40" s="3" t="inlineStr">
        <is>
          <t>6601636</t>
        </is>
      </c>
      <c r="C40" s="3" t="inlineStr">
        <is>
          <t>-</t>
        </is>
      </c>
      <c r="D40" s="4" t="inlineStr">
        <is>
          <t>15 x 228.6 x 444.5 MM</t>
        </is>
      </c>
      <c r="E40" s="5" t="n">
        <v>386</v>
      </c>
      <c r="F40" s="5" t="n">
        <v>0.588</v>
      </c>
      <c r="G40" s="5" t="n">
        <v>0</v>
      </c>
      <c r="H40" s="5">
        <f>E40-G40</f>
        <v/>
      </c>
      <c r="I40" s="3">
        <f>IF(G40=0,"⏳ ยังไม่รับ",IF(G40&gt;=E40,"✅ ครบถ้วน","🟡 รับบางส่วน"))</f>
        <v/>
      </c>
      <c r="J40" s="3" t="inlineStr">
        <is>
          <t>-</t>
        </is>
      </c>
    </row>
    <row r="41">
      <c r="A41" s="3" t="n">
        <v>38</v>
      </c>
      <c r="B41" s="3" t="inlineStr">
        <is>
          <t>6601636</t>
        </is>
      </c>
      <c r="C41" s="3" t="inlineStr">
        <is>
          <t>31</t>
        </is>
      </c>
      <c r="D41" s="4" t="inlineStr">
        <is>
          <t>15 x 228.6 x 444.5 MM</t>
        </is>
      </c>
      <c r="E41" s="5" t="n">
        <v>664</v>
      </c>
      <c r="F41" s="5" t="n">
        <v>1.012</v>
      </c>
      <c r="G41" s="5" t="n">
        <v>0</v>
      </c>
      <c r="H41" s="5">
        <f>E41-G41</f>
        <v/>
      </c>
      <c r="I41" s="3">
        <f>IF(G41=0,"⏳ ยังไม่รับ",IF(G41&gt;=E41,"✅ ครบถ้วน","🟡 รับบางส่วน"))</f>
        <v/>
      </c>
      <c r="J41" s="3" t="inlineStr">
        <is>
          <t>-</t>
        </is>
      </c>
    </row>
    <row r="42">
      <c r="A42" s="3" t="n">
        <v>39</v>
      </c>
      <c r="B42" s="3" t="inlineStr">
        <is>
          <t>8843617</t>
        </is>
      </c>
      <c r="C42" s="3" t="inlineStr">
        <is>
          <t>32</t>
        </is>
      </c>
      <c r="D42" s="4" t="inlineStr">
        <is>
          <t>15 x 228.6 x 431.8 MM</t>
        </is>
      </c>
      <c r="E42" s="5" t="n">
        <v>295</v>
      </c>
      <c r="F42" s="5" t="n">
        <v>0.437</v>
      </c>
      <c r="G42" s="5" t="n">
        <v>0</v>
      </c>
      <c r="H42" s="5">
        <f>E42-G42</f>
        <v/>
      </c>
      <c r="I42" s="3">
        <f>IF(G42=0,"⏳ ยังไม่รับ",IF(G42&gt;=E42,"✅ ครบถ้วน","🟡 รับบางส่วน"))</f>
        <v/>
      </c>
      <c r="J42" s="3" t="inlineStr">
        <is>
          <t>-</t>
        </is>
      </c>
    </row>
    <row r="43">
      <c r="A43" s="3" t="n">
        <v>40</v>
      </c>
      <c r="B43" s="3" t="inlineStr">
        <is>
          <t>6601608</t>
        </is>
      </c>
      <c r="C43" s="3" t="inlineStr">
        <is>
          <t>-</t>
        </is>
      </c>
      <c r="D43" s="4" t="inlineStr">
        <is>
          <t>15 x 101.6 x 520.7 MM</t>
        </is>
      </c>
      <c r="E43" s="5" t="n">
        <v>1100</v>
      </c>
      <c r="F43" s="5" t="n">
        <v>0.873</v>
      </c>
      <c r="G43" s="5" t="n">
        <v>0</v>
      </c>
      <c r="H43" s="5">
        <f>E43-G43</f>
        <v/>
      </c>
      <c r="I43" s="3">
        <f>IF(G43=0,"⏳ ยังไม่รับ",IF(G43&gt;=E43,"✅ ครบถ้วน","🟡 รับบางส่วน"))</f>
        <v/>
      </c>
      <c r="J43" s="3" t="inlineStr">
        <is>
          <t>-</t>
        </is>
      </c>
    </row>
    <row r="44">
      <c r="A44" s="3" t="n">
        <v>41</v>
      </c>
      <c r="B44" s="3" t="inlineStr">
        <is>
          <t>6601628</t>
        </is>
      </c>
      <c r="C44" s="3" t="inlineStr">
        <is>
          <t>33</t>
        </is>
      </c>
      <c r="D44" s="4" t="inlineStr">
        <is>
          <t>15 x 177.8 x 673.1 MM</t>
        </is>
      </c>
      <c r="E44" s="5" t="n">
        <v>315</v>
      </c>
      <c r="F44" s="5" t="n">
        <v>0.5649999999999999</v>
      </c>
      <c r="G44" s="5" t="n">
        <v>0</v>
      </c>
      <c r="H44" s="5">
        <f>E44-G44</f>
        <v/>
      </c>
      <c r="I44" s="3">
        <f>IF(G44=0,"⏳ ยังไม่รับ",IF(G44&gt;=E44,"✅ ครบถ้วน","🟡 รับบางส่วน"))</f>
        <v/>
      </c>
      <c r="J44" s="3" t="inlineStr">
        <is>
          <t>-</t>
        </is>
      </c>
    </row>
    <row r="45">
      <c r="A45" s="3" t="n">
        <v>42</v>
      </c>
      <c r="B45" s="3" t="inlineStr">
        <is>
          <t>6601612</t>
        </is>
      </c>
      <c r="C45" s="3" t="inlineStr">
        <is>
          <t>-</t>
        </is>
      </c>
      <c r="D45" s="4" t="inlineStr">
        <is>
          <t>15 x 101.6 x 647.7 MM</t>
        </is>
      </c>
      <c r="E45" s="5" t="n">
        <v>570</v>
      </c>
      <c r="F45" s="5" t="n">
        <v>0.5629999999999999</v>
      </c>
      <c r="G45" s="5" t="n">
        <v>0</v>
      </c>
      <c r="H45" s="5">
        <f>E45-G45</f>
        <v/>
      </c>
      <c r="I45" s="3">
        <f>IF(G45=0,"⏳ ยังไม่รับ",IF(G45&gt;=E45,"✅ ครบถ้วน","🟡 รับบางส่วน"))</f>
        <v/>
      </c>
      <c r="J45" s="3" t="inlineStr">
        <is>
          <t>-</t>
        </is>
      </c>
    </row>
    <row r="46">
      <c r="A46" s="3" t="n">
        <v>43</v>
      </c>
      <c r="B46" s="3" t="inlineStr">
        <is>
          <t>6601609</t>
        </is>
      </c>
      <c r="C46" s="3" t="inlineStr">
        <is>
          <t>-</t>
        </is>
      </c>
      <c r="D46" s="4" t="inlineStr">
        <is>
          <t>15 x 101.6 x 566.7 MM</t>
        </is>
      </c>
      <c r="E46" s="5" t="n">
        <v>570</v>
      </c>
      <c r="F46" s="5" t="n">
        <v>0.492</v>
      </c>
      <c r="G46" s="5" t="n">
        <v>0</v>
      </c>
      <c r="H46" s="5">
        <f>E46-G46</f>
        <v/>
      </c>
      <c r="I46" s="3">
        <f>IF(G46=0,"⏳ ยังไม่รับ",IF(G46&gt;=E46,"✅ ครบถ้วน","🟡 รับบางส่วน"))</f>
        <v/>
      </c>
      <c r="J46" s="3" t="inlineStr">
        <is>
          <t>-</t>
        </is>
      </c>
    </row>
    <row r="47">
      <c r="A47" s="3" t="n">
        <v>44</v>
      </c>
      <c r="B47" s="3" t="inlineStr">
        <is>
          <t>6601625</t>
        </is>
      </c>
      <c r="C47" s="3" t="inlineStr">
        <is>
          <t>34</t>
        </is>
      </c>
      <c r="D47" s="4" t="inlineStr">
        <is>
          <t>15 x 177.8 x 520.7 MM</t>
        </is>
      </c>
      <c r="E47" s="5" t="n">
        <v>864</v>
      </c>
      <c r="F47" s="5" t="n">
        <v>1.2</v>
      </c>
      <c r="G47" s="5" t="n">
        <v>0</v>
      </c>
      <c r="H47" s="5">
        <f>E47-G47</f>
        <v/>
      </c>
      <c r="I47" s="3">
        <f>IF(G47=0,"⏳ ยังไม่รับ",IF(G47&gt;=E47,"✅ ครบถ้วน","🟡 รับบางส่วน"))</f>
        <v/>
      </c>
      <c r="J47" s="3" t="inlineStr">
        <is>
          <t>-</t>
        </is>
      </c>
    </row>
    <row r="48">
      <c r="A48" s="3" t="n">
        <v>45</v>
      </c>
      <c r="B48" s="3" t="inlineStr">
        <is>
          <t>6601625</t>
        </is>
      </c>
      <c r="C48" s="3" t="inlineStr">
        <is>
          <t>35</t>
        </is>
      </c>
      <c r="D48" s="4" t="inlineStr">
        <is>
          <t>15 x 177.8 x 520.7 MM</t>
        </is>
      </c>
      <c r="E48" s="5" t="n">
        <v>816</v>
      </c>
      <c r="F48" s="5" t="n">
        <v>1.133</v>
      </c>
      <c r="G48" s="5" t="n">
        <v>0</v>
      </c>
      <c r="H48" s="5">
        <f>E48-G48</f>
        <v/>
      </c>
      <c r="I48" s="3">
        <f>IF(G48=0,"⏳ ยังไม่รับ",IF(G48&gt;=E48,"✅ ครบถ้วน","🟡 รับบางส่วน"))</f>
        <v/>
      </c>
      <c r="J48" s="3" t="inlineStr">
        <is>
          <t>-</t>
        </is>
      </c>
    </row>
    <row r="49">
      <c r="A49" s="3" t="n">
        <v>46</v>
      </c>
      <c r="B49" s="3" t="inlineStr">
        <is>
          <t>6601608</t>
        </is>
      </c>
      <c r="C49" s="3" t="inlineStr">
        <is>
          <t>36</t>
        </is>
      </c>
      <c r="D49" s="4" t="inlineStr">
        <is>
          <t>15 x 101.6 x 520.7 MM</t>
        </is>
      </c>
      <c r="E49" s="5" t="n">
        <v>1500</v>
      </c>
      <c r="F49" s="5" t="n">
        <v>1.19</v>
      </c>
      <c r="G49" s="5" t="n">
        <v>0</v>
      </c>
      <c r="H49" s="5">
        <f>E49-G49</f>
        <v/>
      </c>
      <c r="I49" s="3">
        <f>IF(G49=0,"⏳ ยังไม่รับ",IF(G49&gt;=E49,"✅ ครบถ้วน","🟡 รับบางส่วน"))</f>
        <v/>
      </c>
      <c r="J49" s="3" t="inlineStr">
        <is>
          <t>-</t>
        </is>
      </c>
    </row>
    <row r="50">
      <c r="A50" s="3" t="n">
        <v>47</v>
      </c>
      <c r="B50" s="3" t="inlineStr">
        <is>
          <t>6601608</t>
        </is>
      </c>
      <c r="C50" s="3" t="inlineStr">
        <is>
          <t>37</t>
        </is>
      </c>
      <c r="D50" s="4" t="inlineStr">
        <is>
          <t>15 x 101.6 x 520.7 MM</t>
        </is>
      </c>
      <c r="E50" s="5" t="n">
        <v>1500</v>
      </c>
      <c r="F50" s="5" t="n">
        <v>1.19</v>
      </c>
      <c r="G50" s="5" t="n">
        <v>0</v>
      </c>
      <c r="H50" s="5">
        <f>E50-G50</f>
        <v/>
      </c>
      <c r="I50" s="3">
        <f>IF(G50=0,"⏳ ยังไม่รับ",IF(G50&gt;=E50,"✅ ครบถ้วน","🟡 รับบางส่วน"))</f>
        <v/>
      </c>
      <c r="J50" s="3" t="inlineStr">
        <is>
          <t>-</t>
        </is>
      </c>
    </row>
    <row r="51">
      <c r="A51" s="3" t="n">
        <v>48</v>
      </c>
      <c r="B51" s="3" t="inlineStr">
        <is>
          <t>6601608</t>
        </is>
      </c>
      <c r="C51" s="3" t="inlineStr">
        <is>
          <t>38</t>
        </is>
      </c>
      <c r="D51" s="4" t="inlineStr">
        <is>
          <t>15 x 101.6 x 520.7 MM</t>
        </is>
      </c>
      <c r="E51" s="5" t="n">
        <v>1500</v>
      </c>
      <c r="F51" s="5" t="n">
        <v>1.19</v>
      </c>
      <c r="G51" s="5" t="n">
        <v>0</v>
      </c>
      <c r="H51" s="5">
        <f>E51-G51</f>
        <v/>
      </c>
      <c r="I51" s="3">
        <f>IF(G51=0,"⏳ ยังไม่รับ",IF(G51&gt;=E51,"✅ ครบถ้วน","🟡 รับบางส่วน"))</f>
        <v/>
      </c>
      <c r="J51" s="3" t="inlineStr">
        <is>
          <t>-</t>
        </is>
      </c>
    </row>
    <row r="52">
      <c r="A52" s="6" t="inlineStr">
        <is>
          <t>รวมทั้งหมด (Total)</t>
        </is>
      </c>
      <c r="B52" s="7" t="n"/>
      <c r="C52" s="7" t="n"/>
      <c r="D52" s="7" t="n"/>
      <c r="E52" s="6">
        <f>SUM(E4:E51)</f>
        <v/>
      </c>
      <c r="F52" s="6">
        <f>SUM(F4:F51)</f>
        <v/>
      </c>
      <c r="G52" s="6">
        <f>SUM(G4:G51)</f>
        <v/>
      </c>
      <c r="H52" s="6">
        <f>SUM(H4:H51)</f>
        <v/>
      </c>
      <c r="I52" s="7" t="n"/>
      <c r="J52" s="7" t="n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2026-08-15T03:29:17Z</dcterms:created>
  <dcterms:modified xsi:type="dcterms:W3CDTF">2026-08-15T03:29:17Z</dcterms:modified>
</cp:coreProperties>
</file>